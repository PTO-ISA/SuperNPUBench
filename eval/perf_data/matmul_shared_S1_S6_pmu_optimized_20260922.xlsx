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64e7b2dc5a44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完整对比表" sheetId="1" r:id="R733608c66ada412e"/>
    <x:sheet xmlns:r="http://schemas.openxmlformats.org/officeDocument/2006/relationships" name="最优配置对比" sheetId="2" r:id="R346fc04bbe2348a5"/>
    <x:sheet xmlns:r="http://schemas.openxmlformats.org/officeDocument/2006/relationships" name="汇总统计" sheetId="3" r:id="Re8baa1d1079149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.0"/>
  </x:numFmts>
  <x:fonts count="10">
    <x:font>
      <x:sz val="11"/>
      <x:name val="Carlito"/>
    </x:font>
    <x:font>
      <x:b/>
      <x:sz val="15"/>
      <x:color rgb="FF17365D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  <x:font>
      <x:sz val="9"/>
      <x:color rgb="FF262626"/>
      <x:name val="Arial"/>
    </x:font>
    <x:font>
      <x:b/>
      <x:sz val="9"/>
      <x:color rgb="FF3F3000"/>
      <x:name val="Arial"/>
    </x:font>
    <x:font>
      <x:sz val="10"/>
      <x:color rgb="FF262626"/>
      <x:name val="Arial"/>
    </x:font>
    <x:font>
      <x:b/>
      <x:sz val="10"/>
      <x:color rgb="FF006100"/>
      <x:name val="Arial"/>
    </x:font>
    <x:font>
      <x:b/>
      <x:sz val="10"/>
      <x:color rgb="FF9C0006"/>
      <x:name val="Arial"/>
    </x:font>
    <x:font>
      <x:b/>
      <x:sz val="10"/>
      <x:color rgb="FF17365D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  <x:fill>
      <x:patternFill patternType="solid">
        <x:fgColor rgb="FFFFD96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  <x:fill>
      <x:patternFill patternType="solid">
        <x:fgColor rgb="FFF4CCCC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F7FBFF"/>
      </x:patternFill>
    </x:fill>
  </x:fills>
  <x:borders count="12">
    <x:border/>
    <x:border>
      <x:bottom style="thin">
        <x:color rgb="FF5B9BD5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B7C8"/>
      </x:bottom>
    </x:border>
    <x:border>
      <x:left style="medium">
        <x:color rgb="FFBF9000"/>
      </x:left>
      <x:top style="medium">
        <x:color rgb="FFBF9000"/>
      </x:top>
      <x:bottom style="medium">
        <x:color rgb="FFBF9000"/>
      </x:bottom>
    </x:border>
    <x:border>
      <x:top style="medium">
        <x:color rgb="FFBF9000"/>
      </x:top>
      <x:bottom style="medium">
        <x:color rgb="FFBF9000"/>
      </x:bottom>
    </x:border>
    <x:border>
      <x:right style="medium">
        <x:color rgb="FFBF9000"/>
      </x:right>
      <x:top style="medium">
        <x:color rgb="FFBF9000"/>
      </x:top>
      <x:bottom style="medium">
        <x:color rgb="FFBF9000"/>
      </x:bottom>
    </x:border>
    <x:border>
      <x:bottom style="thin">
        <x:color rgb="FFA6B7C8"/>
      </x:bottom>
    </x:border>
    <x:border>
      <x:top style="thin">
        <x:color rgb="FFA6B7C8"/>
      </x:top>
      <x:bottom style="thin">
        <x:color rgb="FFA6B7C8"/>
      </x:bottom>
    </x:border>
    <x:border>
      <x:top style="thin">
        <x:color rgb="FFA6B7C8"/>
      </x:top>
    </x:border>
  </x:borders>
  <x:cellStyleXfs count="1">
    <x:xf numFmtId="0" fontId="0" fillId="0" borderId="0"/>
  </x:cellStyleXfs>
  <x:cellXfs count="19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horizontal="left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right" vertical="center"/>
    </x:xf>
    <x:xf numFmtId="0" fontId="4" fillId="0" borderId="3" xfId="0" applyNumberFormat="1" applyFont="1" applyFill="1" applyBorder="1" applyAlignment="1">
      <x:alignment horizontal="left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right" vertical="center"/>
    </x:xf>
    <x:xf numFmtId="0" fontId="4" fillId="0" borderId="4" xfId="0" applyNumberFormat="1" applyFont="1" applyFill="1" applyBorder="1" applyAlignment="1">
      <x:alignment horizontal="left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right" vertical="center"/>
    </x:xf>
    <x:xf numFmtId="0" fontId="4" fillId="0" borderId="5" xfId="0" applyNumberFormat="1" applyFont="1" applyFill="1" applyBorder="1" applyAlignment="1">
      <x:alignment horizontal="left" vertical="center"/>
    </x:xf>
    <x:xf numFmtId="200" fontId="4" fillId="0" borderId="3" xfId="0" applyNumberFormat="1" applyFont="1" applyFill="1" applyBorder="1" applyAlignment="1">
      <x:alignment horizontal="right" vertical="center"/>
    </x:xf>
    <x:xf numFmtId="200" fontId="4" fillId="0" borderId="4" xfId="0" applyNumberFormat="1" applyFont="1" applyFill="1" applyBorder="1" applyAlignment="1">
      <x:alignment horizontal="right" vertical="center"/>
    </x:xf>
    <x:xf numFmtId="200" fontId="4" fillId="0" borderId="5" xfId="0" applyNumberFormat="1" applyFont="1" applyFill="1" applyBorder="1" applyAlignment="1">
      <x:alignment horizontal="right" vertical="center"/>
    </x:xf>
    <x:xf numFmtId="201" fontId="4" fillId="0" borderId="3" xfId="0" applyNumberFormat="1" applyFont="1" applyFill="1" applyBorder="1" applyAlignment="1">
      <x:alignment horizontal="right" vertical="center"/>
    </x:xf>
    <x:xf numFmtId="201" fontId="4" fillId="0" borderId="4" xfId="0" applyNumberFormat="1" applyFont="1" applyFill="1" applyBorder="1" applyAlignment="1">
      <x:alignment horizontal="right" vertical="center"/>
    </x:xf>
    <x:xf numFmtId="201" fontId="4" fillId="0" borderId="5" xfId="0" applyNumberFormat="1" applyFont="1" applyFill="1" applyBorder="1" applyAlignment="1">
      <x:alignment horizontal="right" vertical="center"/>
    </x:xf>
    <x:xf numFmtId="202" fontId="4" fillId="0" borderId="3" xfId="0" applyNumberFormat="1" applyFont="1" applyFill="1" applyBorder="1" applyAlignment="1">
      <x:alignment horizontal="right" vertical="center"/>
    </x:xf>
    <x:xf numFmtId="202" fontId="4" fillId="0" borderId="4" xfId="0" applyNumberFormat="1" applyFont="1" applyFill="1" applyBorder="1" applyAlignment="1">
      <x:alignment horizontal="right" vertical="center"/>
    </x:xf>
    <x:xf numFmtId="202" fontId="4" fillId="0" borderId="5" xfId="0" applyNumberFormat="1" applyFont="1" applyFill="1" applyBorder="1" applyAlignment="1">
      <x:alignment horizontal="right" vertical="center"/>
    </x:xf>
    <x:xf numFmtId="0" fontId="4" fillId="3" borderId="3" xfId="0" applyNumberFormat="1" applyFont="1" applyFill="1" applyBorder="1" applyAlignment="1">
      <x:alignment horizontal="center" vertical="center"/>
    </x:xf>
    <x:xf numFmtId="200" fontId="4" fillId="3" borderId="3" xfId="0" applyNumberFormat="1" applyFont="1" applyFill="1" applyBorder="1" applyAlignment="1">
      <x:alignment horizontal="right" vertical="center"/>
    </x:xf>
    <x:xf numFmtId="201" fontId="4" fillId="3" borderId="3" xfId="0" applyNumberFormat="1" applyFont="1" applyFill="1" applyBorder="1" applyAlignment="1">
      <x:alignment horizontal="right" vertical="center"/>
    </x:xf>
    <x:xf numFmtId="202" fontId="4" fillId="3" borderId="3" xfId="0" applyNumberFormat="1" applyFont="1" applyFill="1" applyBorder="1" applyAlignment="1">
      <x:alignment horizontal="right" vertical="center"/>
    </x:xf>
    <x:xf numFmtId="0" fontId="4" fillId="3" borderId="3" xfId="0" applyNumberFormat="1" applyFont="1" applyFill="1" applyBorder="1" applyAlignment="1">
      <x:alignment horizontal="left" vertical="center"/>
    </x:xf>
    <x:xf numFmtId="0" fontId="4" fillId="3" borderId="4" xfId="0" applyNumberFormat="1" applyFont="1" applyFill="1" applyBorder="1" applyAlignment="1">
      <x:alignment horizontal="center" vertical="center"/>
    </x:xf>
    <x:xf numFmtId="200" fontId="4" fillId="3" borderId="4" xfId="0" applyNumberFormat="1" applyFont="1" applyFill="1" applyBorder="1" applyAlignment="1">
      <x:alignment horizontal="right" vertical="center"/>
    </x:xf>
    <x:xf numFmtId="201" fontId="4" fillId="3" borderId="4" xfId="0" applyNumberFormat="1" applyFont="1" applyFill="1" applyBorder="1" applyAlignment="1">
      <x:alignment horizontal="right" vertical="center"/>
    </x:xf>
    <x:xf numFmtId="202" fontId="4" fillId="3" borderId="4" xfId="0" applyNumberFormat="1" applyFont="1" applyFill="1" applyBorder="1" applyAlignment="1">
      <x:alignment horizontal="right" vertical="center"/>
    </x:xf>
    <x:xf numFmtId="0" fontId="4" fillId="3" borderId="4" xfId="0" applyNumberFormat="1" applyFont="1" applyFill="1" applyBorder="1" applyAlignment="1">
      <x:alignment horizontal="left" vertical="center"/>
    </x:xf>
    <x:xf numFmtId="0" fontId="4" fillId="4" borderId="4" xfId="0" applyNumberFormat="1" applyFont="1" applyFill="1" applyBorder="1" applyAlignment="1">
      <x:alignment horizontal="center" vertical="center"/>
    </x:xf>
    <x:xf numFmtId="200" fontId="4" fillId="4" borderId="4" xfId="0" applyNumberFormat="1" applyFont="1" applyFill="1" applyBorder="1" applyAlignment="1">
      <x:alignment horizontal="right" vertical="center"/>
    </x:xf>
    <x:xf numFmtId="201" fontId="4" fillId="4" borderId="4" xfId="0" applyNumberFormat="1" applyFont="1" applyFill="1" applyBorder="1" applyAlignment="1">
      <x:alignment horizontal="right" vertical="center"/>
    </x:xf>
    <x:xf numFmtId="202" fontId="4" fillId="4" borderId="4" xfId="0" applyNumberFormat="1" applyFont="1" applyFill="1" applyBorder="1" applyAlignment="1">
      <x:alignment horizontal="right" vertical="center"/>
    </x:xf>
    <x:xf numFmtId="0" fontId="4" fillId="4" borderId="4" xfId="0" applyNumberFormat="1" applyFont="1" applyFill="1" applyBorder="1" applyAlignment="1">
      <x:alignment horizontal="left" vertical="center"/>
    </x:xf>
    <x:xf numFmtId="0" fontId="5" fillId="4" borderId="4" xfId="0" applyNumberFormat="1" applyFont="1" applyFill="1" applyBorder="1" applyAlignment="1">
      <x:alignment horizontal="center" vertical="center"/>
    </x:xf>
    <x:xf numFmtId="200" fontId="5" fillId="4" borderId="4" xfId="0" applyNumberFormat="1" applyFont="1" applyFill="1" applyBorder="1" applyAlignment="1">
      <x:alignment horizontal="right" vertical="center"/>
    </x:xf>
    <x:xf numFmtId="201" fontId="5" fillId="4" borderId="4" xfId="0" applyNumberFormat="1" applyFont="1" applyFill="1" applyBorder="1" applyAlignment="1">
      <x:alignment horizontal="right" vertical="center"/>
    </x:xf>
    <x:xf numFmtId="202" fontId="5" fillId="4" borderId="4" xfId="0" applyNumberFormat="1" applyFont="1" applyFill="1" applyBorder="1" applyAlignment="1">
      <x:alignment horizontal="right" vertical="center"/>
    </x:xf>
    <x:xf numFmtId="0" fontId="5" fillId="4" borderId="4" xfId="0" applyNumberFormat="1" applyFont="1" applyFill="1" applyBorder="1" applyAlignment="1">
      <x:alignment horizontal="left" vertical="center"/>
    </x:xf>
    <x:xf numFmtId="0" fontId="5" fillId="4" borderId="6" xfId="0" applyNumberFormat="1" applyFont="1" applyFill="1" applyBorder="1" applyAlignment="1">
      <x:alignment horizontal="center" vertical="center"/>
    </x:xf>
    <x:xf numFmtId="0" fontId="5" fillId="4" borderId="7" xfId="0" applyNumberFormat="1" applyFont="1" applyFill="1" applyBorder="1" applyAlignment="1">
      <x:alignment horizontal="center" vertical="center"/>
    </x:xf>
    <x:xf numFmtId="200" fontId="5" fillId="4" borderId="7" xfId="0" applyNumberFormat="1" applyFont="1" applyFill="1" applyBorder="1" applyAlignment="1">
      <x:alignment horizontal="right" vertical="center"/>
    </x:xf>
    <x:xf numFmtId="201" fontId="5" fillId="4" borderId="7" xfId="0" applyNumberFormat="1" applyFont="1" applyFill="1" applyBorder="1" applyAlignment="1">
      <x:alignment horizontal="right" vertical="center"/>
    </x:xf>
    <x:xf numFmtId="202" fontId="5" fillId="4" borderId="7" xfId="0" applyNumberFormat="1" applyFont="1" applyFill="1" applyBorder="1" applyAlignment="1">
      <x:alignment horizontal="right" vertical="center"/>
    </x:xf>
    <x:xf numFmtId="0" fontId="5" fillId="4" borderId="8" xfId="0" applyNumberFormat="1" applyFont="1" applyFill="1" applyBorder="1" applyAlignment="1">
      <x:alignment horizontal="left" vertical="center"/>
    </x:xf>
    <x:xf numFmtId="0" fontId="4" fillId="5" borderId="4" xfId="0" applyNumberFormat="1" applyFont="1" applyFill="1" applyBorder="1" applyAlignment="1">
      <x:alignment horizontal="center" vertical="center"/>
    </x:xf>
    <x:xf numFmtId="200" fontId="4" fillId="5" borderId="4" xfId="0" applyNumberFormat="1" applyFont="1" applyFill="1" applyBorder="1" applyAlignment="1">
      <x:alignment horizontal="right" vertical="center"/>
    </x:xf>
    <x:xf numFmtId="201" fontId="4" fillId="5" borderId="4" xfId="0" applyNumberFormat="1" applyFont="1" applyFill="1" applyBorder="1" applyAlignment="1">
      <x:alignment horizontal="right" vertical="center"/>
    </x:xf>
    <x:xf numFmtId="202" fontId="4" fillId="5" borderId="4" xfId="0" applyNumberFormat="1" applyFont="1" applyFill="1" applyBorder="1" applyAlignment="1">
      <x:alignment horizontal="right" vertical="center"/>
    </x:xf>
    <x:xf numFmtId="0" fontId="4" fillId="5" borderId="4" xfId="0" applyNumberFormat="1" applyFont="1" applyFill="1" applyBorder="1" applyAlignment="1">
      <x:alignment horizontal="left" vertical="center"/>
    </x:xf>
    <x:xf numFmtId="0" fontId="4" fillId="6" borderId="4" xfId="0" applyNumberFormat="1" applyFont="1" applyFill="1" applyBorder="1" applyAlignment="1">
      <x:alignment horizontal="center" vertical="center"/>
    </x:xf>
    <x:xf numFmtId="200" fontId="4" fillId="6" borderId="4" xfId="0" applyNumberFormat="1" applyFont="1" applyFill="1" applyBorder="1" applyAlignment="1">
      <x:alignment horizontal="right" vertical="center"/>
    </x:xf>
    <x:xf numFmtId="201" fontId="4" fillId="6" borderId="4" xfId="0" applyNumberFormat="1" applyFont="1" applyFill="1" applyBorder="1" applyAlignment="1">
      <x:alignment horizontal="right" vertical="center"/>
    </x:xf>
    <x:xf numFmtId="202" fontId="4" fillId="6" borderId="4" xfId="0" applyNumberFormat="1" applyFont="1" applyFill="1" applyBorder="1" applyAlignment="1">
      <x:alignment horizontal="right" vertical="center"/>
    </x:xf>
    <x:xf numFmtId="0" fontId="4" fillId="6" borderId="4" xfId="0" applyNumberFormat="1" applyFont="1" applyFill="1" applyBorder="1" applyAlignment="1">
      <x:alignment horizontal="left" vertical="center"/>
    </x:xf>
    <x:xf numFmtId="0" fontId="4" fillId="7" borderId="4" xfId="0" applyNumberFormat="1" applyFont="1" applyFill="1" applyBorder="1" applyAlignment="1">
      <x:alignment horizontal="center" vertical="center"/>
    </x:xf>
    <x:xf numFmtId="200" fontId="4" fillId="7" borderId="4" xfId="0" applyNumberFormat="1" applyFont="1" applyFill="1" applyBorder="1" applyAlignment="1">
      <x:alignment horizontal="right" vertical="center"/>
    </x:xf>
    <x:xf numFmtId="201" fontId="4" fillId="7" borderId="4" xfId="0" applyNumberFormat="1" applyFont="1" applyFill="1" applyBorder="1" applyAlignment="1">
      <x:alignment horizontal="right" vertical="center"/>
    </x:xf>
    <x:xf numFmtId="202" fontId="4" fillId="7" borderId="4" xfId="0" applyNumberFormat="1" applyFont="1" applyFill="1" applyBorder="1" applyAlignment="1">
      <x:alignment horizontal="right" vertical="center"/>
    </x:xf>
    <x:xf numFmtId="0" fontId="4" fillId="7" borderId="4" xfId="0" applyNumberFormat="1" applyFont="1" applyFill="1" applyBorder="1" applyAlignment="1">
      <x:alignment horizontal="left" vertical="center"/>
    </x:xf>
    <x:xf numFmtId="0" fontId="4" fillId="8" borderId="4" xfId="0" applyNumberFormat="1" applyFont="1" applyFill="1" applyBorder="1" applyAlignment="1">
      <x:alignment horizontal="center" vertical="center"/>
    </x:xf>
    <x:xf numFmtId="200" fontId="4" fillId="8" borderId="4" xfId="0" applyNumberFormat="1" applyFont="1" applyFill="1" applyBorder="1" applyAlignment="1">
      <x:alignment horizontal="right" vertical="center"/>
    </x:xf>
    <x:xf numFmtId="201" fontId="4" fillId="8" borderId="4" xfId="0" applyNumberFormat="1" applyFont="1" applyFill="1" applyBorder="1" applyAlignment="1">
      <x:alignment horizontal="right" vertical="center"/>
    </x:xf>
    <x:xf numFmtId="202" fontId="4" fillId="8" borderId="4" xfId="0" applyNumberFormat="1" applyFont="1" applyFill="1" applyBorder="1" applyAlignment="1">
      <x:alignment horizontal="right" vertical="center"/>
    </x:xf>
    <x:xf numFmtId="0" fontId="4" fillId="8" borderId="4" xfId="0" applyNumberFormat="1" applyFont="1" applyFill="1" applyBorder="1" applyAlignment="1">
      <x:alignment horizontal="left" vertical="center"/>
    </x:xf>
    <x:xf numFmtId="0" fontId="4" fillId="9" borderId="4" xfId="0" applyNumberFormat="1" applyFont="1" applyFill="1" applyBorder="1" applyAlignment="1">
      <x:alignment horizontal="center" vertical="center"/>
    </x:xf>
    <x:xf numFmtId="200" fontId="4" fillId="9" borderId="4" xfId="0" applyNumberFormat="1" applyFont="1" applyFill="1" applyBorder="1" applyAlignment="1">
      <x:alignment horizontal="right" vertical="center"/>
    </x:xf>
    <x:xf numFmtId="201" fontId="4" fillId="9" borderId="4" xfId="0" applyNumberFormat="1" applyFont="1" applyFill="1" applyBorder="1" applyAlignment="1">
      <x:alignment horizontal="right" vertical="center"/>
    </x:xf>
    <x:xf numFmtId="202" fontId="4" fillId="9" borderId="4" xfId="0" applyNumberFormat="1" applyFont="1" applyFill="1" applyBorder="1" applyAlignment="1">
      <x:alignment horizontal="right" vertical="center"/>
    </x:xf>
    <x:xf numFmtId="0" fontId="4" fillId="9" borderId="4" xfId="0" applyNumberFormat="1" applyFont="1" applyFill="1" applyBorder="1" applyAlignment="1">
      <x:alignment horizontal="left" vertical="center"/>
    </x:xf>
    <x:xf numFmtId="0" fontId="4" fillId="9" borderId="5" xfId="0" applyNumberFormat="1" applyFont="1" applyFill="1" applyBorder="1" applyAlignment="1">
      <x:alignment horizontal="center" vertical="center"/>
    </x:xf>
    <x:xf numFmtId="200" fontId="4" fillId="9" borderId="5" xfId="0" applyNumberFormat="1" applyFont="1" applyFill="1" applyBorder="1" applyAlignment="1">
      <x:alignment horizontal="right" vertical="center"/>
    </x:xf>
    <x:xf numFmtId="201" fontId="4" fillId="9" borderId="5" xfId="0" applyNumberFormat="1" applyFont="1" applyFill="1" applyBorder="1" applyAlignment="1">
      <x:alignment horizontal="right" vertical="center"/>
    </x:xf>
    <x:xf numFmtId="202" fontId="4" fillId="9" borderId="5" xfId="0" applyNumberFormat="1" applyFont="1" applyFill="1" applyBorder="1" applyAlignment="1">
      <x:alignment horizontal="right" vertical="center"/>
    </x:xf>
    <x:xf numFmtId="0" fontId="4" fillId="9" borderId="5" xfId="0" applyNumberFormat="1" applyFont="1" applyFill="1" applyBorder="1" applyAlignment="1">
      <x:alignment horizontal="left" vertic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9" borderId="0" xfId="0" applyNumberFormat="1" applyFont="1" applyFill="1" applyBorder="1"/>
    <x:xf numFmtId="0" fontId="6" fillId="3" borderId="0" xfId="0" applyNumberFormat="1" applyFont="1" applyFill="1" applyBorder="1"/>
    <x:xf numFmtId="0" fontId="6" fillId="5" borderId="0" xfId="0" applyNumberFormat="1" applyFont="1" applyFill="1" applyBorder="1"/>
    <x:xf numFmtId="0" fontId="6" fillId="6" borderId="0" xfId="0" applyNumberFormat="1" applyFont="1" applyFill="1" applyBorder="1"/>
    <x:xf numFmtId="0" fontId="6" fillId="7" borderId="0" xfId="0" applyNumberFormat="1" applyFont="1" applyFill="1" applyBorder="1"/>
    <x:xf numFmtId="0" fontId="6" fillId="8" borderId="0" xfId="0" applyNumberFormat="1" applyFont="1" applyFill="1" applyBorder="1"/>
    <x:xf numFmtId="0" fontId="6" fillId="9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/>
    </x:xf>
    <x:xf numFmtId="0" fontId="6" fillId="9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left"/>
    </x:xf>
    <x:xf numFmtId="0" fontId="6" fillId="5" borderId="0" xfId="0" applyNumberFormat="1" applyFont="1" applyFill="1" applyBorder="1" applyAlignment="1">
      <x:alignment horizontal="left"/>
    </x:xf>
    <x:xf numFmtId="0" fontId="6" fillId="6" borderId="0" xfId="0" applyNumberFormat="1" applyFont="1" applyFill="1" applyBorder="1" applyAlignment="1">
      <x:alignment horizontal="left"/>
    </x:xf>
    <x:xf numFmtId="0" fontId="6" fillId="7" borderId="0" xfId="0" applyNumberFormat="1" applyFont="1" applyFill="1" applyBorder="1" applyAlignment="1">
      <x:alignment horizontal="left"/>
    </x:xf>
    <x:xf numFmtId="0" fontId="6" fillId="8" borderId="0" xfId="0" applyNumberFormat="1" applyFont="1" applyFill="1" applyBorder="1" applyAlignment="1">
      <x:alignment horizontal="left"/>
    </x:xf>
    <x:xf numFmtId="0" fontId="6" fillId="9" borderId="0" xfId="0" applyNumberFormat="1" applyFont="1" applyFill="1" applyBorder="1" applyAlignment="1">
      <x:alignment horizontal="left"/>
    </x:xf>
    <x:xf numFmtId="200" fontId="6" fillId="3" borderId="0" xfId="0" applyNumberFormat="1" applyFont="1" applyFill="1" applyBorder="1" applyAlignment="1">
      <x:alignment horizontal="center"/>
    </x:xf>
    <x:xf numFmtId="200" fontId="6" fillId="5" borderId="0" xfId="0" applyNumberFormat="1" applyFont="1" applyFill="1" applyBorder="1" applyAlignment="1">
      <x:alignment horizontal="center"/>
    </x:xf>
    <x:xf numFmtId="200" fontId="6" fillId="6" borderId="0" xfId="0" applyNumberFormat="1" applyFont="1" applyFill="1" applyBorder="1" applyAlignment="1">
      <x:alignment horizontal="center"/>
    </x:xf>
    <x:xf numFmtId="200" fontId="6" fillId="7" borderId="0" xfId="0" applyNumberFormat="1" applyFont="1" applyFill="1" applyBorder="1" applyAlignment="1">
      <x:alignment horizontal="center"/>
    </x:xf>
    <x:xf numFmtId="200" fontId="6" fillId="8" borderId="0" xfId="0" applyNumberFormat="1" applyFont="1" applyFill="1" applyBorder="1" applyAlignment="1">
      <x:alignment horizontal="center"/>
    </x:xf>
    <x:xf numFmtId="200" fontId="6" fillId="9" borderId="0" xfId="0" applyNumberFormat="1" applyFont="1" applyFill="1" applyBorder="1" applyAlignment="1">
      <x:alignment horizontal="center"/>
    </x:xf>
    <x:xf numFmtId="201" fontId="6" fillId="3" borderId="0" xfId="0" applyNumberFormat="1" applyFont="1" applyFill="1" applyBorder="1" applyAlignment="1">
      <x:alignment horizontal="center"/>
    </x:xf>
    <x:xf numFmtId="201" fontId="6" fillId="5" borderId="0" xfId="0" applyNumberFormat="1" applyFont="1" applyFill="1" applyBorder="1" applyAlignment="1">
      <x:alignment horizontal="center"/>
    </x:xf>
    <x:xf numFmtId="201" fontId="6" fillId="6" borderId="0" xfId="0" applyNumberFormat="1" applyFont="1" applyFill="1" applyBorder="1" applyAlignment="1">
      <x:alignment horizontal="center"/>
    </x:xf>
    <x:xf numFmtId="201" fontId="6" fillId="7" borderId="0" xfId="0" applyNumberFormat="1" applyFont="1" applyFill="1" applyBorder="1" applyAlignment="1">
      <x:alignment horizontal="center"/>
    </x:xf>
    <x:xf numFmtId="201" fontId="6" fillId="8" borderId="0" xfId="0" applyNumberFormat="1" applyFont="1" applyFill="1" applyBorder="1" applyAlignment="1">
      <x:alignment horizontal="center"/>
    </x:xf>
    <x:xf numFmtId="201" fontId="6" fillId="9" borderId="0" xfId="0" applyNumberFormat="1" applyFont="1" applyFill="1" applyBorder="1" applyAlignment="1">
      <x:alignment horizontal="center"/>
    </x:xf>
    <x:xf numFmtId="0" fontId="6" fillId="3" borderId="9" xfId="0" applyNumberFormat="1" applyFont="1" applyFill="1" applyBorder="1" applyAlignment="1">
      <x:alignment horizontal="center"/>
    </x:xf>
    <x:xf numFmtId="0" fontId="6" fillId="3" borderId="9" xfId="0" applyNumberFormat="1" applyFont="1" applyFill="1" applyBorder="1" applyAlignment="1">
      <x:alignment horizontal="left"/>
    </x:xf>
    <x:xf numFmtId="200" fontId="6" fillId="3" borderId="9" xfId="0" applyNumberFormat="1" applyFont="1" applyFill="1" applyBorder="1" applyAlignment="1">
      <x:alignment horizontal="center"/>
    </x:xf>
    <x:xf numFmtId="201" fontId="6" fillId="3" borderId="9" xfId="0" applyNumberFormat="1" applyFont="1" applyFill="1" applyBorder="1" applyAlignment="1">
      <x:alignment horizontal="center"/>
    </x:xf>
    <x:xf numFmtId="0" fontId="6" fillId="3" borderId="10" xfId="0" applyNumberFormat="1" applyFont="1" applyFill="1" applyBorder="1" applyAlignment="1">
      <x:alignment horizontal="center"/>
    </x:xf>
    <x:xf numFmtId="0" fontId="6" fillId="3" borderId="10" xfId="0" applyNumberFormat="1" applyFont="1" applyFill="1" applyBorder="1" applyAlignment="1">
      <x:alignment horizontal="left"/>
    </x:xf>
    <x:xf numFmtId="200" fontId="6" fillId="3" borderId="10" xfId="0" applyNumberFormat="1" applyFont="1" applyFill="1" applyBorder="1" applyAlignment="1">
      <x:alignment horizontal="center"/>
    </x:xf>
    <x:xf numFmtId="201" fontId="6" fillId="3" borderId="10" xfId="0" applyNumberFormat="1" applyFont="1" applyFill="1" applyBorder="1" applyAlignment="1">
      <x:alignment horizontal="center"/>
    </x:xf>
    <x:xf numFmtId="0" fontId="6" fillId="5" borderId="10" xfId="0" applyNumberFormat="1" applyFont="1" applyFill="1" applyBorder="1" applyAlignment="1">
      <x:alignment horizontal="center"/>
    </x:xf>
    <x:xf numFmtId="0" fontId="6" fillId="5" borderId="10" xfId="0" applyNumberFormat="1" applyFont="1" applyFill="1" applyBorder="1" applyAlignment="1">
      <x:alignment horizontal="left"/>
    </x:xf>
    <x:xf numFmtId="200" fontId="6" fillId="5" borderId="10" xfId="0" applyNumberFormat="1" applyFont="1" applyFill="1" applyBorder="1" applyAlignment="1">
      <x:alignment horizontal="center"/>
    </x:xf>
    <x:xf numFmtId="201" fontId="6" fillId="5" borderId="10" xfId="0" applyNumberFormat="1" applyFont="1" applyFill="1" applyBorder="1" applyAlignment="1">
      <x:alignment horizontal="center"/>
    </x:xf>
    <x:xf numFmtId="0" fontId="6" fillId="6" borderId="10" xfId="0" applyNumberFormat="1" applyFont="1" applyFill="1" applyBorder="1" applyAlignment="1">
      <x:alignment horizontal="center"/>
    </x:xf>
    <x:xf numFmtId="0" fontId="6" fillId="6" borderId="10" xfId="0" applyNumberFormat="1" applyFont="1" applyFill="1" applyBorder="1" applyAlignment="1">
      <x:alignment horizontal="left"/>
    </x:xf>
    <x:xf numFmtId="200" fontId="6" fillId="6" borderId="10" xfId="0" applyNumberFormat="1" applyFont="1" applyFill="1" applyBorder="1" applyAlignment="1">
      <x:alignment horizontal="center"/>
    </x:xf>
    <x:xf numFmtId="201" fontId="6" fillId="6" borderId="10" xfId="0" applyNumberFormat="1" applyFont="1" applyFill="1" applyBorder="1" applyAlignment="1">
      <x:alignment horizontal="center"/>
    </x:xf>
    <x:xf numFmtId="0" fontId="6" fillId="7" borderId="10" xfId="0" applyNumberFormat="1" applyFont="1" applyFill="1" applyBorder="1" applyAlignment="1">
      <x:alignment horizontal="center"/>
    </x:xf>
    <x:xf numFmtId="0" fontId="6" fillId="7" borderId="10" xfId="0" applyNumberFormat="1" applyFont="1" applyFill="1" applyBorder="1" applyAlignment="1">
      <x:alignment horizontal="left"/>
    </x:xf>
    <x:xf numFmtId="200" fontId="6" fillId="7" borderId="10" xfId="0" applyNumberFormat="1" applyFont="1" applyFill="1" applyBorder="1" applyAlignment="1">
      <x:alignment horizontal="center"/>
    </x:xf>
    <x:xf numFmtId="201" fontId="6" fillId="7" borderId="10" xfId="0" applyNumberFormat="1" applyFont="1" applyFill="1" applyBorder="1" applyAlignment="1">
      <x:alignment horizontal="center"/>
    </x:xf>
    <x:xf numFmtId="0" fontId="6" fillId="8" borderId="10" xfId="0" applyNumberFormat="1" applyFont="1" applyFill="1" applyBorder="1" applyAlignment="1">
      <x:alignment horizontal="center"/>
    </x:xf>
    <x:xf numFmtId="0" fontId="6" fillId="8" borderId="10" xfId="0" applyNumberFormat="1" applyFont="1" applyFill="1" applyBorder="1" applyAlignment="1">
      <x:alignment horizontal="left"/>
    </x:xf>
    <x:xf numFmtId="200" fontId="6" fillId="8" borderId="10" xfId="0" applyNumberFormat="1" applyFont="1" applyFill="1" applyBorder="1" applyAlignment="1">
      <x:alignment horizontal="center"/>
    </x:xf>
    <x:xf numFmtId="201" fontId="6" fillId="8" borderId="10" xfId="0" applyNumberFormat="1" applyFont="1" applyFill="1" applyBorder="1" applyAlignment="1">
      <x:alignment horizontal="center"/>
    </x:xf>
    <x:xf numFmtId="0" fontId="6" fillId="9" borderId="10" xfId="0" applyNumberFormat="1" applyFont="1" applyFill="1" applyBorder="1" applyAlignment="1">
      <x:alignment horizontal="center"/>
    </x:xf>
    <x:xf numFmtId="0" fontId="6" fillId="9" borderId="10" xfId="0" applyNumberFormat="1" applyFont="1" applyFill="1" applyBorder="1" applyAlignment="1">
      <x:alignment horizontal="left"/>
    </x:xf>
    <x:xf numFmtId="200" fontId="6" fillId="9" borderId="10" xfId="0" applyNumberFormat="1" applyFont="1" applyFill="1" applyBorder="1" applyAlignment="1">
      <x:alignment horizontal="center"/>
    </x:xf>
    <x:xf numFmtId="201" fontId="6" fillId="9" borderId="10" xfId="0" applyNumberFormat="1" applyFont="1" applyFill="1" applyBorder="1" applyAlignment="1">
      <x:alignment horizontal="center"/>
    </x:xf>
    <x:xf numFmtId="0" fontId="6" fillId="9" borderId="11" xfId="0" applyNumberFormat="1" applyFont="1" applyFill="1" applyBorder="1" applyAlignment="1">
      <x:alignment horizontal="center"/>
    </x:xf>
    <x:xf numFmtId="0" fontId="6" fillId="9" borderId="11" xfId="0" applyNumberFormat="1" applyFont="1" applyFill="1" applyBorder="1" applyAlignment="1">
      <x:alignment horizontal="left"/>
    </x:xf>
    <x:xf numFmtId="200" fontId="6" fillId="9" borderId="11" xfId="0" applyNumberFormat="1" applyFont="1" applyFill="1" applyBorder="1" applyAlignment="1">
      <x:alignment horizontal="center"/>
    </x:xf>
    <x:xf numFmtId="201" fontId="6" fillId="9" borderId="11" xfId="0" applyNumberFormat="1" applyFont="1" applyFill="1" applyBorder="1" applyAlignment="1">
      <x:alignment horizontal="center"/>
    </x:xf>
    <x:xf numFmtId="0" fontId="6" fillId="5" borderId="9" xfId="0" applyNumberFormat="1" applyFont="1" applyFill="1" applyBorder="1" applyAlignment="1">
      <x:alignment horizontal="center"/>
    </x:xf>
    <x:xf numFmtId="0" fontId="7" fillId="5" borderId="9" xfId="0" applyNumberFormat="1" applyFont="1" applyFill="1" applyBorder="1" applyAlignment="1">
      <x:alignment horizontal="center"/>
    </x:xf>
    <x:xf numFmtId="0" fontId="7" fillId="5" borderId="10" xfId="0" applyNumberFormat="1" applyFont="1" applyFill="1" applyBorder="1" applyAlignment="1">
      <x:alignment horizontal="center"/>
    </x:xf>
    <x:xf numFmtId="0" fontId="8" fillId="7" borderId="10" xfId="0" applyNumberFormat="1" applyFont="1" applyFill="1" applyBorder="1" applyAlignment="1">
      <x:alignment horizontal="center"/>
    </x:xf>
    <x:xf numFmtId="0" fontId="6" fillId="7" borderId="11" xfId="0" applyNumberFormat="1" applyFont="1" applyFill="1" applyBorder="1" applyAlignment="1">
      <x:alignment horizontal="center"/>
    </x:xf>
    <x:xf numFmtId="0" fontId="8" fillId="7" borderId="11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9" xfId="0" applyNumberFormat="1" applyFont="1" applyFill="1" applyBorder="1"/>
    <x:xf numFmtId="0" fontId="6" fillId="10" borderId="10" xfId="0" applyNumberFormat="1" applyFont="1" applyFill="1" applyBorder="1"/>
    <x:xf numFmtId="0" fontId="6" fillId="10" borderId="11" xfId="0" applyNumberFormat="1" applyFont="1" applyFill="1" applyBorder="1"/>
    <x:xf numFmtId="0" fontId="6" fillId="10" borderId="9" xfId="0" applyNumberFormat="1" applyFont="1" applyFill="1" applyBorder="1" applyAlignment="1">
      <x:alignment horizontal="right"/>
    </x:xf>
    <x:xf numFmtId="0" fontId="6" fillId="10" borderId="10" xfId="0" applyNumberFormat="1" applyFont="1" applyFill="1" applyBorder="1" applyAlignment="1">
      <x:alignment horizontal="right"/>
    </x:xf>
    <x:xf numFmtId="0" fontId="6" fillId="10" borderId="11" xfId="0" applyNumberFormat="1" applyFont="1" applyFill="1" applyBorder="1" applyAlignment="1">
      <x:alignment horizontal="right"/>
    </x:xf>
    <x:xf numFmtId="0" fontId="6" fillId="11" borderId="0" xfId="0" applyNumberFormat="1" applyFont="1" applyFill="1" applyBorder="1"/>
    <x:xf numFmtId="0" fontId="6" fillId="11" borderId="9" xfId="0" applyNumberFormat="1" applyFont="1" applyFill="1" applyBorder="1"/>
    <x:xf numFmtId="0" fontId="6" fillId="11" borderId="10" xfId="0" applyNumberFormat="1" applyFont="1" applyFill="1" applyBorder="1"/>
    <x:xf numFmtId="0" fontId="6" fillId="11" borderId="11" xfId="0" applyNumberFormat="1" applyFont="1" applyFill="1" applyBorder="1"/>
    <x:xf numFmtId="0" fontId="6" fillId="11" borderId="9" xfId="0" applyNumberFormat="1" applyFont="1" applyFill="1" applyBorder="1" applyAlignment="1">
      <x:alignment horizontal="center"/>
    </x:xf>
    <x:xf numFmtId="0" fontId="6" fillId="11" borderId="10" xfId="0" applyNumberFormat="1" applyFont="1" applyFill="1" applyBorder="1" applyAlignment="1">
      <x:alignment horizontal="center"/>
    </x:xf>
    <x:xf numFmtId="0" fontId="6" fillId="11" borderId="11" xfId="0" applyNumberFormat="1" applyFont="1" applyFill="1" applyBorder="1" applyAlignment="1">
      <x:alignment horizontal="center"/>
    </x:xf>
    <x:xf numFmtId="201" fontId="6" fillId="11" borderId="9" xfId="0" applyNumberFormat="1" applyFont="1" applyFill="1" applyBorder="1"/>
    <x:xf numFmtId="201" fontId="6" fillId="11" borderId="10" xfId="0" applyNumberFormat="1" applyFont="1" applyFill="1" applyBorder="1"/>
    <x:xf numFmtId="201" fontId="6" fillId="11" borderId="11" xfId="0" applyNumberFormat="1" applyFont="1" applyFill="1" applyBorder="1"/>
    <x:xf numFmtId="201" fontId="6" fillId="11" borderId="9" xfId="0" applyNumberFormat="1" applyFont="1" applyFill="1" applyBorder="1" applyAlignment="1">
      <x:alignment horizontal="right"/>
    </x:xf>
    <x:xf numFmtId="201" fontId="6" fillId="11" borderId="10" xfId="0" applyNumberFormat="1" applyFont="1" applyFill="1" applyBorder="1" applyAlignment="1">
      <x:alignment horizontal="right"/>
    </x:xf>
    <x:xf numFmtId="201" fontId="6" fillId="11" borderId="11" xfId="0" applyNumberFormat="1" applyFont="1" applyFill="1" applyBorder="1" applyAlignment="1">
      <x:alignment horizontal="right"/>
    </x:xf>
    <x:xf numFmtId="0" fontId="6" fillId="0" borderId="9" xfId="0" applyNumberFormat="1" applyFont="1" applyFill="1" applyBorder="1"/>
    <x:xf numFmtId="0" fontId="6" fillId="0" borderId="10" xfId="0" applyNumberFormat="1" applyFont="1" applyFill="1" applyBorder="1"/>
    <x:xf numFmtId="0" fontId="6" fillId="0" borderId="11" xfId="0" applyNumberFormat="1" applyFont="1" applyFill="1" applyBorder="1"/>
    <x:xf numFmtId="0" fontId="6" fillId="12" borderId="9" xfId="0" applyNumberFormat="1" applyFont="1" applyFill="1" applyBorder="1"/>
    <x:xf numFmtId="0" fontId="6" fillId="12" borderId="10" xfId="0" applyNumberFormat="1" applyFont="1" applyFill="1" applyBorder="1"/>
    <x:xf numFmtId="0" fontId="6" fillId="12" borderId="11" xfId="0" applyNumberFormat="1" applyFont="1" applyFill="1" applyBorder="1"/>
    <x:xf numFmtId="0" fontId="9" fillId="10" borderId="9" xfId="0" applyNumberFormat="1" applyFont="1" applyFill="1" applyBorder="1"/>
    <x:xf numFmtId="0" fontId="9" fillId="10" borderId="10" xfId="0" applyNumberFormat="1" applyFont="1" applyFill="1" applyBorder="1"/>
    <x:xf numFmtId="0" fontId="9" fillId="10" borderId="11" xfId="0" applyNumberFormat="1" applyFont="1" applyFill="1" applyBorder="1"/>
  </x:cellXfs>
  <x:cellStyles count="1">
    <x:cellStyle name="Normal" xfId="0"/>
  </x:cellStyles>
  <x:dxfs count="4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770841691e4b28" /><Relationship Type="http://schemas.openxmlformats.org/officeDocument/2006/relationships/theme" Target="/xl/theme/theme1.xml" Id="Re32df13acdd24fee" /><Relationship Type="http://schemas.openxmlformats.org/officeDocument/2006/relationships/sharedStrings" Target="/xl/sharedStrings.xml" Id="Raa7ca6eb0e0844be" /><Relationship Type="http://schemas.openxmlformats.org/officeDocument/2006/relationships/worksheet" Target="/xl/worksheets/sheet1.xml" Id="R733608c66ada412e" /><Relationship Type="http://schemas.openxmlformats.org/officeDocument/2006/relationships/worksheet" Target="/xl/worksheets/sheet2.xml" Id="R346fc04bbe2348a5" /><Relationship Type="http://schemas.openxmlformats.org/officeDocument/2006/relationships/worksheet" Target="/xl/worksheets/sheet3.xml" Id="Re8baa1d1079149c1" /></Relationships>
</file>

<file path=xl/tables/table1.xml><?xml version="1.0" encoding="utf-8"?>
<x:table xmlns:x="http://schemas.openxmlformats.org/spreadsheetml/2006/main" id="1" name="MatmulPerformanceTable" displayName="MatmulPerformanceTable" ref="A4:U242" headerRowCount="1" totalsRowCount="0" totalsRowShown="0">
  <x:autoFilter ref="A4:U242"/>
  <x:tableColumns count="21">
    <x:tableColumn id="1" name="Shape"/>
    <x:tableColumn id="2" name="dtype"/>
    <x:tableColumn id="3" name="M"/>
    <x:tableColumn id="4" name="N"/>
    <x:tableColumn id="5" name="K"/>
    <x:tableColumn id="6" name="tM"/>
    <x:tableColumn id="7" name="tN"/>
    <x:tableColumn id="8" name="tK"/>
    <x:tableColumn id="9" name="Tile A(KB)"/>
    <x:tableColumn id="10" name="Tile B(KB)"/>
    <x:tableColumn id="11" name="Total(KB)"/>
    <x:tableColumn id="12" name="cycles"/>
    <x:tableColumn id="13" name="PMU"/>
    <x:tableColumn id="14" name="Cube读带宽需求 (B/c)"/>
    <x:tableColumn id="15" name="Cube写带宽需求 (B/c)"/>
    <x:tableColumn id="16" name="读带宽约束 Cube利用率"/>
    <x:tableColumn id="17" name="写带宽约束 Cube利用率"/>
    <x:tableColumn id="18" name="带宽约束 Cube利用率"/>
    <x:tableColumn id="19" name="PMU - 带宽约束 (pp)"/>
    <x:tableColumn id="20" name="状态"/>
    <x:tableColumn id="21" name="执行结果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ptimalConfigsTable" displayName="OptimalConfigsTable" ref="A4:H40" headerRowCount="1" totalsRowCount="0" totalsRowShown="0">
  <x:autoFilter ref="A4:H40"/>
  <x:tableColumns count="8">
    <x:tableColumn id="1" name="Shape"/>
    <x:tableColumn id="2" name="MNK"/>
    <x:tableColumn id="3" name="dtype"/>
    <x:tableColumn id="4" name="最优配置"/>
    <x:tableColumn id="5" name="cycles"/>
    <x:tableColumn id="6" name="PMU"/>
    <x:tableColumn id="7" name="状态"/>
    <x:tableColumn id="8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dd1708886a49d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e485034ab2e465e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9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8" hidden="0" customWidth="1"/>
    <x:col min="7" max="7" width="8" hidden="0" customWidth="1"/>
    <x:col min="8" max="8" width="8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20" hidden="0" customWidth="1"/>
    <x:col min="15" max="15" width="20" hidden="0" customWidth="1"/>
    <x:col min="16" max="16" width="21" hidden="0" customWidth="1"/>
    <x:col min="17" max="17" width="21" hidden="0" customWidth="1"/>
    <x:col min="18" max="18" width="21" hidden="0" customWidth="1"/>
    <x:col min="19" max="19" width="23" hidden="0" customWidth="1"/>
    <x:col min="20" max="20" width="18" hidden="0" customWidth="1"/>
    <x:col min="21" max="21" width="72" hidden="0" customWidth="1"/>
  </x:cols>
  <x:sheetData>
    <x:row r="1" ht="24" customHeight="1">
      <x:c r="A1" s="1" t="str">
        <x:v>matmul_shared 性能配置对比</x:v>
      </x:c>
    </x:row>
    <x:row r="2" ht="20" customHeight="1">
      <x:c r="A2" s="2" t="str">
        <x:v>容量口径：Total(KB) ≤ 256；已剔除 26 个超容量测例。浅色表示 Shape，金色表示同 Shape + dtype 的最优 PASS 配置。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</x:row>
    <x:row r="4" ht="32" customHeight="1">
      <x:c r="A4" s="9" t="str">
        <x:v>Shape</x:v>
      </x:c>
      <x:c r="B4" s="9" t="str">
        <x:v>dtype</x:v>
      </x:c>
      <x:c r="C4" s="9" t="str">
        <x:v>M</x:v>
      </x:c>
      <x:c r="D4" s="9" t="str">
        <x:v>N</x:v>
      </x:c>
      <x:c r="E4" s="9" t="str">
        <x:v>K</x:v>
      </x:c>
      <x:c r="F4" s="9" t="str">
        <x:v>tM</x:v>
      </x:c>
      <x:c r="G4" s="9" t="str">
        <x:v>tN</x:v>
      </x:c>
      <x:c r="H4" s="9" t="str">
        <x:v>tK</x:v>
      </x:c>
      <x:c r="I4" s="9" t="str">
        <x:v>Tile A(KB)</x:v>
      </x:c>
      <x:c r="J4" s="9" t="str">
        <x:v>Tile B(KB)</x:v>
      </x:c>
      <x:c r="K4" s="9" t="str">
        <x:v>Total(KB)</x:v>
      </x:c>
      <x:c r="L4" s="9" t="str">
        <x:v>cycles</x:v>
      </x:c>
      <x:c r="M4" s="9" t="str">
        <x:v>PMU</x:v>
      </x:c>
      <x:c r="N4" s="9" t="str">
        <x:v>Cube读带宽需求 (B/c)</x:v>
      </x:c>
      <x:c r="O4" s="9" t="str">
        <x:v>Cube写带宽需求 (B/c)</x:v>
      </x:c>
      <x:c r="P4" s="9" t="str">
        <x:v>读带宽约束 Cube利用率</x:v>
      </x:c>
      <x:c r="Q4" s="9" t="str">
        <x:v>写带宽约束 Cube利用率</x:v>
      </x:c>
      <x:c r="R4" s="9" t="str">
        <x:v>带宽约束 Cube利用率</x:v>
      </x:c>
      <x:c r="S4" s="9" t="str">
        <x:v>PMU - 带宽约束 (pp)</x:v>
      </x:c>
      <x:c r="T4" s="9" t="str">
        <x:v>状态</x:v>
      </x:c>
      <x:c r="U4" s="9" t="str">
        <x:v>执行结果</x:v>
      </x:c>
    </x:row>
    <x:row r="5" ht="19" customHeight="1">
      <x:c r="A5" s="33" t="str">
        <x:v>S1</x:v>
      </x:c>
      <x:c r="B5" s="33" t="str">
        <x:v>FP32</x:v>
      </x:c>
      <x:c r="C5" s="34" t="n">
        <x:v>2048</x:v>
      </x:c>
      <x:c r="D5" s="34" t="n">
        <x:v>256</x:v>
      </x:c>
      <x:c r="E5" s="34" t="n">
        <x:v>2048</x:v>
      </x:c>
      <x:c r="F5" s="34" t="n">
        <x:v>128</x:v>
      </x:c>
      <x:c r="G5" s="34" t="n">
        <x:v>64</x:v>
      </x:c>
      <x:c r="H5" s="34" t="n">
        <x:v>64</x:v>
      </x:c>
      <x:c r="I5" s="34" t="n">
        <x:v>32</x:v>
      </x:c>
      <x:c r="J5" s="34" t="n">
        <x:v>16</x:v>
      </x:c>
      <x:c r="K5" s="34" t="n">
        <x:v>48</x:v>
      </x:c>
      <x:c r="L5" s="34" t="n">
        <x:v>818888</x:v>
      </x:c>
      <x:c r="M5" s="35" t="n">
        <x:f>IF(AND(ISNUMBER(L5),L5&gt;0),ROUND(C5*D5*E5/2048/L5*100,1)/100,"")</x:f>
        <x:v>0.64</x:v>
      </x:c>
      <x:c r="N5" s="36" t="n">
        <x:f>IF(OR(F5="",G5="",H5=""),"",((I5+J5)*1024)/(F5*G5*H5/2048))</x:f>
        <x:v>192</x:v>
      </x:c>
      <x:c r="O5" s="36" t="n">
        <x:f>IF(OR(F5="",G5="",H5=""),"",(F5*G5*4)/(F5*G5*H5/2048))</x:f>
        <x:v>128</x:v>
      </x:c>
      <x:c r="P5" s="35" t="n">
        <x:f>IF(AND(ISNUMBER(N5),N5&gt;0),MIN(1,128/N5),"")</x:f>
        <x:v>0.6666666666666666</x:v>
      </x:c>
      <x:c r="Q5" s="35" t="n">
        <x:f>IF(AND(ISNUMBER(O5),O5&gt;0),MIN(1,512/O5),"")</x:f>
        <x:v>1</x:v>
      </x:c>
      <x:c r="R5" s="35" t="n">
        <x:f>IF(AND(ISNUMBER(P5),ISNUMBER(Q5)),MIN(P5,Q5),"")</x:f>
        <x:v>0.6666666666666666</x:v>
      </x:c>
      <x:c r="S5" s="36" t="n">
        <x:f>IF(AND(ISNUMBER(M5),ISNUMBER(R5)),(M5-R5)*100,"")</x:f>
        <x:v>-2.6666666666666616</x:v>
      </x:c>
      <x:c r="T5" s="33" t="str">
        <x:v>PASS</x:v>
      </x:c>
      <x:c r="U5" s="37" t="str">
        <x:v>S1 FP32 表内历史数据，本轮未重跑</x:v>
      </x:c>
    </x:row>
    <x:row r="6" ht="19" customHeight="1">
      <x:c r="A6" s="38" t="str">
        <x:v>S1</x:v>
      </x:c>
      <x:c r="B6" s="38" t="str">
        <x:v>FP32</x:v>
      </x:c>
      <x:c r="C6" s="39" t="n">
        <x:v>2048</x:v>
      </x:c>
      <x:c r="D6" s="39" t="n">
        <x:v>256</x:v>
      </x:c>
      <x:c r="E6" s="39" t="n">
        <x:v>2048</x:v>
      </x:c>
      <x:c r="F6" s="39" t="n">
        <x:v>128</x:v>
      </x:c>
      <x:c r="G6" s="39" t="n">
        <x:v>64</x:v>
      </x:c>
      <x:c r="H6" s="39" t="n">
        <x:v>128</x:v>
      </x:c>
      <x:c r="I6" s="39" t="n">
        <x:v>64</x:v>
      </x:c>
      <x:c r="J6" s="39" t="n">
        <x:v>32</x:v>
      </x:c>
      <x:c r="K6" s="39" t="n">
        <x:v>96</x:v>
      </x:c>
      <x:c r="L6" s="39" t="n">
        <x:v>813023</x:v>
      </x:c>
      <x:c r="M6" s="40" t="n">
        <x:f>IF(AND(ISNUMBER(L6),L6&gt;0),ROUND(C6*D6*E6/2048/L6*100,1)/100,"")</x:f>
        <x:v>0.645</x:v>
      </x:c>
      <x:c r="N6" s="41" t="n">
        <x:f>IF(OR(F6="",G6="",H6=""),"",((I6+J6)*1024)/(F6*G6*H6/2048))</x:f>
        <x:v>192</x:v>
      </x:c>
      <x:c r="O6" s="41" t="n">
        <x:f>IF(OR(F6="",G6="",H6=""),"",(F6*G6*4)/(F6*G6*H6/2048))</x:f>
        <x:v>64</x:v>
      </x:c>
      <x:c r="P6" s="40" t="n">
        <x:f>IF(AND(ISNUMBER(N6),N6&gt;0),MIN(1,128/N6),"")</x:f>
        <x:v>0.6666666666666666</x:v>
      </x:c>
      <x:c r="Q6" s="40" t="n">
        <x:f>IF(AND(ISNUMBER(O6),O6&gt;0),MIN(1,512/O6),"")</x:f>
        <x:v>1</x:v>
      </x:c>
      <x:c r="R6" s="40" t="n">
        <x:f>IF(AND(ISNUMBER(P6),ISNUMBER(Q6)),MIN(P6,Q6),"")</x:f>
        <x:v>0.6666666666666666</x:v>
      </x:c>
      <x:c r="S6" s="41" t="n">
        <x:f>IF(AND(ISNUMBER(M6),ISNUMBER(R6)),(M6-R6)*100,"")</x:f>
        <x:v>-2.166666666666661</x:v>
      </x:c>
      <x:c r="T6" s="38" t="str">
        <x:v>PASS</x:v>
      </x:c>
      <x:c r="U6" s="42" t="str">
        <x:v>S1 FP32 表内历史数据，本轮未重跑</x:v>
      </x:c>
    </x:row>
    <x:row r="7" ht="19" customHeight="1">
      <x:c r="A7" s="38" t="str">
        <x:v>S1</x:v>
      </x:c>
      <x:c r="B7" s="38" t="str">
        <x:v>FP32</x:v>
      </x:c>
      <x:c r="C7" s="39" t="n">
        <x:v>2048</x:v>
      </x:c>
      <x:c r="D7" s="39" t="n">
        <x:v>256</x:v>
      </x:c>
      <x:c r="E7" s="39" t="n">
        <x:v>2048</x:v>
      </x:c>
      <x:c r="F7" s="39" t="n">
        <x:v>128</x:v>
      </x:c>
      <x:c r="G7" s="39" t="n">
        <x:v>64</x:v>
      </x:c>
      <x:c r="H7" s="39" t="n">
        <x:v>256</x:v>
      </x:c>
      <x:c r="I7" s="39" t="n">
        <x:v>128</x:v>
      </x:c>
      <x:c r="J7" s="39" t="n">
        <x:v>64</x:v>
      </x:c>
      <x:c r="K7" s="39" t="n">
        <x:v>192</x:v>
      </x:c>
      <x:c r="L7" s="39" t="n">
        <x:v>1373676</x:v>
      </x:c>
      <x:c r="M7" s="40" t="n">
        <x:f>IF(AND(ISNUMBER(L7),L7&gt;0),ROUND(C7*D7*E7/2048/L7*100,1)/100,"")</x:f>
        <x:v>0.382</x:v>
      </x:c>
      <x:c r="N7" s="41" t="n">
        <x:f>IF(OR(F7="",G7="",H7=""),"",((I7+J7)*1024)/(F7*G7*H7/2048))</x:f>
        <x:v>192</x:v>
      </x:c>
      <x:c r="O7" s="41" t="n">
        <x:f>IF(OR(F7="",G7="",H7=""),"",(F7*G7*4)/(F7*G7*H7/2048))</x:f>
        <x:v>32</x:v>
      </x:c>
      <x:c r="P7" s="40" t="n">
        <x:f>IF(AND(ISNUMBER(N7),N7&gt;0),MIN(1,128/N7),"")</x:f>
        <x:v>0.6666666666666666</x:v>
      </x:c>
      <x:c r="Q7" s="40" t="n">
        <x:f>IF(AND(ISNUMBER(O7),O7&gt;0),MIN(1,512/O7),"")</x:f>
        <x:v>1</x:v>
      </x:c>
      <x:c r="R7" s="40" t="n">
        <x:f>IF(AND(ISNUMBER(P7),ISNUMBER(Q7)),MIN(P7,Q7),"")</x:f>
        <x:v>0.6666666666666666</x:v>
      </x:c>
      <x:c r="S7" s="41" t="n">
        <x:f>IF(AND(ISNUMBER(M7),ISNUMBER(R7)),(M7-R7)*100,"")</x:f>
        <x:v>-28.46666666666666</x:v>
      </x:c>
      <x:c r="T7" s="38" t="str">
        <x:v>PASS</x:v>
      </x:c>
      <x:c r="U7" s="42" t="str">
        <x:v>本轮 SuperScalarModel-main ca92ea3bc708；gfsim PASS；完整 soc_random/bw113/lat330 配置</x:v>
      </x:c>
    </x:row>
    <x:row r="8" ht="19" customHeight="1">
      <x:c r="A8" s="38" t="str">
        <x:v>S1</x:v>
      </x:c>
      <x:c r="B8" s="38" t="str">
        <x:v>FP32</x:v>
      </x:c>
      <x:c r="C8" s="39" t="n">
        <x:v>2048</x:v>
      </x:c>
      <x:c r="D8" s="39" t="n">
        <x:v>256</x:v>
      </x:c>
      <x:c r="E8" s="39" t="n">
        <x:v>2048</x:v>
      </x:c>
      <x:c r="F8" s="39" t="n">
        <x:v>128</x:v>
      </x:c>
      <x:c r="G8" s="39" t="n">
        <x:v>128</x:v>
      </x:c>
      <x:c r="H8" s="39" t="n">
        <x:v>64</x:v>
      </x:c>
      <x:c r="I8" s="39" t="n">
        <x:v>32</x:v>
      </x:c>
      <x:c r="J8" s="39" t="n">
        <x:v>32</x:v>
      </x:c>
      <x:c r="K8" s="39" t="n">
        <x:v>64</x:v>
      </x:c>
      <x:c r="L8" s="39" t="n">
        <x:v>545316</x:v>
      </x:c>
      <x:c r="M8" s="40" t="n">
        <x:f>IF(AND(ISNUMBER(L8),L8&gt;0),ROUND(C8*D8*E8/2048/L8*100,1)/100,"")</x:f>
        <x:v>0.961</x:v>
      </x:c>
      <x:c r="N8" s="41" t="n">
        <x:f>IF(OR(F8="",G8="",H8=""),"",((I8+J8)*1024)/(F8*G8*H8/2048))</x:f>
        <x:v>128</x:v>
      </x:c>
      <x:c r="O8" s="41" t="n">
        <x:f>IF(OR(F8="",G8="",H8=""),"",(F8*G8*4)/(F8*G8*H8/2048))</x:f>
        <x:v>128</x:v>
      </x:c>
      <x:c r="P8" s="40" t="n">
        <x:f>IF(AND(ISNUMBER(N8),N8&gt;0),MIN(1,128/N8),"")</x:f>
        <x:v>1</x:v>
      </x:c>
      <x:c r="Q8" s="40" t="n">
        <x:f>IF(AND(ISNUMBER(O8),O8&gt;0),MIN(1,512/O8),"")</x:f>
        <x:v>1</x:v>
      </x:c>
      <x:c r="R8" s="40" t="n">
        <x:f>IF(AND(ISNUMBER(P8),ISNUMBER(Q8)),MIN(P8,Q8),"")</x:f>
        <x:v>1</x:v>
      </x:c>
      <x:c r="S8" s="41" t="n">
        <x:f>IF(AND(ISNUMBER(M8),ISNUMBER(R8)),(M8-R8)*100,"")</x:f>
        <x:v>-3.9000000000000035</x:v>
      </x:c>
      <x:c r="T8" s="38" t="str">
        <x:v>PASS</x:v>
      </x:c>
      <x:c r="U8" s="42" t="str">
        <x:v>S1 FP32 表内历史数据，本轮未重跑</x:v>
      </x:c>
    </x:row>
    <x:row r="9" ht="19" customHeight="1">
      <x:c r="A9" s="53" t="str">
        <x:v>S1</x:v>
      </x:c>
      <x:c r="B9" s="54" t="str">
        <x:v>FP32</x:v>
      </x:c>
      <x:c r="C9" s="55" t="n">
        <x:v>2048</x:v>
      </x:c>
      <x:c r="D9" s="55" t="n">
        <x:v>256</x:v>
      </x:c>
      <x:c r="E9" s="55" t="n">
        <x:v>2048</x:v>
      </x:c>
      <x:c r="F9" s="55" t="n">
        <x:v>128</x:v>
      </x:c>
      <x:c r="G9" s="55" t="n">
        <x:v>128</x:v>
      </x:c>
      <x:c r="H9" s="55" t="n">
        <x:v>128</x:v>
      </x:c>
      <x:c r="I9" s="55" t="n">
        <x:v>64</x:v>
      </x:c>
      <x:c r="J9" s="55" t="n">
        <x:v>64</x:v>
      </x:c>
      <x:c r="K9" s="55" t="n">
        <x:v>128</x:v>
      </x:c>
      <x:c r="L9" s="55" t="n">
        <x:v>544301</x:v>
      </x:c>
      <x:c r="M9" s="56" t="n">
        <x:f>IF(AND(ISNUMBER(L9),L9&gt;0),ROUND(C9*D9*E9/2048/L9*100,1)/100,"")</x:f>
        <x:v>0.963</x:v>
      </x:c>
      <x:c r="N9" s="57" t="n">
        <x:f>IF(OR(F9="",G9="",H9=""),"",((I9+J9)*1024)/(F9*G9*H9/2048))</x:f>
        <x:v>128</x:v>
      </x:c>
      <x:c r="O9" s="57" t="n">
        <x:f>IF(OR(F9="",G9="",H9=""),"",(F9*G9*4)/(F9*G9*H9/2048))</x:f>
        <x:v>64</x:v>
      </x:c>
      <x:c r="P9" s="56" t="n">
        <x:f>IF(AND(ISNUMBER(N9),N9&gt;0),MIN(1,128/N9),"")</x:f>
        <x:v>1</x:v>
      </x:c>
      <x:c r="Q9" s="56" t="n">
        <x:f>IF(AND(ISNUMBER(O9),O9&gt;0),MIN(1,512/O9),"")</x:f>
        <x:v>1</x:v>
      </x:c>
      <x:c r="R9" s="56" t="n">
        <x:f>IF(AND(ISNUMBER(P9),ISNUMBER(Q9)),MIN(P9,Q9),"")</x:f>
        <x:v>1</x:v>
      </x:c>
      <x:c r="S9" s="57" t="n">
        <x:f>IF(AND(ISNUMBER(M9),ISNUMBER(R9)),(M9-R9)*100,"")</x:f>
        <x:v>-3.7000000000000033</x:v>
      </x:c>
      <x:c r="T9" s="54" t="str">
        <x:v>PASS</x:v>
      </x:c>
      <x:c r="U9" s="58" t="str">
        <x:v>S1 FP32 表内历史数据，本轮未重跑</x:v>
      </x:c>
    </x:row>
    <x:row r="10" ht="19" customHeight="1">
      <x:c r="A10" s="38" t="str">
        <x:v>S1</x:v>
      </x:c>
      <x:c r="B10" s="38" t="str">
        <x:v>FP32</x:v>
      </x:c>
      <x:c r="C10" s="39" t="n">
        <x:v>2048</x:v>
      </x:c>
      <x:c r="D10" s="39" t="n">
        <x:v>256</x:v>
      </x:c>
      <x:c r="E10" s="39" t="n">
        <x:v>2048</x:v>
      </x:c>
      <x:c r="F10" s="39" t="n">
        <x:v>128</x:v>
      </x:c>
      <x:c r="G10" s="39" t="n">
        <x:v>128</x:v>
      </x:c>
      <x:c r="H10" s="39" t="n">
        <x:v>256</x:v>
      </x:c>
      <x:c r="I10" s="39" t="n">
        <x:v>128</x:v>
      </x:c>
      <x:c r="J10" s="39" t="n">
        <x:v>128</x:v>
      </x:c>
      <x:c r="K10" s="39" t="n">
        <x:v>256</x:v>
      </x:c>
      <x:c r="L10" s="39" t="n">
        <x:v>789196</x:v>
      </x:c>
      <x:c r="M10" s="40" t="n">
        <x:f>IF(AND(ISNUMBER(L10),L10&gt;0),ROUND(C10*D10*E10/2048/L10*100,1)/100,"")</x:f>
        <x:v>0.664</x:v>
      </x:c>
      <x:c r="N10" s="41" t="n">
        <x:f>IF(OR(F10="",G10="",H10=""),"",((I10+J10)*1024)/(F10*G10*H10/2048))</x:f>
        <x:v>128</x:v>
      </x:c>
      <x:c r="O10" s="41" t="n">
        <x:f>IF(OR(F10="",G10="",H10=""),"",(F10*G10*4)/(F10*G10*H10/2048))</x:f>
        <x:v>32</x:v>
      </x:c>
      <x:c r="P10" s="40" t="n">
        <x:f>IF(AND(ISNUMBER(N10),N10&gt;0),MIN(1,128/N10),"")</x:f>
        <x:v>1</x:v>
      </x:c>
      <x:c r="Q10" s="40" t="n">
        <x:f>IF(AND(ISNUMBER(O10),O10&gt;0),MIN(1,512/O10),"")</x:f>
        <x:v>1</x:v>
      </x:c>
      <x:c r="R10" s="40" t="n">
        <x:f>IF(AND(ISNUMBER(P10),ISNUMBER(Q10)),MIN(P10,Q10),"")</x:f>
        <x:v>1</x:v>
      </x:c>
      <x:c r="S10" s="41" t="n">
        <x:f>IF(AND(ISNUMBER(M10),ISNUMBER(R10)),(M10-R10)*100,"")</x:f>
        <x:v>-33.599999999999994</x:v>
      </x:c>
      <x:c r="T10" s="38" t="str">
        <x:v>PASS</x:v>
      </x:c>
      <x:c r="U10" s="42" t="str">
        <x:v>S1 FP32 表内历史数据，本轮未重跑</x:v>
      </x:c>
    </x:row>
    <x:row r="11" ht="19" customHeight="1">
      <x:c r="A11" s="38" t="str">
        <x:v>S1</x:v>
      </x:c>
      <x:c r="B11" s="38" t="str">
        <x:v>BF16</x:v>
      </x:c>
      <x:c r="C11" s="39" t="n">
        <x:v>2048</x:v>
      </x:c>
      <x:c r="D11" s="39" t="n">
        <x:v>256</x:v>
      </x:c>
      <x:c r="E11" s="39" t="n">
        <x:v>2048</x:v>
      </x:c>
      <x:c r="F11" s="39" t="n">
        <x:v>128</x:v>
      </x:c>
      <x:c r="G11" s="39" t="n">
        <x:v>64</x:v>
      </x:c>
      <x:c r="H11" s="39" t="n">
        <x:v>64</x:v>
      </x:c>
      <x:c r="I11" s="39" t="n">
        <x:v>16</x:v>
      </x:c>
      <x:c r="J11" s="39" t="n">
        <x:v>8</x:v>
      </x:c>
      <x:c r="K11" s="39" t="n">
        <x:v>24</x:v>
      </x:c>
      <x:c r="L11" s="39" t="str">
        <x:v>—</x:v>
      </x:c>
      <x:c r="M11" s="40" t="str">
        <x:f>IF(AND(ISNUMBER(L11),L11&gt;0),ROUND(C11*D11*E11/4096/L11*100,1)/100,"")</x:f>
      </x:c>
      <x:c r="N11" s="41" t="n">
        <x:f>IF(OR(F11="",G11="",H11=""),"",((I11+J11)*1024)/(F11*G11*H11/4096))</x:f>
        <x:v>192</x:v>
      </x:c>
      <x:c r="O11" s="41" t="n">
        <x:f>IF(OR(F11="",G11="",H11=""),"",(F11*G11*4)/(F11*G11*H11/4096))</x:f>
        <x:v>256</x:v>
      </x:c>
      <x:c r="P11" s="40" t="n">
        <x:f>IF(AND(ISNUMBER(N11),N11&gt;0),MIN(1,128/N11),"")</x:f>
        <x:v>0.6666666666666666</x:v>
      </x:c>
      <x:c r="Q11" s="40" t="n">
        <x:f>IF(AND(ISNUMBER(O11),O11&gt;0),MIN(1,512/O11),"")</x:f>
        <x:v>1</x:v>
      </x:c>
      <x:c r="R11" s="40" t="n">
        <x:f>IF(AND(ISNUMBER(P11),ISNUMBER(Q11)),MIN(P11,Q11),"")</x:f>
        <x:v>0.6666666666666666</x:v>
      </x:c>
      <x:c r="S11" s="41" t="str">
        <x:f>IF(AND(ISNUMBER(M11),ISNUMBER(R11)),(M11-R11)*100,"")</x:f>
      </x:c>
      <x:c r="T11" s="38" t="str">
        <x:v>DEADLOCK</x:v>
      </x:c>
      <x:c r="U11" s="42" t="str">
        <x:v>本轮 SuperScalarModel-main ca92ea3bc708；gfsim DEADLOCK：false &amp;&amp; "Deadlock detected: simulation stalled, no new blocks committed for too long"</x:v>
      </x:c>
    </x:row>
    <x:row r="12" ht="19" customHeight="1">
      <x:c r="A12" s="38" t="str">
        <x:v>S1</x:v>
      </x:c>
      <x:c r="B12" s="38" t="str">
        <x:v>BF16</x:v>
      </x:c>
      <x:c r="C12" s="39" t="n">
        <x:v>2048</x:v>
      </x:c>
      <x:c r="D12" s="39" t="n">
        <x:v>256</x:v>
      </x:c>
      <x:c r="E12" s="39" t="n">
        <x:v>2048</x:v>
      </x:c>
      <x:c r="F12" s="39" t="n">
        <x:v>128</x:v>
      </x:c>
      <x:c r="G12" s="39" t="n">
        <x:v>64</x:v>
      </x:c>
      <x:c r="H12" s="39" t="n">
        <x:v>128</x:v>
      </x:c>
      <x:c r="I12" s="39" t="n">
        <x:v>32</x:v>
      </x:c>
      <x:c r="J12" s="39" t="n">
        <x:v>16</x:v>
      </x:c>
      <x:c r="K12" s="39" t="n">
        <x:v>48</x:v>
      </x:c>
      <x:c r="L12" s="39" t="n">
        <x:v>419368</x:v>
      </x:c>
      <x:c r="M12" s="40" t="n">
        <x:f>IF(AND(ISNUMBER(L12),L12&gt;0),ROUND(C12*D12*E12/4096/L12*100,1)/100,"")</x:f>
        <x:v>0.625</x:v>
      </x:c>
      <x:c r="N12" s="41" t="n">
        <x:f>IF(OR(F12="",G12="",H12=""),"",((I12+J12)*1024)/(F12*G12*H12/4096))</x:f>
        <x:v>192</x:v>
      </x:c>
      <x:c r="O12" s="41" t="n">
        <x:f>IF(OR(F12="",G12="",H12=""),"",(F12*G12*4)/(F12*G12*H12/4096))</x:f>
        <x:v>128</x:v>
      </x:c>
      <x:c r="P12" s="40" t="n">
        <x:f>IF(AND(ISNUMBER(N12),N12&gt;0),MIN(1,128/N12),"")</x:f>
        <x:v>0.6666666666666666</x:v>
      </x:c>
      <x:c r="Q12" s="40" t="n">
        <x:f>IF(AND(ISNUMBER(O12),O12&gt;0),MIN(1,512/O12),"")</x:f>
        <x:v>1</x:v>
      </x:c>
      <x:c r="R12" s="40" t="n">
        <x:f>IF(AND(ISNUMBER(P12),ISNUMBER(Q12)),MIN(P12,Q12),"")</x:f>
        <x:v>0.6666666666666666</x:v>
      </x:c>
      <x:c r="S12" s="41" t="n">
        <x:f>IF(AND(ISNUMBER(M12),ISNUMBER(R12)),(M12-R12)*100,"")</x:f>
        <x:v>-4.1666666666666625</x:v>
      </x:c>
      <x:c r="T12" s="38" t="str">
        <x:v>PASS</x:v>
      </x:c>
      <x:c r="U12" s="42" t="str">
        <x:v>本轮 model-main ca92ea3bc708</x:v>
      </x:c>
    </x:row>
    <x:row r="13" ht="19" customHeight="1">
      <x:c r="A13" s="38" t="str">
        <x:v>S1</x:v>
      </x:c>
      <x:c r="B13" s="38" t="str">
        <x:v>BF16</x:v>
      </x:c>
      <x:c r="C13" s="39" t="n">
        <x:v>2048</x:v>
      </x:c>
      <x:c r="D13" s="39" t="n">
        <x:v>256</x:v>
      </x:c>
      <x:c r="E13" s="39" t="n">
        <x:v>2048</x:v>
      </x:c>
      <x:c r="F13" s="39" t="n">
        <x:v>128</x:v>
      </x:c>
      <x:c r="G13" s="39" t="n">
        <x:v>64</x:v>
      </x:c>
      <x:c r="H13" s="39" t="n">
        <x:v>256</x:v>
      </x:c>
      <x:c r="I13" s="39" t="n">
        <x:v>64</x:v>
      </x:c>
      <x:c r="J13" s="39" t="n">
        <x:v>32</x:v>
      </x:c>
      <x:c r="K13" s="39" t="n">
        <x:v>96</x:v>
      </x:c>
      <x:c r="L13" s="39" t="n">
        <x:v>416417</x:v>
      </x:c>
      <x:c r="M13" s="40" t="n">
        <x:f>IF(AND(ISNUMBER(L13),L13&gt;0),ROUND(C13*D13*E13/4096/L13*100,1)/100,"")</x:f>
        <x:v>0.63</x:v>
      </x:c>
      <x:c r="N13" s="41" t="n">
        <x:f>IF(OR(F13="",G13="",H13=""),"",((I13+J13)*1024)/(F13*G13*H13/4096))</x:f>
        <x:v>192</x:v>
      </x:c>
      <x:c r="O13" s="41" t="n">
        <x:f>IF(OR(F13="",G13="",H13=""),"",(F13*G13*4)/(F13*G13*H13/4096))</x:f>
        <x:v>64</x:v>
      </x:c>
      <x:c r="P13" s="40" t="n">
        <x:f>IF(AND(ISNUMBER(N13),N13&gt;0),MIN(1,128/N13),"")</x:f>
        <x:v>0.6666666666666666</x:v>
      </x:c>
      <x:c r="Q13" s="40" t="n">
        <x:f>IF(AND(ISNUMBER(O13),O13&gt;0),MIN(1,512/O13),"")</x:f>
        <x:v>1</x:v>
      </x:c>
      <x:c r="R13" s="40" t="n">
        <x:f>IF(AND(ISNUMBER(P13),ISNUMBER(Q13)),MIN(P13,Q13),"")</x:f>
        <x:v>0.6666666666666666</x:v>
      </x:c>
      <x:c r="S13" s="41" t="n">
        <x:f>IF(AND(ISNUMBER(M13),ISNUMBER(R13)),(M13-R13)*100,"")</x:f>
        <x:v>-3.6666666666666625</x:v>
      </x:c>
      <x:c r="T13" s="38" t="str">
        <x:v>PASS</x:v>
      </x:c>
      <x:c r="U13" s="42" t="str">
        <x:v>本轮 model-main ca92ea3bc708</x:v>
      </x:c>
    </x:row>
    <x:row r="14" ht="19" customHeight="1">
      <x:c r="A14" s="38" t="str">
        <x:v>S1</x:v>
      </x:c>
      <x:c r="B14" s="38" t="str">
        <x:v>BF16</x:v>
      </x:c>
      <x:c r="C14" s="39" t="n">
        <x:v>2048</x:v>
      </x:c>
      <x:c r="D14" s="39" t="n">
        <x:v>256</x:v>
      </x:c>
      <x:c r="E14" s="39" t="n">
        <x:v>2048</x:v>
      </x:c>
      <x:c r="F14" s="39" t="n">
        <x:v>128</x:v>
      </x:c>
      <x:c r="G14" s="39" t="n">
        <x:v>128</x:v>
      </x:c>
      <x:c r="H14" s="39" t="n">
        <x:v>64</x:v>
      </x:c>
      <x:c r="I14" s="39" t="n">
        <x:v>16</x:v>
      </x:c>
      <x:c r="J14" s="39" t="n">
        <x:v>16</x:v>
      </x:c>
      <x:c r="K14" s="39" t="n">
        <x:v>32</x:v>
      </x:c>
      <x:c r="L14" s="39" t="str">
        <x:v>—</x:v>
      </x:c>
      <x:c r="M14" s="40" t="str">
        <x:f>IF(AND(ISNUMBER(L14),L14&gt;0),ROUND(C14*D14*E14/4096/L14*100,1)/100,"")</x:f>
      </x:c>
      <x:c r="N14" s="41" t="n">
        <x:f>IF(OR(F14="",G14="",H14=""),"",((I14+J14)*1024)/(F14*G14*H14/4096))</x:f>
        <x:v>128</x:v>
      </x:c>
      <x:c r="O14" s="41" t="n">
        <x:f>IF(OR(F14="",G14="",H14=""),"",(F14*G14*4)/(F14*G14*H14/4096))</x:f>
        <x:v>256</x:v>
      </x:c>
      <x:c r="P14" s="40" t="n">
        <x:f>IF(AND(ISNUMBER(N14),N14&gt;0),MIN(1,128/N14),"")</x:f>
        <x:v>1</x:v>
      </x:c>
      <x:c r="Q14" s="40" t="n">
        <x:f>IF(AND(ISNUMBER(O14),O14&gt;0),MIN(1,512/O14),"")</x:f>
        <x:v>1</x:v>
      </x:c>
      <x:c r="R14" s="40" t="n">
        <x:f>IF(AND(ISNUMBER(P14),ISNUMBER(Q14)),MIN(P14,Q14),"")</x:f>
        <x:v>1</x:v>
      </x:c>
      <x:c r="S14" s="41" t="str">
        <x:f>IF(AND(ISNUMBER(M14),ISNUMBER(R14)),(M14-R14)*100,"")</x:f>
      </x:c>
      <x:c r="T14" s="38" t="str">
        <x:v>ASSERT_FAIL</x:v>
      </x:c>
      <x:c r="U14" s="42" t="str">
        <x:v>本轮 SuperScalarModel-main ca92ea3bc708；gfsim ASSERT_FAIL：leftIndex &lt; block-&gt;srcTile.size() &amp;&amp; block-&gt;srcTile[leftIndex] &amp;&amp; block-&gt;srcTile[leftIndex]-&gt;tileInfo &amp;&amp; "CUBE left source requires a defined Tile descriptor"</x:v>
      </x:c>
    </x:row>
    <x:row r="15" ht="19" customHeight="1">
      <x:c r="A15" s="38" t="str">
        <x:v>S1</x:v>
      </x:c>
      <x:c r="B15" s="38" t="str">
        <x:v>BF16</x:v>
      </x:c>
      <x:c r="C15" s="39" t="n">
        <x:v>2048</x:v>
      </x:c>
      <x:c r="D15" s="39" t="n">
        <x:v>256</x:v>
      </x:c>
      <x:c r="E15" s="39" t="n">
        <x:v>2048</x:v>
      </x:c>
      <x:c r="F15" s="39" t="n">
        <x:v>128</x:v>
      </x:c>
      <x:c r="G15" s="39" t="n">
        <x:v>128</x:v>
      </x:c>
      <x:c r="H15" s="39" t="n">
        <x:v>128</x:v>
      </x:c>
      <x:c r="I15" s="39" t="n">
        <x:v>32</x:v>
      </x:c>
      <x:c r="J15" s="39" t="n">
        <x:v>32</x:v>
      </x:c>
      <x:c r="K15" s="39" t="n">
        <x:v>64</x:v>
      </x:c>
      <x:c r="L15" s="39" t="n">
        <x:v>279951</x:v>
      </x:c>
      <x:c r="M15" s="40" t="n">
        <x:f>IF(AND(ISNUMBER(L15),L15&gt;0),ROUND(C15*D15*E15/4096/L15*100,1)/100,"")</x:f>
        <x:v>0.9359999999999999</x:v>
      </x:c>
      <x:c r="N15" s="41" t="n">
        <x:f>IF(OR(F15="",G15="",H15=""),"",((I15+J15)*1024)/(F15*G15*H15/4096))</x:f>
        <x:v>128</x:v>
      </x:c>
      <x:c r="O15" s="41" t="n">
        <x:f>IF(OR(F15="",G15="",H15=""),"",(F15*G15*4)/(F15*G15*H15/4096))</x:f>
        <x:v>128</x:v>
      </x:c>
      <x:c r="P15" s="40" t="n">
        <x:f>IF(AND(ISNUMBER(N15),N15&gt;0),MIN(1,128/N15),"")</x:f>
        <x:v>1</x:v>
      </x:c>
      <x:c r="Q15" s="40" t="n">
        <x:f>IF(AND(ISNUMBER(O15),O15&gt;0),MIN(1,512/O15),"")</x:f>
        <x:v>1</x:v>
      </x:c>
      <x:c r="R15" s="40" t="n">
        <x:f>IF(AND(ISNUMBER(P15),ISNUMBER(Q15)),MIN(P15,Q15),"")</x:f>
        <x:v>1</x:v>
      </x:c>
      <x:c r="S15" s="41" t="n">
        <x:f>IF(AND(ISNUMBER(M15),ISNUMBER(R15)),(M15-R15)*100,"")</x:f>
        <x:v>-6.400000000000006</x:v>
      </x:c>
      <x:c r="T15" s="38" t="str">
        <x:v>PASS</x:v>
      </x:c>
      <x:c r="U15" s="42" t="str">
        <x:v>本轮 model-main ca92ea3bc708</x:v>
      </x:c>
    </x:row>
    <x:row r="16" ht="19" customHeight="1">
      <x:c r="A16" s="53" t="str">
        <x:v>S1</x:v>
      </x:c>
      <x:c r="B16" s="54" t="str">
        <x:v>BF16</x:v>
      </x:c>
      <x:c r="C16" s="55" t="n">
        <x:v>2048</x:v>
      </x:c>
      <x:c r="D16" s="55" t="n">
        <x:v>256</x:v>
      </x:c>
      <x:c r="E16" s="55" t="n">
        <x:v>2048</x:v>
      </x:c>
      <x:c r="F16" s="55" t="n">
        <x:v>128</x:v>
      </x:c>
      <x:c r="G16" s="55" t="n">
        <x:v>128</x:v>
      </x:c>
      <x:c r="H16" s="55" t="n">
        <x:v>256</x:v>
      </x:c>
      <x:c r="I16" s="55" t="n">
        <x:v>64</x:v>
      </x:c>
      <x:c r="J16" s="55" t="n">
        <x:v>64</x:v>
      </x:c>
      <x:c r="K16" s="55" t="n">
        <x:v>128</x:v>
      </x:c>
      <x:c r="L16" s="55" t="n">
        <x:v>278884</x:v>
      </x:c>
      <x:c r="M16" s="56" t="n">
        <x:f>IF(AND(ISNUMBER(L16),L16&gt;0),ROUND(C16*D16*E16/4096/L16*100,1)/100,"")</x:f>
        <x:v>0.94</x:v>
      </x:c>
      <x:c r="N16" s="57" t="n">
        <x:f>IF(OR(F16="",G16="",H16=""),"",((I16+J16)*1024)/(F16*G16*H16/4096))</x:f>
        <x:v>128</x:v>
      </x:c>
      <x:c r="O16" s="57" t="n">
        <x:f>IF(OR(F16="",G16="",H16=""),"",(F16*G16*4)/(F16*G16*H16/4096))</x:f>
        <x:v>64</x:v>
      </x:c>
      <x:c r="P16" s="56" t="n">
        <x:f>IF(AND(ISNUMBER(N16),N16&gt;0),MIN(1,128/N16),"")</x:f>
        <x:v>1</x:v>
      </x:c>
      <x:c r="Q16" s="56" t="n">
        <x:f>IF(AND(ISNUMBER(O16),O16&gt;0),MIN(1,512/O16),"")</x:f>
        <x:v>1</x:v>
      </x:c>
      <x:c r="R16" s="56" t="n">
        <x:f>IF(AND(ISNUMBER(P16),ISNUMBER(Q16)),MIN(P16,Q16),"")</x:f>
        <x:v>1</x:v>
      </x:c>
      <x:c r="S16" s="57" t="n">
        <x:f>IF(AND(ISNUMBER(M16),ISNUMBER(R16)),(M16-R16)*100,"")</x:f>
        <x:v>-6.000000000000005</x:v>
      </x:c>
      <x:c r="T16" s="54" t="str">
        <x:v>PASS</x:v>
      </x:c>
      <x:c r="U16" s="58" t="str">
        <x:v>本轮 model-main ca92ea3bc708</x:v>
      </x:c>
    </x:row>
    <x:row r="17" ht="19" customHeight="1">
      <x:c r="A17" s="38" t="str">
        <x:v>S1</x:v>
      </x:c>
      <x:c r="B17" s="38" t="str">
        <x:v>BF16</x:v>
      </x:c>
      <x:c r="C17" s="39" t="n">
        <x:v>2048</x:v>
      </x:c>
      <x:c r="D17" s="39" t="n">
        <x:v>256</x:v>
      </x:c>
      <x:c r="E17" s="39" t="n">
        <x:v>2048</x:v>
      </x:c>
      <x:c r="F17" s="39" t="n">
        <x:v>128</x:v>
      </x:c>
      <x:c r="G17" s="39" t="n">
        <x:v>256</x:v>
      </x:c>
      <x:c r="H17" s="39" t="n">
        <x:v>64</x:v>
      </x:c>
      <x:c r="I17" s="39" t="n">
        <x:v>16</x:v>
      </x:c>
      <x:c r="J17" s="39" t="n">
        <x:v>32</x:v>
      </x:c>
      <x:c r="K17" s="39" t="n">
        <x:v>48</x:v>
      </x:c>
      <x:c r="L17" s="39" t="n">
        <x:v>373616</x:v>
      </x:c>
      <x:c r="M17" s="40" t="n">
        <x:f>IF(AND(ISNUMBER(L17),L17&gt;0),ROUND(C17*D17*E17/4096/L17*100,1)/100,"")</x:f>
        <x:v>0.7020000000000001</x:v>
      </x:c>
      <x:c r="N17" s="41" t="n">
        <x:f>IF(OR(F17="",G17="",H17=""),"",((I17+J17)*1024)/(F17*G17*H17/4096))</x:f>
        <x:v>96</x:v>
      </x:c>
      <x:c r="O17" s="41" t="n">
        <x:f>IF(OR(F17="",G17="",H17=""),"",(F17*G17*4)/(F17*G17*H17/4096))</x:f>
        <x:v>256</x:v>
      </x:c>
      <x:c r="P17" s="40" t="n">
        <x:f>IF(AND(ISNUMBER(N17),N17&gt;0),MIN(1,128/N17),"")</x:f>
        <x:v>1</x:v>
      </x:c>
      <x:c r="Q17" s="40" t="n">
        <x:f>IF(AND(ISNUMBER(O17),O17&gt;0),MIN(1,512/O17),"")</x:f>
        <x:v>1</x:v>
      </x:c>
      <x:c r="R17" s="40" t="n">
        <x:f>IF(AND(ISNUMBER(P17),ISNUMBER(Q17)),MIN(P17,Q17),"")</x:f>
        <x:v>1</x:v>
      </x:c>
      <x:c r="S17" s="41" t="n">
        <x:f>IF(AND(ISNUMBER(M17),ISNUMBER(R17)),(M17-R17)*100,"")</x:f>
        <x:v>-29.799999999999994</x:v>
      </x:c>
      <x:c r="T17" s="38" t="str">
        <x:v>PASS</x:v>
      </x:c>
      <x:c r="U17" s="42" t="str">
        <x:v>本轮 SuperScalarModel-main ca92ea3bc708；gfsim PASS；完整 soc_random/bw113/lat330 配置</x:v>
      </x:c>
    </x:row>
    <x:row r="18" ht="19" customHeight="1">
      <x:c r="A18" s="38" t="str">
        <x:v>S1</x:v>
      </x:c>
      <x:c r="B18" s="38" t="str">
        <x:v>BF16</x:v>
      </x:c>
      <x:c r="C18" s="39" t="n">
        <x:v>2048</x:v>
      </x:c>
      <x:c r="D18" s="39" t="n">
        <x:v>256</x:v>
      </x:c>
      <x:c r="E18" s="39" t="n">
        <x:v>2048</x:v>
      </x:c>
      <x:c r="F18" s="39" t="n">
        <x:v>128</x:v>
      </x:c>
      <x:c r="G18" s="39" t="n">
        <x:v>256</x:v>
      </x:c>
      <x:c r="H18" s="39" t="n">
        <x:v>128</x:v>
      </x:c>
      <x:c r="I18" s="39" t="n">
        <x:v>32</x:v>
      </x:c>
      <x:c r="J18" s="39" t="n">
        <x:v>64</x:v>
      </x:c>
      <x:c r="K18" s="39" t="n">
        <x:v>96</x:v>
      </x:c>
      <x:c r="L18" s="39" t="n">
        <x:v>352717</x:v>
      </x:c>
      <x:c r="M18" s="40" t="n">
        <x:f>IF(AND(ISNUMBER(L18),L18&gt;0),ROUND(C18*D18*E18/4096/L18*100,1)/100,"")</x:f>
        <x:v>0.743</x:v>
      </x:c>
      <x:c r="N18" s="41" t="n">
        <x:f>IF(OR(F18="",G18="",H18=""),"",((I18+J18)*1024)/(F18*G18*H18/4096))</x:f>
        <x:v>96</x:v>
      </x:c>
      <x:c r="O18" s="41" t="n">
        <x:f>IF(OR(F18="",G18="",H18=""),"",(F18*G18*4)/(F18*G18*H18/4096))</x:f>
        <x:v>128</x:v>
      </x:c>
      <x:c r="P18" s="40" t="n">
        <x:f>IF(AND(ISNUMBER(N18),N18&gt;0),MIN(1,128/N18),"")</x:f>
        <x:v>1</x:v>
      </x:c>
      <x:c r="Q18" s="40" t="n">
        <x:f>IF(AND(ISNUMBER(O18),O18&gt;0),MIN(1,512/O18),"")</x:f>
        <x:v>1</x:v>
      </x:c>
      <x:c r="R18" s="40" t="n">
        <x:f>IF(AND(ISNUMBER(P18),ISNUMBER(Q18)),MIN(P18,Q18),"")</x:f>
        <x:v>1</x:v>
      </x:c>
      <x:c r="S18" s="41" t="n">
        <x:f>IF(AND(ISNUMBER(M18),ISNUMBER(R18)),(M18-R18)*100,"")</x:f>
        <x:v>-25.7</x:v>
      </x:c>
      <x:c r="T18" s="38" t="str">
        <x:v>PASS</x:v>
      </x:c>
      <x:c r="U18" s="42" t="str">
        <x:v>本轮 SuperScalarModel-main ca92ea3bc708；gfsim PASS；完整 soc_random/bw113/lat330 配置</x:v>
      </x:c>
    </x:row>
    <x:row r="19" ht="19" customHeight="1">
      <x:c r="A19" s="38" t="str">
        <x:v>S1</x:v>
      </x:c>
      <x:c r="B19" s="38" t="str">
        <x:v>BF16</x:v>
      </x:c>
      <x:c r="C19" s="39" t="n">
        <x:v>2048</x:v>
      </x:c>
      <x:c r="D19" s="39" t="n">
        <x:v>256</x:v>
      </x:c>
      <x:c r="E19" s="39" t="n">
        <x:v>2048</x:v>
      </x:c>
      <x:c r="F19" s="39" t="n">
        <x:v>128</x:v>
      </x:c>
      <x:c r="G19" s="39" t="n">
        <x:v>256</x:v>
      </x:c>
      <x:c r="H19" s="39" t="n">
        <x:v>256</x:v>
      </x:c>
      <x:c r="I19" s="39" t="n">
        <x:v>64</x:v>
      </x:c>
      <x:c r="J19" s="39" t="n">
        <x:v>128</x:v>
      </x:c>
      <x:c r="K19" s="39" t="n">
        <x:v>192</x:v>
      </x:c>
      <x:c r="L19" s="39" t="n">
        <x:v>352909</x:v>
      </x:c>
      <x:c r="M19" s="40" t="n">
        <x:f>IF(AND(ISNUMBER(L19),L19&gt;0),ROUND(C19*D19*E19/4096/L19*100,1)/100,"")</x:f>
        <x:v>0.743</x:v>
      </x:c>
      <x:c r="N19" s="41" t="n">
        <x:f>IF(OR(F19="",G19="",H19=""),"",((I19+J19)*1024)/(F19*G19*H19/4096))</x:f>
        <x:v>96</x:v>
      </x:c>
      <x:c r="O19" s="41" t="n">
        <x:f>IF(OR(F19="",G19="",H19=""),"",(F19*G19*4)/(F19*G19*H19/4096))</x:f>
        <x:v>64</x:v>
      </x:c>
      <x:c r="P19" s="40" t="n">
        <x:f>IF(AND(ISNUMBER(N19),N19&gt;0),MIN(1,128/N19),"")</x:f>
        <x:v>1</x:v>
      </x:c>
      <x:c r="Q19" s="40" t="n">
        <x:f>IF(AND(ISNUMBER(O19),O19&gt;0),MIN(1,512/O19),"")</x:f>
        <x:v>1</x:v>
      </x:c>
      <x:c r="R19" s="40" t="n">
        <x:f>IF(AND(ISNUMBER(P19),ISNUMBER(Q19)),MIN(P19,Q19),"")</x:f>
        <x:v>1</x:v>
      </x:c>
      <x:c r="S19" s="41" t="n">
        <x:f>IF(AND(ISNUMBER(M19),ISNUMBER(R19)),(M19-R19)*100,"")</x:f>
        <x:v>-25.7</x:v>
      </x:c>
      <x:c r="T19" s="38" t="str">
        <x:v>PASS</x:v>
      </x:c>
      <x:c r="U19" s="42" t="str">
        <x:v>本轮 SuperScalarModel-main ca92ea3bc708；gfsim PASS；完整 soc_random/bw113/lat330 配置</x:v>
      </x:c>
    </x:row>
    <x:row r="20" ht="19" customHeight="1">
      <x:c r="A20" s="38" t="str">
        <x:v>S1</x:v>
      </x:c>
      <x:c r="B20" s="38" t="str">
        <x:v>FP16</x:v>
      </x:c>
      <x:c r="C20" s="39" t="n">
        <x:v>2048</x:v>
      </x:c>
      <x:c r="D20" s="39" t="n">
        <x:v>256</x:v>
      </x:c>
      <x:c r="E20" s="39" t="n">
        <x:v>2048</x:v>
      </x:c>
      <x:c r="F20" s="39" t="n">
        <x:v>128</x:v>
      </x:c>
      <x:c r="G20" s="39" t="n">
        <x:v>64</x:v>
      </x:c>
      <x:c r="H20" s="39" t="n">
        <x:v>64</x:v>
      </x:c>
      <x:c r="I20" s="39" t="n">
        <x:v>16</x:v>
      </x:c>
      <x:c r="J20" s="39" t="n">
        <x:v>8</x:v>
      </x:c>
      <x:c r="K20" s="39" t="n">
        <x:v>24</x:v>
      </x:c>
      <x:c r="L20" s="39" t="str">
        <x:v>—</x:v>
      </x:c>
      <x:c r="M20" s="40" t="str">
        <x:f>IF(AND(ISNUMBER(L20),L20&gt;0),ROUND(C20*D20*E20/4096/L20*100,1)/100,"")</x:f>
      </x:c>
      <x:c r="N20" s="41" t="n">
        <x:f>IF(OR(F20="",G20="",H20=""),"",((I20+J20)*1024)/(F20*G20*H20/4096))</x:f>
        <x:v>192</x:v>
      </x:c>
      <x:c r="O20" s="41" t="n">
        <x:f>IF(OR(F20="",G20="",H20=""),"",(F20*G20*4)/(F20*G20*H20/4096))</x:f>
        <x:v>256</x:v>
      </x:c>
      <x:c r="P20" s="40" t="n">
        <x:f>IF(AND(ISNUMBER(N20),N20&gt;0),MIN(1,128/N20),"")</x:f>
        <x:v>0.6666666666666666</x:v>
      </x:c>
      <x:c r="Q20" s="40" t="n">
        <x:f>IF(AND(ISNUMBER(O20),O20&gt;0),MIN(1,512/O20),"")</x:f>
        <x:v>1</x:v>
      </x:c>
      <x:c r="R20" s="40" t="n">
        <x:f>IF(AND(ISNUMBER(P20),ISNUMBER(Q20)),MIN(P20,Q20),"")</x:f>
        <x:v>0.6666666666666666</x:v>
      </x:c>
      <x:c r="S20" s="41" t="str">
        <x:f>IF(AND(ISNUMBER(M20),ISNUMBER(R20)),(M20-R20)*100,"")</x:f>
      </x:c>
      <x:c r="T20" s="38" t="str">
        <x:v>DEADLOCK</x:v>
      </x:c>
      <x:c r="U20" s="42" t="str">
        <x:v>本轮 SuperScalarModel-main ca92ea3bc708；gfsim DEADLOCK：false &amp;&amp; "Deadlock detected: simulation stalled, no new blocks committed for too long"</x:v>
      </x:c>
    </x:row>
    <x:row r="21" ht="19" customHeight="1">
      <x:c r="A21" s="38" t="str">
        <x:v>S1</x:v>
      </x:c>
      <x:c r="B21" s="38" t="str">
        <x:v>FP16</x:v>
      </x:c>
      <x:c r="C21" s="39" t="n">
        <x:v>2048</x:v>
      </x:c>
      <x:c r="D21" s="39" t="n">
        <x:v>256</x:v>
      </x:c>
      <x:c r="E21" s="39" t="n">
        <x:v>2048</x:v>
      </x:c>
      <x:c r="F21" s="39" t="n">
        <x:v>128</x:v>
      </x:c>
      <x:c r="G21" s="39" t="n">
        <x:v>64</x:v>
      </x:c>
      <x:c r="H21" s="39" t="n">
        <x:v>128</x:v>
      </x:c>
      <x:c r="I21" s="39" t="n">
        <x:v>32</x:v>
      </x:c>
      <x:c r="J21" s="39" t="n">
        <x:v>16</x:v>
      </x:c>
      <x:c r="K21" s="39" t="n">
        <x:v>48</x:v>
      </x:c>
      <x:c r="L21" s="39" t="n">
        <x:v>419368</x:v>
      </x:c>
      <x:c r="M21" s="40" t="n">
        <x:f>IF(AND(ISNUMBER(L21),L21&gt;0),ROUND(C21*D21*E21/4096/L21*100,1)/100,"")</x:f>
        <x:v>0.625</x:v>
      </x:c>
      <x:c r="N21" s="41" t="n">
        <x:f>IF(OR(F21="",G21="",H21=""),"",((I21+J21)*1024)/(F21*G21*H21/4096))</x:f>
        <x:v>192</x:v>
      </x:c>
      <x:c r="O21" s="41" t="n">
        <x:f>IF(OR(F21="",G21="",H21=""),"",(F21*G21*4)/(F21*G21*H21/4096))</x:f>
        <x:v>128</x:v>
      </x:c>
      <x:c r="P21" s="40" t="n">
        <x:f>IF(AND(ISNUMBER(N21),N21&gt;0),MIN(1,128/N21),"")</x:f>
        <x:v>0.6666666666666666</x:v>
      </x:c>
      <x:c r="Q21" s="40" t="n">
        <x:f>IF(AND(ISNUMBER(O21),O21&gt;0),MIN(1,512/O21),"")</x:f>
        <x:v>1</x:v>
      </x:c>
      <x:c r="R21" s="40" t="n">
        <x:f>IF(AND(ISNUMBER(P21),ISNUMBER(Q21)),MIN(P21,Q21),"")</x:f>
        <x:v>0.6666666666666666</x:v>
      </x:c>
      <x:c r="S21" s="41" t="n">
        <x:f>IF(AND(ISNUMBER(M21),ISNUMBER(R21)),(M21-R21)*100,"")</x:f>
        <x:v>-4.1666666666666625</x:v>
      </x:c>
      <x:c r="T21" s="38" t="str">
        <x:v>PASS</x:v>
      </x:c>
      <x:c r="U21" s="42" t="str">
        <x:v>本轮 model-main ca92ea3bc708</x:v>
      </x:c>
    </x:row>
    <x:row r="22" ht="19" customHeight="1">
      <x:c r="A22" s="38" t="str">
        <x:v>S1</x:v>
      </x:c>
      <x:c r="B22" s="38" t="str">
        <x:v>FP16</x:v>
      </x:c>
      <x:c r="C22" s="39" t="n">
        <x:v>2048</x:v>
      </x:c>
      <x:c r="D22" s="39" t="n">
        <x:v>256</x:v>
      </x:c>
      <x:c r="E22" s="39" t="n">
        <x:v>2048</x:v>
      </x:c>
      <x:c r="F22" s="39" t="n">
        <x:v>128</x:v>
      </x:c>
      <x:c r="G22" s="39" t="n">
        <x:v>64</x:v>
      </x:c>
      <x:c r="H22" s="39" t="n">
        <x:v>256</x:v>
      </x:c>
      <x:c r="I22" s="39" t="n">
        <x:v>64</x:v>
      </x:c>
      <x:c r="J22" s="39" t="n">
        <x:v>32</x:v>
      </x:c>
      <x:c r="K22" s="39" t="n">
        <x:v>96</x:v>
      </x:c>
      <x:c r="L22" s="39" t="n">
        <x:v>416417</x:v>
      </x:c>
      <x:c r="M22" s="40" t="n">
        <x:f>IF(AND(ISNUMBER(L22),L22&gt;0),ROUND(C22*D22*E22/4096/L22*100,1)/100,"")</x:f>
        <x:v>0.63</x:v>
      </x:c>
      <x:c r="N22" s="41" t="n">
        <x:f>IF(OR(F22="",G22="",H22=""),"",((I22+J22)*1024)/(F22*G22*H22/4096))</x:f>
        <x:v>192</x:v>
      </x:c>
      <x:c r="O22" s="41" t="n">
        <x:f>IF(OR(F22="",G22="",H22=""),"",(F22*G22*4)/(F22*G22*H22/4096))</x:f>
        <x:v>64</x:v>
      </x:c>
      <x:c r="P22" s="40" t="n">
        <x:f>IF(AND(ISNUMBER(N22),N22&gt;0),MIN(1,128/N22),"")</x:f>
        <x:v>0.6666666666666666</x:v>
      </x:c>
      <x:c r="Q22" s="40" t="n">
        <x:f>IF(AND(ISNUMBER(O22),O22&gt;0),MIN(1,512/O22),"")</x:f>
        <x:v>1</x:v>
      </x:c>
      <x:c r="R22" s="40" t="n">
        <x:f>IF(AND(ISNUMBER(P22),ISNUMBER(Q22)),MIN(P22,Q22),"")</x:f>
        <x:v>0.6666666666666666</x:v>
      </x:c>
      <x:c r="S22" s="41" t="n">
        <x:f>IF(AND(ISNUMBER(M22),ISNUMBER(R22)),(M22-R22)*100,"")</x:f>
        <x:v>-3.6666666666666625</x:v>
      </x:c>
      <x:c r="T22" s="38" t="str">
        <x:v>PASS</x:v>
      </x:c>
      <x:c r="U22" s="42" t="str">
        <x:v>本轮 model-main ca92ea3bc708</x:v>
      </x:c>
    </x:row>
    <x:row r="23" ht="19" customHeight="1">
      <x:c r="A23" s="38" t="str">
        <x:v>S1</x:v>
      </x:c>
      <x:c r="B23" s="38" t="str">
        <x:v>FP16</x:v>
      </x:c>
      <x:c r="C23" s="39" t="n">
        <x:v>2048</x:v>
      </x:c>
      <x:c r="D23" s="39" t="n">
        <x:v>256</x:v>
      </x:c>
      <x:c r="E23" s="39" t="n">
        <x:v>2048</x:v>
      </x:c>
      <x:c r="F23" s="39" t="n">
        <x:v>128</x:v>
      </x:c>
      <x:c r="G23" s="39" t="n">
        <x:v>128</x:v>
      </x:c>
      <x:c r="H23" s="39" t="n">
        <x:v>64</x:v>
      </x:c>
      <x:c r="I23" s="39" t="n">
        <x:v>16</x:v>
      </x:c>
      <x:c r="J23" s="39" t="n">
        <x:v>16</x:v>
      </x:c>
      <x:c r="K23" s="39" t="n">
        <x:v>32</x:v>
      </x:c>
      <x:c r="L23" s="39" t="str">
        <x:v>—</x:v>
      </x:c>
      <x:c r="M23" s="40" t="str">
        <x:f>IF(AND(ISNUMBER(L23),L23&gt;0),ROUND(C23*D23*E23/4096/L23*100,1)/100,"")</x:f>
      </x:c>
      <x:c r="N23" s="41" t="n">
        <x:f>IF(OR(F23="",G23="",H23=""),"",((I23+J23)*1024)/(F23*G23*H23/4096))</x:f>
        <x:v>128</x:v>
      </x:c>
      <x:c r="O23" s="41" t="n">
        <x:f>IF(OR(F23="",G23="",H23=""),"",(F23*G23*4)/(F23*G23*H23/4096))</x:f>
        <x:v>256</x:v>
      </x:c>
      <x:c r="P23" s="40" t="n">
        <x:f>IF(AND(ISNUMBER(N23),N23&gt;0),MIN(1,128/N23),"")</x:f>
        <x:v>1</x:v>
      </x:c>
      <x:c r="Q23" s="40" t="n">
        <x:f>IF(AND(ISNUMBER(O23),O23&gt;0),MIN(1,512/O23),"")</x:f>
        <x:v>1</x:v>
      </x:c>
      <x:c r="R23" s="40" t="n">
        <x:f>IF(AND(ISNUMBER(P23),ISNUMBER(Q23)),MIN(P23,Q23),"")</x:f>
        <x:v>1</x:v>
      </x:c>
      <x:c r="S23" s="41" t="str">
        <x:f>IF(AND(ISNUMBER(M23),ISNUMBER(R23)),(M23-R23)*100,"")</x:f>
      </x:c>
      <x:c r="T23" s="38" t="str">
        <x:v>ASSERT_FAIL</x:v>
      </x:c>
      <x:c r="U23" s="42" t="str">
        <x:v>本轮 SuperScalarModel-main ca92ea3bc708；gfsim ASSERT_FAIL：leftIndex &lt; block-&gt;srcTile.size() &amp;&amp; block-&gt;srcTile[leftIndex] &amp;&amp; block-&gt;srcTile[leftIndex]-&gt;tileInfo &amp;&amp; "CUBE left source requires a defined Tile descriptor"</x:v>
      </x:c>
    </x:row>
    <x:row r="24" ht="19" customHeight="1">
      <x:c r="A24" s="38" t="str">
        <x:v>S1</x:v>
      </x:c>
      <x:c r="B24" s="38" t="str">
        <x:v>FP16</x:v>
      </x:c>
      <x:c r="C24" s="39" t="n">
        <x:v>2048</x:v>
      </x:c>
      <x:c r="D24" s="39" t="n">
        <x:v>256</x:v>
      </x:c>
      <x:c r="E24" s="39" t="n">
        <x:v>2048</x:v>
      </x:c>
      <x:c r="F24" s="39" t="n">
        <x:v>128</x:v>
      </x:c>
      <x:c r="G24" s="39" t="n">
        <x:v>128</x:v>
      </x:c>
      <x:c r="H24" s="39" t="n">
        <x:v>128</x:v>
      </x:c>
      <x:c r="I24" s="39" t="n">
        <x:v>32</x:v>
      </x:c>
      <x:c r="J24" s="39" t="n">
        <x:v>32</x:v>
      </x:c>
      <x:c r="K24" s="39" t="n">
        <x:v>64</x:v>
      </x:c>
      <x:c r="L24" s="39" t="n">
        <x:v>279951</x:v>
      </x:c>
      <x:c r="M24" s="40" t="n">
        <x:f>IF(AND(ISNUMBER(L24),L24&gt;0),ROUND(C24*D24*E24/4096/L24*100,1)/100,"")</x:f>
        <x:v>0.9359999999999999</x:v>
      </x:c>
      <x:c r="N24" s="41" t="n">
        <x:f>IF(OR(F24="",G24="",H24=""),"",((I24+J24)*1024)/(F24*G24*H24/4096))</x:f>
        <x:v>128</x:v>
      </x:c>
      <x:c r="O24" s="41" t="n">
        <x:f>IF(OR(F24="",G24="",H24=""),"",(F24*G24*4)/(F24*G24*H24/4096))</x:f>
        <x:v>128</x:v>
      </x:c>
      <x:c r="P24" s="40" t="n">
        <x:f>IF(AND(ISNUMBER(N24),N24&gt;0),MIN(1,128/N24),"")</x:f>
        <x:v>1</x:v>
      </x:c>
      <x:c r="Q24" s="40" t="n">
        <x:f>IF(AND(ISNUMBER(O24),O24&gt;0),MIN(1,512/O24),"")</x:f>
        <x:v>1</x:v>
      </x:c>
      <x:c r="R24" s="40" t="n">
        <x:f>IF(AND(ISNUMBER(P24),ISNUMBER(Q24)),MIN(P24,Q24),"")</x:f>
        <x:v>1</x:v>
      </x:c>
      <x:c r="S24" s="41" t="n">
        <x:f>IF(AND(ISNUMBER(M24),ISNUMBER(R24)),(M24-R24)*100,"")</x:f>
        <x:v>-6.400000000000006</x:v>
      </x:c>
      <x:c r="T24" s="38" t="str">
        <x:v>PASS</x:v>
      </x:c>
      <x:c r="U24" s="42" t="str">
        <x:v>本轮 model-main ca92ea3bc708</x:v>
      </x:c>
    </x:row>
    <x:row r="25" ht="19" customHeight="1">
      <x:c r="A25" s="53" t="str">
        <x:v>S1</x:v>
      </x:c>
      <x:c r="B25" s="54" t="str">
        <x:v>FP16</x:v>
      </x:c>
      <x:c r="C25" s="55" t="n">
        <x:v>2048</x:v>
      </x:c>
      <x:c r="D25" s="55" t="n">
        <x:v>256</x:v>
      </x:c>
      <x:c r="E25" s="55" t="n">
        <x:v>2048</x:v>
      </x:c>
      <x:c r="F25" s="55" t="n">
        <x:v>128</x:v>
      </x:c>
      <x:c r="G25" s="55" t="n">
        <x:v>128</x:v>
      </x:c>
      <x:c r="H25" s="55" t="n">
        <x:v>256</x:v>
      </x:c>
      <x:c r="I25" s="55" t="n">
        <x:v>64</x:v>
      </x:c>
      <x:c r="J25" s="55" t="n">
        <x:v>64</x:v>
      </x:c>
      <x:c r="K25" s="55" t="n">
        <x:v>128</x:v>
      </x:c>
      <x:c r="L25" s="55" t="n">
        <x:v>278884</x:v>
      </x:c>
      <x:c r="M25" s="56" t="n">
        <x:f>IF(AND(ISNUMBER(L25),L25&gt;0),ROUND(C25*D25*E25/4096/L25*100,1)/100,"")</x:f>
        <x:v>0.94</x:v>
      </x:c>
      <x:c r="N25" s="57" t="n">
        <x:f>IF(OR(F25="",G25="",H25=""),"",((I25+J25)*1024)/(F25*G25*H25/4096))</x:f>
        <x:v>128</x:v>
      </x:c>
      <x:c r="O25" s="57" t="n">
        <x:f>IF(OR(F25="",G25="",H25=""),"",(F25*G25*4)/(F25*G25*H25/4096))</x:f>
        <x:v>64</x:v>
      </x:c>
      <x:c r="P25" s="56" t="n">
        <x:f>IF(AND(ISNUMBER(N25),N25&gt;0),MIN(1,128/N25),"")</x:f>
        <x:v>1</x:v>
      </x:c>
      <x:c r="Q25" s="56" t="n">
        <x:f>IF(AND(ISNUMBER(O25),O25&gt;0),MIN(1,512/O25),"")</x:f>
        <x:v>1</x:v>
      </x:c>
      <x:c r="R25" s="56" t="n">
        <x:f>IF(AND(ISNUMBER(P25),ISNUMBER(Q25)),MIN(P25,Q25),"")</x:f>
        <x:v>1</x:v>
      </x:c>
      <x:c r="S25" s="57" t="n">
        <x:f>IF(AND(ISNUMBER(M25),ISNUMBER(R25)),(M25-R25)*100,"")</x:f>
        <x:v>-6.000000000000005</x:v>
      </x:c>
      <x:c r="T25" s="54" t="str">
        <x:v>PASS</x:v>
      </x:c>
      <x:c r="U25" s="58" t="str">
        <x:v>本轮 model-main ca92ea3bc708</x:v>
      </x:c>
    </x:row>
    <x:row r="26" ht="19" customHeight="1">
      <x:c r="A26" s="38" t="str">
        <x:v>S1</x:v>
      </x:c>
      <x:c r="B26" s="38" t="str">
        <x:v>FP16</x:v>
      </x:c>
      <x:c r="C26" s="39" t="n">
        <x:v>2048</x:v>
      </x:c>
      <x:c r="D26" s="39" t="n">
        <x:v>256</x:v>
      </x:c>
      <x:c r="E26" s="39" t="n">
        <x:v>2048</x:v>
      </x:c>
      <x:c r="F26" s="39" t="n">
        <x:v>128</x:v>
      </x:c>
      <x:c r="G26" s="39" t="n">
        <x:v>256</x:v>
      </x:c>
      <x:c r="H26" s="39" t="n">
        <x:v>64</x:v>
      </x:c>
      <x:c r="I26" s="39" t="n">
        <x:v>16</x:v>
      </x:c>
      <x:c r="J26" s="39" t="n">
        <x:v>32</x:v>
      </x:c>
      <x:c r="K26" s="39" t="n">
        <x:v>48</x:v>
      </x:c>
      <x:c r="L26" s="39" t="n">
        <x:v>373616</x:v>
      </x:c>
      <x:c r="M26" s="40" t="n">
        <x:f>IF(AND(ISNUMBER(L26),L26&gt;0),ROUND(C26*D26*E26/4096/L26*100,1)/100,"")</x:f>
        <x:v>0.7020000000000001</x:v>
      </x:c>
      <x:c r="N26" s="41" t="n">
        <x:f>IF(OR(F26="",G26="",H26=""),"",((I26+J26)*1024)/(F26*G26*H26/4096))</x:f>
        <x:v>96</x:v>
      </x:c>
      <x:c r="O26" s="41" t="n">
        <x:f>IF(OR(F26="",G26="",H26=""),"",(F26*G26*4)/(F26*G26*H26/4096))</x:f>
        <x:v>256</x:v>
      </x:c>
      <x:c r="P26" s="40" t="n">
        <x:f>IF(AND(ISNUMBER(N26),N26&gt;0),MIN(1,128/N26),"")</x:f>
        <x:v>1</x:v>
      </x:c>
      <x:c r="Q26" s="40" t="n">
        <x:f>IF(AND(ISNUMBER(O26),O26&gt;0),MIN(1,512/O26),"")</x:f>
        <x:v>1</x:v>
      </x:c>
      <x:c r="R26" s="40" t="n">
        <x:f>IF(AND(ISNUMBER(P26),ISNUMBER(Q26)),MIN(P26,Q26),"")</x:f>
        <x:v>1</x:v>
      </x:c>
      <x:c r="S26" s="41" t="n">
        <x:f>IF(AND(ISNUMBER(M26),ISNUMBER(R26)),(M26-R26)*100,"")</x:f>
        <x:v>-29.799999999999994</x:v>
      </x:c>
      <x:c r="T26" s="38" t="str">
        <x:v>PASS</x:v>
      </x:c>
      <x:c r="U26" s="42" t="str">
        <x:v>本轮 SuperScalarModel-main ca92ea3bc708；gfsim PASS；完整 soc_random/bw113/lat330 配置</x:v>
      </x:c>
    </x:row>
    <x:row r="27" ht="19" customHeight="1">
      <x:c r="A27" s="38" t="str">
        <x:v>S1</x:v>
      </x:c>
      <x:c r="B27" s="38" t="str">
        <x:v>FP16</x:v>
      </x:c>
      <x:c r="C27" s="39" t="n">
        <x:v>2048</x:v>
      </x:c>
      <x:c r="D27" s="39" t="n">
        <x:v>256</x:v>
      </x:c>
      <x:c r="E27" s="39" t="n">
        <x:v>2048</x:v>
      </x:c>
      <x:c r="F27" s="39" t="n">
        <x:v>128</x:v>
      </x:c>
      <x:c r="G27" s="39" t="n">
        <x:v>256</x:v>
      </x:c>
      <x:c r="H27" s="39" t="n">
        <x:v>128</x:v>
      </x:c>
      <x:c r="I27" s="39" t="n">
        <x:v>32</x:v>
      </x:c>
      <x:c r="J27" s="39" t="n">
        <x:v>64</x:v>
      </x:c>
      <x:c r="K27" s="39" t="n">
        <x:v>96</x:v>
      </x:c>
      <x:c r="L27" s="39" t="n">
        <x:v>352717</x:v>
      </x:c>
      <x:c r="M27" s="40" t="n">
        <x:f>IF(AND(ISNUMBER(L27),L27&gt;0),ROUND(C27*D27*E27/4096/L27*100,1)/100,"")</x:f>
        <x:v>0.743</x:v>
      </x:c>
      <x:c r="N27" s="41" t="n">
        <x:f>IF(OR(F27="",G27="",H27=""),"",((I27+J27)*1024)/(F27*G27*H27/4096))</x:f>
        <x:v>96</x:v>
      </x:c>
      <x:c r="O27" s="41" t="n">
        <x:f>IF(OR(F27="",G27="",H27=""),"",(F27*G27*4)/(F27*G27*H27/4096))</x:f>
        <x:v>128</x:v>
      </x:c>
      <x:c r="P27" s="40" t="n">
        <x:f>IF(AND(ISNUMBER(N27),N27&gt;0),MIN(1,128/N27),"")</x:f>
        <x:v>1</x:v>
      </x:c>
      <x:c r="Q27" s="40" t="n">
        <x:f>IF(AND(ISNUMBER(O27),O27&gt;0),MIN(1,512/O27),"")</x:f>
        <x:v>1</x:v>
      </x:c>
      <x:c r="R27" s="40" t="n">
        <x:f>IF(AND(ISNUMBER(P27),ISNUMBER(Q27)),MIN(P27,Q27),"")</x:f>
        <x:v>1</x:v>
      </x:c>
      <x:c r="S27" s="41" t="n">
        <x:f>IF(AND(ISNUMBER(M27),ISNUMBER(R27)),(M27-R27)*100,"")</x:f>
        <x:v>-25.7</x:v>
      </x:c>
      <x:c r="T27" s="38" t="str">
        <x:v>PASS</x:v>
      </x:c>
      <x:c r="U27" s="42" t="str">
        <x:v>本轮 SuperScalarModel-main ca92ea3bc708；gfsim PASS；完整 soc_random/bw113/lat330 配置</x:v>
      </x:c>
    </x:row>
    <x:row r="28" ht="19" customHeight="1">
      <x:c r="A28" s="38" t="str">
        <x:v>S1</x:v>
      </x:c>
      <x:c r="B28" s="38" t="str">
        <x:v>FP16</x:v>
      </x:c>
      <x:c r="C28" s="39" t="n">
        <x:v>2048</x:v>
      </x:c>
      <x:c r="D28" s="39" t="n">
        <x:v>256</x:v>
      </x:c>
      <x:c r="E28" s="39" t="n">
        <x:v>2048</x:v>
      </x:c>
      <x:c r="F28" s="39" t="n">
        <x:v>128</x:v>
      </x:c>
      <x:c r="G28" s="39" t="n">
        <x:v>256</x:v>
      </x:c>
      <x:c r="H28" s="39" t="n">
        <x:v>256</x:v>
      </x:c>
      <x:c r="I28" s="39" t="n">
        <x:v>64</x:v>
      </x:c>
      <x:c r="J28" s="39" t="n">
        <x:v>128</x:v>
      </x:c>
      <x:c r="K28" s="39" t="n">
        <x:v>192</x:v>
      </x:c>
      <x:c r="L28" s="39" t="n">
        <x:v>352909</x:v>
      </x:c>
      <x:c r="M28" s="40" t="n">
        <x:f>IF(AND(ISNUMBER(L28),L28&gt;0),ROUND(C28*D28*E28/4096/L28*100,1)/100,"")</x:f>
        <x:v>0.743</x:v>
      </x:c>
      <x:c r="N28" s="41" t="n">
        <x:f>IF(OR(F28="",G28="",H28=""),"",((I28+J28)*1024)/(F28*G28*H28/4096))</x:f>
        <x:v>96</x:v>
      </x:c>
      <x:c r="O28" s="41" t="n">
        <x:f>IF(OR(F28="",G28="",H28=""),"",(F28*G28*4)/(F28*G28*H28/4096))</x:f>
        <x:v>64</x:v>
      </x:c>
      <x:c r="P28" s="40" t="n">
        <x:f>IF(AND(ISNUMBER(N28),N28&gt;0),MIN(1,128/N28),"")</x:f>
        <x:v>1</x:v>
      </x:c>
      <x:c r="Q28" s="40" t="n">
        <x:f>IF(AND(ISNUMBER(O28),O28&gt;0),MIN(1,512/O28),"")</x:f>
        <x:v>1</x:v>
      </x:c>
      <x:c r="R28" s="40" t="n">
        <x:f>IF(AND(ISNUMBER(P28),ISNUMBER(Q28)),MIN(P28,Q28),"")</x:f>
        <x:v>1</x:v>
      </x:c>
      <x:c r="S28" s="41" t="n">
        <x:f>IF(AND(ISNUMBER(M28),ISNUMBER(R28)),(M28-R28)*100,"")</x:f>
        <x:v>-25.7</x:v>
      </x:c>
      <x:c r="T28" s="38" t="str">
        <x:v>PASS</x:v>
      </x:c>
      <x:c r="U28" s="42" t="str">
        <x:v>本轮 SuperScalarModel-main ca92ea3bc708；gfsim PASS；完整 soc_random/bw113/lat330 配置</x:v>
      </x:c>
    </x:row>
    <x:row r="29" ht="19" customHeight="1">
      <x:c r="A29" s="38" t="str">
        <x:v>S1</x:v>
      </x:c>
      <x:c r="B29" s="38" t="str">
        <x:v>FP8</x:v>
      </x:c>
      <x:c r="C29" s="39" t="n">
        <x:v>2048</x:v>
      </x:c>
      <x:c r="D29" s="39" t="n">
        <x:v>256</x:v>
      </x:c>
      <x:c r="E29" s="39" t="n">
        <x:v>2048</x:v>
      </x:c>
      <x:c r="F29" s="39" t="n">
        <x:v>128</x:v>
      </x:c>
      <x:c r="G29" s="39" t="n">
        <x:v>64</x:v>
      </x:c>
      <x:c r="H29" s="39" t="n">
        <x:v>256</x:v>
      </x:c>
      <x:c r="I29" s="39" t="n">
        <x:v>32</x:v>
      </x:c>
      <x:c r="J29" s="39" t="n">
        <x:v>16</x:v>
      </x:c>
      <x:c r="K29" s="39" t="n">
        <x:v>48</x:v>
      </x:c>
      <x:c r="L29" s="39" t="n">
        <x:v>284879</x:v>
      </x:c>
      <x:c r="M29" s="40" t="n">
        <x:f>IF(AND(ISNUMBER(L29),L29&gt;0),ROUND(C29*D29*E29/8192/L29*100,1)/100,"")</x:f>
        <x:v>0.46</x:v>
      </x:c>
      <x:c r="N29" s="41" t="n">
        <x:f>IF(OR(F29="",G29="",H29=""),"",((I29+J29)*1024)/(F29*G29*H29/8192))</x:f>
        <x:v>192</x:v>
      </x:c>
      <x:c r="O29" s="41" t="n">
        <x:f>IF(OR(F29="",G29="",H29=""),"",(F29*G29*4)/(F29*G29*H29/8192))</x:f>
        <x:v>128</x:v>
      </x:c>
      <x:c r="P29" s="40" t="n">
        <x:f>IF(AND(ISNUMBER(N29),N29&gt;0),MIN(1,128/N29),"")</x:f>
        <x:v>0.6666666666666666</x:v>
      </x:c>
      <x:c r="Q29" s="40" t="n">
        <x:f>IF(AND(ISNUMBER(O29),O29&gt;0),MIN(1,512/O29),"")</x:f>
        <x:v>1</x:v>
      </x:c>
      <x:c r="R29" s="40" t="n">
        <x:f>IF(AND(ISNUMBER(P29),ISNUMBER(Q29)),MIN(P29,Q29),"")</x:f>
        <x:v>0.6666666666666666</x:v>
      </x:c>
      <x:c r="S29" s="41" t="n">
        <x:f>IF(AND(ISNUMBER(M29),ISNUMBER(R29)),(M29-R29)*100,"")</x:f>
        <x:v>-20.66666666666666</x:v>
      </x:c>
      <x:c r="T29" s="38" t="str">
        <x:v>PASS</x:v>
      </x:c>
      <x:c r="U29" s="42" t="str">
        <x:v>matmul_shared_lowp（FP8 specialization）；本轮 model-main ca92ea3bc708</x:v>
      </x:c>
    </x:row>
    <x:row r="30" ht="19" customHeight="1">
      <x:c r="A30" s="38" t="str">
        <x:v>S1</x:v>
      </x:c>
      <x:c r="B30" s="38" t="str">
        <x:v>FP8</x:v>
      </x:c>
      <x:c r="C30" s="39" t="n">
        <x:v>2048</x:v>
      </x:c>
      <x:c r="D30" s="39" t="n">
        <x:v>256</x:v>
      </x:c>
      <x:c r="E30" s="39" t="n">
        <x:v>2048</x:v>
      </x:c>
      <x:c r="F30" s="39" t="n">
        <x:v>128</x:v>
      </x:c>
      <x:c r="G30" s="39" t="n">
        <x:v>64</x:v>
      </x:c>
      <x:c r="H30" s="39" t="n">
        <x:v>512</x:v>
      </x:c>
      <x:c r="I30" s="39" t="n">
        <x:v>64</x:v>
      </x:c>
      <x:c r="J30" s="39" t="n">
        <x:v>32</x:v>
      </x:c>
      <x:c r="K30" s="39" t="n">
        <x:v>96</x:v>
      </x:c>
      <x:c r="L30" s="39" t="n">
        <x:v>283289</x:v>
      </x:c>
      <x:c r="M30" s="40" t="n">
        <x:f>IF(AND(ISNUMBER(L30),L30&gt;0),ROUND(C30*D30*E30/8192/L30*100,1)/100,"")</x:f>
        <x:v>0.46299999999999997</x:v>
      </x:c>
      <x:c r="N30" s="41" t="n">
        <x:f>IF(OR(F30="",G30="",H30=""),"",((I30+J30)*1024)/(F30*G30*H30/8192))</x:f>
        <x:v>192</x:v>
      </x:c>
      <x:c r="O30" s="41" t="n">
        <x:f>IF(OR(F30="",G30="",H30=""),"",(F30*G30*4)/(F30*G30*H30/8192))</x:f>
        <x:v>64</x:v>
      </x:c>
      <x:c r="P30" s="40" t="n">
        <x:f>IF(AND(ISNUMBER(N30),N30&gt;0),MIN(1,128/N30),"")</x:f>
        <x:v>0.6666666666666666</x:v>
      </x:c>
      <x:c r="Q30" s="40" t="n">
        <x:f>IF(AND(ISNUMBER(O30),O30&gt;0),MIN(1,512/O30),"")</x:f>
        <x:v>1</x:v>
      </x:c>
      <x:c r="R30" s="40" t="n">
        <x:f>IF(AND(ISNUMBER(P30),ISNUMBER(Q30)),MIN(P30,Q30),"")</x:f>
        <x:v>0.6666666666666666</x:v>
      </x:c>
      <x:c r="S30" s="41" t="n">
        <x:f>IF(AND(ISNUMBER(M30),ISNUMBER(R30)),(M30-R30)*100,"")</x:f>
        <x:v>-20.366666666666667</x:v>
      </x:c>
      <x:c r="T30" s="38" t="str">
        <x:v>PASS</x:v>
      </x:c>
      <x:c r="U30" s="42" t="str">
        <x:v>matmul_shared_lowp（FP8 specialization）；本轮 model-main ca92ea3bc708</x:v>
      </x:c>
    </x:row>
    <x:row r="31" ht="19" customHeight="1">
      <x:c r="A31" s="38" t="str">
        <x:v>S1</x:v>
      </x:c>
      <x:c r="B31" s="38" t="str">
        <x:v>FP8</x:v>
      </x:c>
      <x:c r="C31" s="39" t="n">
        <x:v>2048</x:v>
      </x:c>
      <x:c r="D31" s="39" t="n">
        <x:v>256</x:v>
      </x:c>
      <x:c r="E31" s="39" t="n">
        <x:v>2048</x:v>
      </x:c>
      <x:c r="F31" s="39" t="n">
        <x:v>128</x:v>
      </x:c>
      <x:c r="G31" s="39" t="n">
        <x:v>64</x:v>
      </x:c>
      <x:c r="H31" s="39" t="n">
        <x:v>1024</x:v>
      </x:c>
      <x:c r="I31" s="39" t="n">
        <x:v>128</x:v>
      </x:c>
      <x:c r="J31" s="39" t="n">
        <x:v>64</x:v>
      </x:c>
      <x:c r="K31" s="39" t="n">
        <x:v>192</x:v>
      </x:c>
      <x:c r="L31" s="39" t="n">
        <x:v>284292</x:v>
      </x:c>
      <x:c r="M31" s="40" t="n">
        <x:f>IF(AND(ISNUMBER(L31),L31&gt;0),ROUND(C31*D31*E31/8192/L31*100,1)/100,"")</x:f>
        <x:v>0.461</x:v>
      </x:c>
      <x:c r="N31" s="41" t="n">
        <x:f>IF(OR(F31="",G31="",H31=""),"",((I31+J31)*1024)/(F31*G31*H31/8192))</x:f>
        <x:v>192</x:v>
      </x:c>
      <x:c r="O31" s="41" t="n">
        <x:f>IF(OR(F31="",G31="",H31=""),"",(F31*G31*4)/(F31*G31*H31/8192))</x:f>
        <x:v>32</x:v>
      </x:c>
      <x:c r="P31" s="40" t="n">
        <x:f>IF(AND(ISNUMBER(N31),N31&gt;0),MIN(1,128/N31),"")</x:f>
        <x:v>0.6666666666666666</x:v>
      </x:c>
      <x:c r="Q31" s="40" t="n">
        <x:f>IF(AND(ISNUMBER(O31),O31&gt;0),MIN(1,512/O31),"")</x:f>
        <x:v>1</x:v>
      </x:c>
      <x:c r="R31" s="40" t="n">
        <x:f>IF(AND(ISNUMBER(P31),ISNUMBER(Q31)),MIN(P31,Q31),"")</x:f>
        <x:v>0.6666666666666666</x:v>
      </x:c>
      <x:c r="S31" s="41" t="n">
        <x:f>IF(AND(ISNUMBER(M31),ISNUMBER(R31)),(M31-R31)*100,"")</x:f>
        <x:v>-20.56666666666666</x:v>
      </x:c>
      <x:c r="T31" s="38" t="str">
        <x:v>PASS</x:v>
      </x:c>
      <x:c r="U31" s="42" t="str">
        <x:v>matmul_shared_lowp（FP8 specialization）；本轮 model-main ca92ea3bc708</x:v>
      </x:c>
    </x:row>
    <x:row r="32" ht="19" customHeight="1">
      <x:c r="A32" s="38" t="str">
        <x:v>S1</x:v>
      </x:c>
      <x:c r="B32" s="38" t="str">
        <x:v>FP8</x:v>
      </x:c>
      <x:c r="C32" s="39" t="n">
        <x:v>2048</x:v>
      </x:c>
      <x:c r="D32" s="39" t="n">
        <x:v>256</x:v>
      </x:c>
      <x:c r="E32" s="39" t="n">
        <x:v>2048</x:v>
      </x:c>
      <x:c r="F32" s="39" t="n">
        <x:v>128</x:v>
      </x:c>
      <x:c r="G32" s="39" t="n">
        <x:v>128</x:v>
      </x:c>
      <x:c r="H32" s="39" t="n">
        <x:v>256</x:v>
      </x:c>
      <x:c r="I32" s="39" t="n">
        <x:v>32</x:v>
      </x:c>
      <x:c r="J32" s="39" t="n">
        <x:v>32</x:v>
      </x:c>
      <x:c r="K32" s="39" t="n">
        <x:v>64</x:v>
      </x:c>
      <x:c r="L32" s="39" t="n">
        <x:v>146915</x:v>
      </x:c>
      <x:c r="M32" s="40" t="n">
        <x:f>IF(AND(ISNUMBER(L32),L32&gt;0),ROUND(C32*D32*E32/8192/L32*100,1)/100,"")</x:f>
        <x:v>0.892</x:v>
      </x:c>
      <x:c r="N32" s="41" t="n">
        <x:f>IF(OR(F32="",G32="",H32=""),"",((I32+J32)*1024)/(F32*G32*H32/8192))</x:f>
        <x:v>128</x:v>
      </x:c>
      <x:c r="O32" s="41" t="n">
        <x:f>IF(OR(F32="",G32="",H32=""),"",(F32*G32*4)/(F32*G32*H32/8192))</x:f>
        <x:v>128</x:v>
      </x:c>
      <x:c r="P32" s="40" t="n">
        <x:f>IF(AND(ISNUMBER(N32),N32&gt;0),MIN(1,128/N32),"")</x:f>
        <x:v>1</x:v>
      </x:c>
      <x:c r="Q32" s="40" t="n">
        <x:f>IF(AND(ISNUMBER(O32),O32&gt;0),MIN(1,512/O32),"")</x:f>
        <x:v>1</x:v>
      </x:c>
      <x:c r="R32" s="40" t="n">
        <x:f>IF(AND(ISNUMBER(P32),ISNUMBER(Q32)),MIN(P32,Q32),"")</x:f>
        <x:v>1</x:v>
      </x:c>
      <x:c r="S32" s="41" t="n">
        <x:f>IF(AND(ISNUMBER(M32),ISNUMBER(R32)),(M32-R32)*100,"")</x:f>
        <x:v>-10.799999999999999</x:v>
      </x:c>
      <x:c r="T32" s="38" t="str">
        <x:v>PASS</x:v>
      </x:c>
      <x:c r="U32" s="42" t="str">
        <x:v>matmul_shared_lowp（FP8 specialization）；本轮 model-main ca92ea3bc708</x:v>
      </x:c>
    </x:row>
    <x:row r="33" ht="19" customHeight="1">
      <x:c r="A33" s="53" t="str">
        <x:v>S1</x:v>
      </x:c>
      <x:c r="B33" s="54" t="str">
        <x:v>FP8</x:v>
      </x:c>
      <x:c r="C33" s="55" t="n">
        <x:v>2048</x:v>
      </x:c>
      <x:c r="D33" s="55" t="n">
        <x:v>256</x:v>
      </x:c>
      <x:c r="E33" s="55" t="n">
        <x:v>2048</x:v>
      </x:c>
      <x:c r="F33" s="55" t="n">
        <x:v>128</x:v>
      </x:c>
      <x:c r="G33" s="55" t="n">
        <x:v>128</x:v>
      </x:c>
      <x:c r="H33" s="55" t="n">
        <x:v>512</x:v>
      </x:c>
      <x:c r="I33" s="55" t="n">
        <x:v>64</x:v>
      </x:c>
      <x:c r="J33" s="55" t="n">
        <x:v>64</x:v>
      </x:c>
      <x:c r="K33" s="55" t="n">
        <x:v>128</x:v>
      </x:c>
      <x:c r="L33" s="55" t="n">
        <x:v>146507</x:v>
      </x:c>
      <x:c r="M33" s="56" t="n">
        <x:f>IF(AND(ISNUMBER(L33),L33&gt;0),ROUND(C33*D33*E33/8192/L33*100,1)/100,"")</x:f>
        <x:v>0.895</x:v>
      </x:c>
      <x:c r="N33" s="57" t="n">
        <x:f>IF(OR(F33="",G33="",H33=""),"",((I33+J33)*1024)/(F33*G33*H33/8192))</x:f>
        <x:v>128</x:v>
      </x:c>
      <x:c r="O33" s="57" t="n">
        <x:f>IF(OR(F33="",G33="",H33=""),"",(F33*G33*4)/(F33*G33*H33/8192))</x:f>
        <x:v>64</x:v>
      </x:c>
      <x:c r="P33" s="56" t="n">
        <x:f>IF(AND(ISNUMBER(N33),N33&gt;0),MIN(1,128/N33),"")</x:f>
        <x:v>1</x:v>
      </x:c>
      <x:c r="Q33" s="56" t="n">
        <x:f>IF(AND(ISNUMBER(O33),O33&gt;0),MIN(1,512/O33),"")</x:f>
        <x:v>1</x:v>
      </x:c>
      <x:c r="R33" s="56" t="n">
        <x:f>IF(AND(ISNUMBER(P33),ISNUMBER(Q33)),MIN(P33,Q33),"")</x:f>
        <x:v>1</x:v>
      </x:c>
      <x:c r="S33" s="57" t="n">
        <x:f>IF(AND(ISNUMBER(M33),ISNUMBER(R33)),(M33-R33)*100,"")</x:f>
        <x:v>-10.499999999999998</x:v>
      </x:c>
      <x:c r="T33" s="54" t="str">
        <x:v>PASS</x:v>
      </x:c>
      <x:c r="U33" s="58" t="str">
        <x:v>matmul_shared_lowp（FP8 specialization）；本轮 model-main ca92ea3bc708</x:v>
      </x:c>
    </x:row>
    <x:row r="34" ht="19" customHeight="1">
      <x:c r="A34" s="38" t="str">
        <x:v>S1</x:v>
      </x:c>
      <x:c r="B34" s="38" t="str">
        <x:v>FP8</x:v>
      </x:c>
      <x:c r="C34" s="39" t="n">
        <x:v>2048</x:v>
      </x:c>
      <x:c r="D34" s="39" t="n">
        <x:v>256</x:v>
      </x:c>
      <x:c r="E34" s="39" t="n">
        <x:v>2048</x:v>
      </x:c>
      <x:c r="F34" s="39" t="n">
        <x:v>128</x:v>
      </x:c>
      <x:c r="G34" s="39" t="n">
        <x:v>128</x:v>
      </x:c>
      <x:c r="H34" s="39" t="n">
        <x:v>1024</x:v>
      </x:c>
      <x:c r="I34" s="39" t="n">
        <x:v>128</x:v>
      </x:c>
      <x:c r="J34" s="39" t="n">
        <x:v>128</x:v>
      </x:c>
      <x:c r="K34" s="39" t="n">
        <x:v>256</x:v>
      </x:c>
      <x:c r="L34" s="39" t="n">
        <x:v>199366</x:v>
      </x:c>
      <x:c r="M34" s="40" t="n">
        <x:f>IF(AND(ISNUMBER(L34),L34&gt;0),ROUND(C34*D34*E34/8192/L34*100,1)/100,"")</x:f>
        <x:v>0.657</x:v>
      </x:c>
      <x:c r="N34" s="41" t="n">
        <x:f>IF(OR(F34="",G34="",H34=""),"",((I34+J34)*1024)/(F34*G34*H34/8192))</x:f>
        <x:v>128</x:v>
      </x:c>
      <x:c r="O34" s="41" t="n">
        <x:f>IF(OR(F34="",G34="",H34=""),"",(F34*G34*4)/(F34*G34*H34/8192))</x:f>
        <x:v>32</x:v>
      </x:c>
      <x:c r="P34" s="40" t="n">
        <x:f>IF(AND(ISNUMBER(N34),N34&gt;0),MIN(1,128/N34),"")</x:f>
        <x:v>1</x:v>
      </x:c>
      <x:c r="Q34" s="40" t="n">
        <x:f>IF(AND(ISNUMBER(O34),O34&gt;0),MIN(1,512/O34),"")</x:f>
        <x:v>1</x:v>
      </x:c>
      <x:c r="R34" s="40" t="n">
        <x:f>IF(AND(ISNUMBER(P34),ISNUMBER(Q34)),MIN(P34,Q34),"")</x:f>
        <x:v>1</x:v>
      </x:c>
      <x:c r="S34" s="41" t="n">
        <x:f>IF(AND(ISNUMBER(M34),ISNUMBER(R34)),(M34-R34)*100,"")</x:f>
        <x:v>-34.3</x:v>
      </x:c>
      <x:c r="T34" s="38" t="str">
        <x:v>PASS</x:v>
      </x:c>
      <x:c r="U34" s="42" t="str">
        <x:v>matmul_shared_lowp（FP8 specialization）；本轮 model-main ca92ea3bc708</x:v>
      </x:c>
    </x:row>
    <x:row r="35" ht="19" customHeight="1">
      <x:c r="A35" s="38" t="str">
        <x:v>S1</x:v>
      </x:c>
      <x:c r="B35" s="38" t="str">
        <x:v>FP8</x:v>
      </x:c>
      <x:c r="C35" s="39" t="n">
        <x:v>2048</x:v>
      </x:c>
      <x:c r="D35" s="39" t="n">
        <x:v>256</x:v>
      </x:c>
      <x:c r="E35" s="39" t="n">
        <x:v>2048</x:v>
      </x:c>
      <x:c r="F35" s="39" t="n">
        <x:v>128</x:v>
      </x:c>
      <x:c r="G35" s="39" t="n">
        <x:v>256</x:v>
      </x:c>
      <x:c r="H35" s="39" t="n">
        <x:v>256</x:v>
      </x:c>
      <x:c r="I35" s="39" t="n">
        <x:v>32</x:v>
      </x:c>
      <x:c r="J35" s="39" t="n">
        <x:v>64</x:v>
      </x:c>
      <x:c r="K35" s="39" t="n">
        <x:v>96</x:v>
      </x:c>
      <x:c r="L35" s="39" t="n">
        <x:v>182577</x:v>
      </x:c>
      <x:c r="M35" s="40" t="n">
        <x:f>IF(AND(ISNUMBER(L35),L35&gt;0),ROUND(C35*D35*E35/8192/L35*100,1)/100,"")</x:f>
        <x:v>0.718</x:v>
      </x:c>
      <x:c r="N35" s="41" t="n">
        <x:f>IF(OR(F35="",G35="",H35=""),"",((I35+J35)*1024)/(F35*G35*H35/8192))</x:f>
        <x:v>96</x:v>
      </x:c>
      <x:c r="O35" s="41" t="n">
        <x:f>IF(OR(F35="",G35="",H35=""),"",(F35*G35*4)/(F35*G35*H35/8192))</x:f>
        <x:v>128</x:v>
      </x:c>
      <x:c r="P35" s="40" t="n">
        <x:f>IF(AND(ISNUMBER(N35),N35&gt;0),MIN(1,128/N35),"")</x:f>
        <x:v>1</x:v>
      </x:c>
      <x:c r="Q35" s="40" t="n">
        <x:f>IF(AND(ISNUMBER(O35),O35&gt;0),MIN(1,512/O35),"")</x:f>
        <x:v>1</x:v>
      </x:c>
      <x:c r="R35" s="40" t="n">
        <x:f>IF(AND(ISNUMBER(P35),ISNUMBER(Q35)),MIN(P35,Q35),"")</x:f>
        <x:v>1</x:v>
      </x:c>
      <x:c r="S35" s="41" t="n">
        <x:f>IF(AND(ISNUMBER(M35),ISNUMBER(R35)),(M35-R35)*100,"")</x:f>
        <x:v>-28.200000000000003</x:v>
      </x:c>
      <x:c r="T35" s="38" t="str">
        <x:v>PASS</x:v>
      </x:c>
      <x:c r="U35" s="42" t="str">
        <x:v>matmul_shared_lowp（FP8 specialization）；本轮 SuperScalarModel-main ca92ea3bc708；gfsim PASS；完整 soc_random/bw113/lat330 配置</x:v>
      </x:c>
    </x:row>
    <x:row r="36" ht="19" customHeight="1">
      <x:c r="A36" s="38" t="str">
        <x:v>S1</x:v>
      </x:c>
      <x:c r="B36" s="38" t="str">
        <x:v>FP8</x:v>
      </x:c>
      <x:c r="C36" s="39" t="n">
        <x:v>2048</x:v>
      </x:c>
      <x:c r="D36" s="39" t="n">
        <x:v>256</x:v>
      </x:c>
      <x:c r="E36" s="39" t="n">
        <x:v>2048</x:v>
      </x:c>
      <x:c r="F36" s="39" t="n">
        <x:v>128</x:v>
      </x:c>
      <x:c r="G36" s="39" t="n">
        <x:v>256</x:v>
      </x:c>
      <x:c r="H36" s="39" t="n">
        <x:v>512</x:v>
      </x:c>
      <x:c r="I36" s="39" t="n">
        <x:v>64</x:v>
      </x:c>
      <x:c r="J36" s="39" t="n">
        <x:v>128</x:v>
      </x:c>
      <x:c r="K36" s="39" t="n">
        <x:v>192</x:v>
      </x:c>
      <x:c r="L36" s="39" t="n">
        <x:v>185356</x:v>
      </x:c>
      <x:c r="M36" s="40" t="n">
        <x:f>IF(AND(ISNUMBER(L36),L36&gt;0),ROUND(C36*D36*E36/8192/L36*100,1)/100,"")</x:f>
        <x:v>0.7070000000000001</x:v>
      </x:c>
      <x:c r="N36" s="41" t="n">
        <x:f>IF(OR(F36="",G36="",H36=""),"",((I36+J36)*1024)/(F36*G36*H36/8192))</x:f>
        <x:v>96</x:v>
      </x:c>
      <x:c r="O36" s="41" t="n">
        <x:f>IF(OR(F36="",G36="",H36=""),"",(F36*G36*4)/(F36*G36*H36/8192))</x:f>
        <x:v>64</x:v>
      </x:c>
      <x:c r="P36" s="40" t="n">
        <x:f>IF(AND(ISNUMBER(N36),N36&gt;0),MIN(1,128/N36),"")</x:f>
        <x:v>1</x:v>
      </x:c>
      <x:c r="Q36" s="40" t="n">
        <x:f>IF(AND(ISNUMBER(O36),O36&gt;0),MIN(1,512/O36),"")</x:f>
        <x:v>1</x:v>
      </x:c>
      <x:c r="R36" s="40" t="n">
        <x:f>IF(AND(ISNUMBER(P36),ISNUMBER(Q36)),MIN(P36,Q36),"")</x:f>
        <x:v>1</x:v>
      </x:c>
      <x:c r="S36" s="41" t="n">
        <x:f>IF(AND(ISNUMBER(M36),ISNUMBER(R36)),(M36-R36)*100,"")</x:f>
        <x:v>-29.299999999999994</x:v>
      </x:c>
      <x:c r="T36" s="38" t="str">
        <x:v>PASS</x:v>
      </x:c>
      <x:c r="U36" s="42" t="str">
        <x:v>matmul_shared_lowp（FP8 specialization）；本轮 SuperScalarModel-main ca92ea3bc708；gfsim PASS；完整 soc_random/bw113/lat330 配置</x:v>
      </x:c>
    </x:row>
    <x:row r="37" ht="19" customHeight="1">
      <x:c r="A37" s="38" t="str">
        <x:v>S1</x:v>
      </x:c>
      <x:c r="B37" s="38" t="str">
        <x:v>MXFP8</x:v>
      </x:c>
      <x:c r="C37" s="39" t="n">
        <x:v>2048</x:v>
      </x:c>
      <x:c r="D37" s="39" t="n">
        <x:v>256</x:v>
      </x:c>
      <x:c r="E37" s="39" t="n">
        <x:v>2048</x:v>
      </x:c>
      <x:c r="F37" s="39" t="n">
        <x:v>128</x:v>
      </x:c>
      <x:c r="G37" s="39" t="n">
        <x:v>64</x:v>
      </x:c>
      <x:c r="H37" s="39" t="n">
        <x:v>256</x:v>
      </x:c>
      <x:c r="I37" s="39" t="n">
        <x:v>36</x:v>
      </x:c>
      <x:c r="J37" s="39" t="n">
        <x:v>18</x:v>
      </x:c>
      <x:c r="K37" s="39" t="n">
        <x:v>54</x:v>
      </x:c>
      <x:c r="L37" s="39" t="str">
        <x:v>—</x:v>
      </x:c>
      <x:c r="M37" s="40" t="str">
        <x:f>IF(AND(ISNUMBER(L37),L37&gt;0),ROUND(C37*D37*E37/8192/L37*100,1)/100,"")</x:f>
      </x:c>
      <x:c r="N37" s="41" t="n">
        <x:f>IF(OR(F37="",G37="",H37=""),"",((I37+J37)*1024)/(F37*G37*H37/8192))</x:f>
        <x:v>216</x:v>
      </x:c>
      <x:c r="O37" s="41" t="n">
        <x:f>IF(OR(F37="",G37="",H37=""),"",(F37*G37*4)/(F37*G37*H37/8192))</x:f>
        <x:v>128</x:v>
      </x:c>
      <x:c r="P37" s="40" t="n">
        <x:f>IF(AND(ISNUMBER(N37),N37&gt;0),MIN(1,128/N37),"")</x:f>
        <x:v>0.5925925925925926</x:v>
      </x:c>
      <x:c r="Q37" s="40" t="n">
        <x:f>IF(AND(ISNUMBER(O37),O37&gt;0),MIN(1,512/O37),"")</x:f>
        <x:v>1</x:v>
      </x:c>
      <x:c r="R37" s="40" t="n">
        <x:f>IF(AND(ISNUMBER(P37),ISNUMBER(Q37)),MIN(P37,Q37),"")</x:f>
        <x:v>0.5925925925925926</x:v>
      </x:c>
      <x:c r="S37" s="41" t="str">
        <x:f>IF(AND(ISNUMBER(M37),ISNUMBER(R37)),(M37-R37)*100,"")</x:f>
      </x:c>
      <x:c r="T37" s="38" t="str">
        <x:v>ASSERT_FAIL</x:v>
      </x:c>
      <x:c r="U37" s="42" t="str">
        <x:v>matmul_shared_lowp（MXFP8）；本轮 SuperScalarModel-main ca92ea3bc708；gfsim ASSERT_FAIL：inst-&gt;dsts.empty() &amp;&amp; "implicit-ACC CUBE operations must not encode an ordinary destination"</x:v>
      </x:c>
    </x:row>
    <x:row r="38" ht="19" customHeight="1">
      <x:c r="A38" s="38" t="str">
        <x:v>S1</x:v>
      </x:c>
      <x:c r="B38" s="38" t="str">
        <x:v>MXFP8</x:v>
      </x:c>
      <x:c r="C38" s="39" t="n">
        <x:v>2048</x:v>
      </x:c>
      <x:c r="D38" s="39" t="n">
        <x:v>256</x:v>
      </x:c>
      <x:c r="E38" s="39" t="n">
        <x:v>2048</x:v>
      </x:c>
      <x:c r="F38" s="39" t="n">
        <x:v>128</x:v>
      </x:c>
      <x:c r="G38" s="39" t="n">
        <x:v>64</x:v>
      </x:c>
      <x:c r="H38" s="39" t="n">
        <x:v>512</x:v>
      </x:c>
      <x:c r="I38" s="39" t="n">
        <x:v>68</x:v>
      </x:c>
      <x:c r="J38" s="39" t="n">
        <x:v>34</x:v>
      </x:c>
      <x:c r="K38" s="39" t="n">
        <x:v>102</x:v>
      </x:c>
      <x:c r="L38" s="39" t="n">
        <x:v>651106</x:v>
      </x:c>
      <x:c r="M38" s="40" t="n">
        <x:f>IF(AND(ISNUMBER(L38),L38&gt;0),ROUND(C38*D38*E38/8192/L38*100,1)/100,"")</x:f>
        <x:v>0.201</x:v>
      </x:c>
      <x:c r="N38" s="41" t="n">
        <x:f>IF(OR(F38="",G38="",H38=""),"",((I38+J38)*1024)/(F38*G38*H38/8192))</x:f>
        <x:v>204</x:v>
      </x:c>
      <x:c r="O38" s="41" t="n">
        <x:f>IF(OR(F38="",G38="",H38=""),"",(F38*G38*4)/(F38*G38*H38/8192))</x:f>
        <x:v>64</x:v>
      </x:c>
      <x:c r="P38" s="40" t="n">
        <x:f>IF(AND(ISNUMBER(N38),N38&gt;0),MIN(1,128/N38),"")</x:f>
        <x:v>0.6274509803921569</x:v>
      </x:c>
      <x:c r="Q38" s="40" t="n">
        <x:f>IF(AND(ISNUMBER(O38),O38&gt;0),MIN(1,512/O38),"")</x:f>
        <x:v>1</x:v>
      </x:c>
      <x:c r="R38" s="40" t="n">
        <x:f>IF(AND(ISNUMBER(P38),ISNUMBER(Q38)),MIN(P38,Q38),"")</x:f>
        <x:v>0.6274509803921569</x:v>
      </x:c>
      <x:c r="S38" s="41" t="n">
        <x:f>IF(AND(ISNUMBER(M38),ISNUMBER(R38)),(M38-R38)*100,"")</x:f>
        <x:v>-42.64509803921568</x:v>
      </x:c>
      <x:c r="T38" s="38" t="str">
        <x:v>PASS</x:v>
      </x:c>
      <x:c r="U38" s="42" t="str">
        <x:v>matmul_shared_lowp（MXFP8，E8M0/group-32 scale）；本轮 SuperScalarModel-main ca92ea3bc708；gfsim PASS</x:v>
      </x:c>
    </x:row>
    <x:row r="39" ht="19" customHeight="1">
      <x:c r="A39" s="38" t="str">
        <x:v>S1</x:v>
      </x:c>
      <x:c r="B39" s="38" t="str">
        <x:v>MXFP8</x:v>
      </x:c>
      <x:c r="C39" s="39" t="n">
        <x:v>2048</x:v>
      </x:c>
      <x:c r="D39" s="39" t="n">
        <x:v>256</x:v>
      </x:c>
      <x:c r="E39" s="39" t="n">
        <x:v>2048</x:v>
      </x:c>
      <x:c r="F39" s="39" t="n">
        <x:v>128</x:v>
      </x:c>
      <x:c r="G39" s="39" t="n">
        <x:v>64</x:v>
      </x:c>
      <x:c r="H39" s="39" t="n">
        <x:v>1024</x:v>
      </x:c>
      <x:c r="I39" s="39" t="n">
        <x:v>132</x:v>
      </x:c>
      <x:c r="J39" s="39" t="n">
        <x:v>66</x:v>
      </x:c>
      <x:c r="K39" s="39" t="n">
        <x:v>198</x:v>
      </x:c>
      <x:c r="L39" s="39" t="n">
        <x:v>546646</x:v>
      </x:c>
      <x:c r="M39" s="40" t="n">
        <x:f>IF(AND(ISNUMBER(L39),L39&gt;0),ROUND(C39*D39*E39/8192/L39*100,1)/100,"")</x:f>
        <x:v>0.24</x:v>
      </x:c>
      <x:c r="N39" s="41" t="n">
        <x:f>IF(OR(F39="",G39="",H39=""),"",((I39+J39)*1024)/(F39*G39*H39/8192))</x:f>
        <x:v>198</x:v>
      </x:c>
      <x:c r="O39" s="41" t="n">
        <x:f>IF(OR(F39="",G39="",H39=""),"",(F39*G39*4)/(F39*G39*H39/8192))</x:f>
        <x:v>32</x:v>
      </x:c>
      <x:c r="P39" s="40" t="n">
        <x:f>IF(AND(ISNUMBER(N39),N39&gt;0),MIN(1,128/N39),"")</x:f>
        <x:v>0.6464646464646465</x:v>
      </x:c>
      <x:c r="Q39" s="40" t="n">
        <x:f>IF(AND(ISNUMBER(O39),O39&gt;0),MIN(1,512/O39),"")</x:f>
        <x:v>1</x:v>
      </x:c>
      <x:c r="R39" s="40" t="n">
        <x:f>IF(AND(ISNUMBER(P39),ISNUMBER(Q39)),MIN(P39,Q39),"")</x:f>
        <x:v>0.6464646464646465</x:v>
      </x:c>
      <x:c r="S39" s="41" t="n">
        <x:f>IF(AND(ISNUMBER(M39),ISNUMBER(R39)),(M39-R39)*100,"")</x:f>
        <x:v>-40.64646464646465</x:v>
      </x:c>
      <x:c r="T39" s="38" t="str">
        <x:v>PASS</x:v>
      </x:c>
      <x:c r="U39" s="42" t="str">
        <x:v>matmul_shared_lowp（MXFP8，E8M0/group-32 scale）；本轮 SuperScalarModel-main ca92ea3bc708；gfsim PASS</x:v>
      </x:c>
    </x:row>
    <x:row r="40" ht="19" customHeight="1">
      <x:c r="A40" s="38" t="str">
        <x:v>S1</x:v>
      </x:c>
      <x:c r="B40" s="38" t="str">
        <x:v>MXFP8</x:v>
      </x:c>
      <x:c r="C40" s="39" t="n">
        <x:v>2048</x:v>
      </x:c>
      <x:c r="D40" s="39" t="n">
        <x:v>256</x:v>
      </x:c>
      <x:c r="E40" s="39" t="n">
        <x:v>2048</x:v>
      </x:c>
      <x:c r="F40" s="39" t="n">
        <x:v>128</x:v>
      </x:c>
      <x:c r="G40" s="39" t="n">
        <x:v>128</x:v>
      </x:c>
      <x:c r="H40" s="39" t="n">
        <x:v>256</x:v>
      </x:c>
      <x:c r="I40" s="39" t="n">
        <x:v>36</x:v>
      </x:c>
      <x:c r="J40" s="39" t="n">
        <x:v>36</x:v>
      </x:c>
      <x:c r="K40" s="39" t="n">
        <x:v>72</x:v>
      </x:c>
      <x:c r="L40" s="39" t="n">
        <x:v>335563</x:v>
      </x:c>
      <x:c r="M40" s="40" t="n">
        <x:f>IF(AND(ISNUMBER(L40),L40&gt;0),ROUND(C40*D40*E40/8192/L40*100,1)/100,"")</x:f>
        <x:v>0.391</x:v>
      </x:c>
      <x:c r="N40" s="41" t="n">
        <x:f>IF(OR(F40="",G40="",H40=""),"",((I40+J40)*1024)/(F40*G40*H40/8192))</x:f>
        <x:v>144</x:v>
      </x:c>
      <x:c r="O40" s="41" t="n">
        <x:f>IF(OR(F40="",G40="",H40=""),"",(F40*G40*4)/(F40*G40*H40/8192))</x:f>
        <x:v>128</x:v>
      </x:c>
      <x:c r="P40" s="40" t="n">
        <x:f>IF(AND(ISNUMBER(N40),N40&gt;0),MIN(1,128/N40),"")</x:f>
        <x:v>0.8888888888888888</x:v>
      </x:c>
      <x:c r="Q40" s="40" t="n">
        <x:f>IF(AND(ISNUMBER(O40),O40&gt;0),MIN(1,512/O40),"")</x:f>
        <x:v>1</x:v>
      </x:c>
      <x:c r="R40" s="40" t="n">
        <x:f>IF(AND(ISNUMBER(P40),ISNUMBER(Q40)),MIN(P40,Q40),"")</x:f>
        <x:v>0.8888888888888888</x:v>
      </x:c>
      <x:c r="S40" s="41" t="n">
        <x:f>IF(AND(ISNUMBER(M40),ISNUMBER(R40)),(M40-R40)*100,"")</x:f>
        <x:v>-49.788888888888884</x:v>
      </x:c>
      <x:c r="T40" s="38" t="str">
        <x:v>PASS</x:v>
      </x:c>
      <x:c r="U40" s="42" t="str">
        <x:v>matmul_shared_lowp（MXFP8，E8M0/group-32 scale）；本轮 SuperScalarModel-main ca92ea3bc708；gfsim PASS</x:v>
      </x:c>
    </x:row>
    <x:row r="41" ht="19" customHeight="1">
      <x:c r="A41" s="38" t="str">
        <x:v>S1</x:v>
      </x:c>
      <x:c r="B41" s="38" t="str">
        <x:v>MXFP8</x:v>
      </x:c>
      <x:c r="C41" s="39" t="n">
        <x:v>2048</x:v>
      </x:c>
      <x:c r="D41" s="39" t="n">
        <x:v>256</x:v>
      </x:c>
      <x:c r="E41" s="39" t="n">
        <x:v>2048</x:v>
      </x:c>
      <x:c r="F41" s="39" t="n">
        <x:v>128</x:v>
      </x:c>
      <x:c r="G41" s="39" t="n">
        <x:v>128</x:v>
      </x:c>
      <x:c r="H41" s="39" t="n">
        <x:v>512</x:v>
      </x:c>
      <x:c r="I41" s="39" t="n">
        <x:v>68</x:v>
      </x:c>
      <x:c r="J41" s="39" t="n">
        <x:v>68</x:v>
      </x:c>
      <x:c r="K41" s="39" t="n">
        <x:v>136</x:v>
      </x:c>
      <x:c r="L41" s="39" t="str">
        <x:v>—</x:v>
      </x:c>
      <x:c r="M41" s="40" t="str">
        <x:f>IF(AND(ISNUMBER(L41),L41&gt;0),ROUND(C41*D41*E41/8192/L41*100,1)/100,"")</x:f>
      </x:c>
      <x:c r="N41" s="41" t="n">
        <x:f>IF(OR(F41="",G41="",H41=""),"",((I41+J41)*1024)/(F41*G41*H41/8192))</x:f>
        <x:v>136</x:v>
      </x:c>
      <x:c r="O41" s="41" t="n">
        <x:f>IF(OR(F41="",G41="",H41=""),"",(F41*G41*4)/(F41*G41*H41/8192))</x:f>
        <x:v>64</x:v>
      </x:c>
      <x:c r="P41" s="40" t="n">
        <x:f>IF(AND(ISNUMBER(N41),N41&gt;0),MIN(1,128/N41),"")</x:f>
        <x:v>0.9411764705882353</x:v>
      </x:c>
      <x:c r="Q41" s="40" t="n">
        <x:f>IF(AND(ISNUMBER(O41),O41&gt;0),MIN(1,512/O41),"")</x:f>
        <x:v>1</x:v>
      </x:c>
      <x:c r="R41" s="40" t="n">
        <x:f>IF(AND(ISNUMBER(P41),ISNUMBER(Q41)),MIN(P41,Q41),"")</x:f>
        <x:v>0.9411764705882353</x:v>
      </x:c>
      <x:c r="S41" s="41" t="str">
        <x:f>IF(AND(ISNUMBER(M41),ISNUMBER(R41)),(M41-R41)*100,"")</x:f>
      </x:c>
      <x:c r="T41" s="38" t="str">
        <x:v>DEADLOCK</x:v>
      </x:c>
      <x:c r="U41" s="42" t="str">
        <x:v>matmul_shared_lowp（MXFP8）；本轮 SuperScalarModel-main ca92ea3bc708；gfsim DEADLOCK：false &amp;&amp; "Deadlock detected: simulation stalled, no new blocks committed for too long"</x:v>
      </x:c>
    </x:row>
    <x:row r="42" ht="19" customHeight="1">
      <x:c r="A42" s="38" t="str">
        <x:v>S1</x:v>
      </x:c>
      <x:c r="B42" s="38" t="str">
        <x:v>MXFP8</x:v>
      </x:c>
      <x:c r="C42" s="39" t="n">
        <x:v>2048</x:v>
      </x:c>
      <x:c r="D42" s="39" t="n">
        <x:v>256</x:v>
      </x:c>
      <x:c r="E42" s="39" t="n">
        <x:v>2048</x:v>
      </x:c>
      <x:c r="F42" s="39" t="n">
        <x:v>128</x:v>
      </x:c>
      <x:c r="G42" s="39" t="n">
        <x:v>256</x:v>
      </x:c>
      <x:c r="H42" s="39" t="n">
        <x:v>256</x:v>
      </x:c>
      <x:c r="I42" s="39" t="n">
        <x:v>36</x:v>
      </x:c>
      <x:c r="J42" s="39" t="n">
        <x:v>72</x:v>
      </x:c>
      <x:c r="K42" s="39" t="n">
        <x:v>108</x:v>
      </x:c>
      <x:c r="L42" s="39" t="n">
        <x:v>201229</x:v>
      </x:c>
      <x:c r="M42" s="40" t="n">
        <x:f>IF(AND(ISNUMBER(L42),L42&gt;0),ROUND(C42*D42*E42/8192/L42*100,1)/100,"")</x:f>
        <x:v>0.6509999999999999</x:v>
      </x:c>
      <x:c r="N42" s="41" t="n">
        <x:f>IF(OR(F42="",G42="",H42=""),"",((I42+J42)*1024)/(F42*G42*H42/8192))</x:f>
        <x:v>108</x:v>
      </x:c>
      <x:c r="O42" s="41" t="n">
        <x:f>IF(OR(F42="",G42="",H42=""),"",(F42*G42*4)/(F42*G42*H42/8192))</x:f>
        <x:v>128</x:v>
      </x:c>
      <x:c r="P42" s="40" t="n">
        <x:f>IF(AND(ISNUMBER(N42),N42&gt;0),MIN(1,128/N42),"")</x:f>
        <x:v>1</x:v>
      </x:c>
      <x:c r="Q42" s="40" t="n">
        <x:f>IF(AND(ISNUMBER(O42),O42&gt;0),MIN(1,512/O42),"")</x:f>
        <x:v>1</x:v>
      </x:c>
      <x:c r="R42" s="40" t="n">
        <x:f>IF(AND(ISNUMBER(P42),ISNUMBER(Q42)),MIN(P42,Q42),"")</x:f>
        <x:v>1</x:v>
      </x:c>
      <x:c r="S42" s="41" t="n">
        <x:f>IF(AND(ISNUMBER(M42),ISNUMBER(R42)),(M42-R42)*100,"")</x:f>
        <x:v>-34.900000000000006</x:v>
      </x:c>
      <x:c r="T42" s="38" t="str">
        <x:v>PASS</x:v>
      </x:c>
      <x:c r="U42" s="42" t="str">
        <x:v>matmul_shared_lowp（MXFP8，E8M0/group-32 scale）；本轮 SuperScalarModel-main ca92ea3bc708；gfsim PASS</x:v>
      </x:c>
    </x:row>
    <x:row r="43" ht="19" customHeight="1">
      <x:c r="A43" s="53" t="str">
        <x:v>S1</x:v>
      </x:c>
      <x:c r="B43" s="54" t="str">
        <x:v>MXFP8</x:v>
      </x:c>
      <x:c r="C43" s="55" t="n">
        <x:v>2048</x:v>
      </x:c>
      <x:c r="D43" s="55" t="n">
        <x:v>256</x:v>
      </x:c>
      <x:c r="E43" s="55" t="n">
        <x:v>2048</x:v>
      </x:c>
      <x:c r="F43" s="55" t="n">
        <x:v>128</x:v>
      </x:c>
      <x:c r="G43" s="55" t="n">
        <x:v>256</x:v>
      </x:c>
      <x:c r="H43" s="55" t="n">
        <x:v>512</x:v>
      </x:c>
      <x:c r="I43" s="55" t="n">
        <x:v>68</x:v>
      </x:c>
      <x:c r="J43" s="55" t="n">
        <x:v>136</x:v>
      </x:c>
      <x:c r="K43" s="55" t="n">
        <x:v>204</x:v>
      </x:c>
      <x:c r="L43" s="55" t="n">
        <x:v>192869</x:v>
      </x:c>
      <x:c r="M43" s="56" t="n">
        <x:f>IF(AND(ISNUMBER(L43),L43&gt;0),ROUND(C43*D43*E43/8192/L43*100,1)/100,"")</x:f>
        <x:v>0.68</x:v>
      </x:c>
      <x:c r="N43" s="57" t="n">
        <x:f>IF(OR(F43="",G43="",H43=""),"",((I43+J43)*1024)/(F43*G43*H43/8192))</x:f>
        <x:v>102</x:v>
      </x:c>
      <x:c r="O43" s="57" t="n">
        <x:f>IF(OR(F43="",G43="",H43=""),"",(F43*G43*4)/(F43*G43*H43/8192))</x:f>
        <x:v>64</x:v>
      </x:c>
      <x:c r="P43" s="56" t="n">
        <x:f>IF(AND(ISNUMBER(N43),N43&gt;0),MIN(1,128/N43),"")</x:f>
        <x:v>1</x:v>
      </x:c>
      <x:c r="Q43" s="56" t="n">
        <x:f>IF(AND(ISNUMBER(O43),O43&gt;0),MIN(1,512/O43),"")</x:f>
        <x:v>1</x:v>
      </x:c>
      <x:c r="R43" s="56" t="n">
        <x:f>IF(AND(ISNUMBER(P43),ISNUMBER(Q43)),MIN(P43,Q43),"")</x:f>
        <x:v>1</x:v>
      </x:c>
      <x:c r="S43" s="57" t="n">
        <x:f>IF(AND(ISNUMBER(M43),ISNUMBER(R43)),(M43-R43)*100,"")</x:f>
        <x:v>-31.999999999999996</x:v>
      </x:c>
      <x:c r="T43" s="54" t="str">
        <x:v>PASS</x:v>
      </x:c>
      <x:c r="U43" s="58" t="str">
        <x:v>matmul_shared_lowp（MXFP8，E8M0/group-32 scale）；本轮 SuperScalarModel-main ca92ea3bc708；gfsim PASS</x:v>
      </x:c>
    </x:row>
    <x:row r="44" ht="19" customHeight="1">
      <x:c r="A44" s="38" t="str">
        <x:v>S1</x:v>
      </x:c>
      <x:c r="B44" s="38" t="str">
        <x:v>MXFP4</x:v>
      </x:c>
      <x:c r="C44" s="39" t="n">
        <x:v>2048</x:v>
      </x:c>
      <x:c r="D44" s="39" t="n">
        <x:v>256</x:v>
      </x:c>
      <x:c r="E44" s="39" t="n">
        <x:v>2048</x:v>
      </x:c>
      <x:c r="F44" s="39" t="n">
        <x:v>128</x:v>
      </x:c>
      <x:c r="G44" s="39" t="n">
        <x:v>64</x:v>
      </x:c>
      <x:c r="H44" s="39" t="n">
        <x:v>256</x:v>
      </x:c>
      <x:c r="I44" s="39" t="n">
        <x:v>36</x:v>
      </x:c>
      <x:c r="J44" s="39" t="n">
        <x:v>18</x:v>
      </x:c>
      <x:c r="K44" s="39" t="n">
        <x:v>54</x:v>
      </x:c>
      <x:c r="L44" s="39" t="n">
        <x:v>588604</x:v>
      </x:c>
      <x:c r="M44" s="40" t="n">
        <x:f>IF(AND(ISNUMBER(L44),L44&gt;0),ROUND(C44*D44*E44/16384/L44*100,1)/100,"")</x:f>
        <x:v>0.111</x:v>
      </x:c>
      <x:c r="N44" s="41" t="n">
        <x:f>IF(OR(F44="",G44="",H44=""),"",((I44+J44)*1024)/(F44*G44*H44/16384))</x:f>
        <x:v>432</x:v>
      </x:c>
      <x:c r="O44" s="41" t="n">
        <x:f>IF(OR(F44="",G44="",H44=""),"",(F44*G44*4)/(F44*G44*H44/16384))</x:f>
        <x:v>256</x:v>
      </x:c>
      <x:c r="P44" s="40" t="n">
        <x:f>IF(AND(ISNUMBER(N44),N44&gt;0),MIN(1,128/N44),"")</x:f>
        <x:v>0.2962962962962963</x:v>
      </x:c>
      <x:c r="Q44" s="40" t="n">
        <x:f>IF(AND(ISNUMBER(O44),O44&gt;0),MIN(1,512/O44),"")</x:f>
        <x:v>1</x:v>
      </x:c>
      <x:c r="R44" s="40" t="n">
        <x:f>IF(AND(ISNUMBER(P44),ISNUMBER(Q44)),MIN(P44,Q44),"")</x:f>
        <x:v>0.2962962962962963</x:v>
      </x:c>
      <x:c r="S44" s="41" t="n">
        <x:f>IF(AND(ISNUMBER(M44),ISNUMBER(R44)),(M44-R44)*100,"")</x:f>
        <x:v>-18.52962962962963</x:v>
      </x:c>
      <x:c r="T44" s="38" t="str">
        <x:v>PASS</x:v>
      </x:c>
      <x:c r="U44" s="42" t="str">
        <x:v>matmul_shared_lowp（MXFP4，E8M0/group-32 scale）；本轮 SuperScalarModel-main ca92ea3bc708；gfsim PASS</x:v>
      </x:c>
    </x:row>
    <x:row r="45" ht="19" customHeight="1">
      <x:c r="A45" s="38" t="str">
        <x:v>S1</x:v>
      </x:c>
      <x:c r="B45" s="38" t="str">
        <x:v>MXFP4</x:v>
      </x:c>
      <x:c r="C45" s="39" t="n">
        <x:v>2048</x:v>
      </x:c>
      <x:c r="D45" s="39" t="n">
        <x:v>256</x:v>
      </x:c>
      <x:c r="E45" s="39" t="n">
        <x:v>2048</x:v>
      </x:c>
      <x:c r="F45" s="39" t="n">
        <x:v>128</x:v>
      </x:c>
      <x:c r="G45" s="39" t="n">
        <x:v>64</x:v>
      </x:c>
      <x:c r="H45" s="39" t="n">
        <x:v>512</x:v>
      </x:c>
      <x:c r="I45" s="39" t="n">
        <x:v>68</x:v>
      </x:c>
      <x:c r="J45" s="39" t="n">
        <x:v>34</x:v>
      </x:c>
      <x:c r="K45" s="39" t="n">
        <x:v>102</x:v>
      </x:c>
      <x:c r="L45" s="39" t="n">
        <x:v>616661</x:v>
      </x:c>
      <x:c r="M45" s="40" t="n">
        <x:f>IF(AND(ISNUMBER(L45),L45&gt;0),ROUND(C45*D45*E45/16384/L45*100,1)/100,"")</x:f>
        <x:v>0.106</x:v>
      </x:c>
      <x:c r="N45" s="41" t="n">
        <x:f>IF(OR(F45="",G45="",H45=""),"",((I45+J45)*1024)/(F45*G45*H45/16384))</x:f>
        <x:v>408</x:v>
      </x:c>
      <x:c r="O45" s="41" t="n">
        <x:f>IF(OR(F45="",G45="",H45=""),"",(F45*G45*4)/(F45*G45*H45/16384))</x:f>
        <x:v>128</x:v>
      </x:c>
      <x:c r="P45" s="40" t="n">
        <x:f>IF(AND(ISNUMBER(N45),N45&gt;0),MIN(1,128/N45),"")</x:f>
        <x:v>0.3137254901960784</x:v>
      </x:c>
      <x:c r="Q45" s="40" t="n">
        <x:f>IF(AND(ISNUMBER(O45),O45&gt;0),MIN(1,512/O45),"")</x:f>
        <x:v>1</x:v>
      </x:c>
      <x:c r="R45" s="40" t="n">
        <x:f>IF(AND(ISNUMBER(P45),ISNUMBER(Q45)),MIN(P45,Q45),"")</x:f>
        <x:v>0.3137254901960784</x:v>
      </x:c>
      <x:c r="S45" s="41" t="n">
        <x:f>IF(AND(ISNUMBER(M45),ISNUMBER(R45)),(M45-R45)*100,"")</x:f>
        <x:v>-20.772549019607844</x:v>
      </x:c>
      <x:c r="T45" s="38" t="str">
        <x:v>PASS</x:v>
      </x:c>
      <x:c r="U45" s="42" t="str">
        <x:v>matmul_shared_lowp（MXFP4，E8M0/group-32 scale）；本轮 SuperScalarModel-main ca92ea3bc708；gfsim PASS</x:v>
      </x:c>
    </x:row>
    <x:row r="46" ht="19" customHeight="1">
      <x:c r="A46" s="38" t="str">
        <x:v>S1</x:v>
      </x:c>
      <x:c r="B46" s="38" t="str">
        <x:v>MXFP4</x:v>
      </x:c>
      <x:c r="C46" s="39" t="n">
        <x:v>2048</x:v>
      </x:c>
      <x:c r="D46" s="39" t="n">
        <x:v>256</x:v>
      </x:c>
      <x:c r="E46" s="39" t="n">
        <x:v>2048</x:v>
      </x:c>
      <x:c r="F46" s="39" t="n">
        <x:v>128</x:v>
      </x:c>
      <x:c r="G46" s="39" t="n">
        <x:v>64</x:v>
      </x:c>
      <x:c r="H46" s="39" t="n">
        <x:v>1024</x:v>
      </x:c>
      <x:c r="I46" s="39" t="n">
        <x:v>132</x:v>
      </x:c>
      <x:c r="J46" s="39" t="n">
        <x:v>66</x:v>
      </x:c>
      <x:c r="K46" s="39" t="n">
        <x:v>198</x:v>
      </x:c>
      <x:c r="L46" s="39" t="n">
        <x:v>546874</x:v>
      </x:c>
      <x:c r="M46" s="40" t="n">
        <x:f>IF(AND(ISNUMBER(L46),L46&gt;0),ROUND(C46*D46*E46/16384/L46*100,1)/100,"")</x:f>
        <x:v>0.12</x:v>
      </x:c>
      <x:c r="N46" s="41" t="n">
        <x:f>IF(OR(F46="",G46="",H46=""),"",((I46+J46)*1024)/(F46*G46*H46/16384))</x:f>
        <x:v>396</x:v>
      </x:c>
      <x:c r="O46" s="41" t="n">
        <x:f>IF(OR(F46="",G46="",H46=""),"",(F46*G46*4)/(F46*G46*H46/16384))</x:f>
        <x:v>64</x:v>
      </x:c>
      <x:c r="P46" s="40" t="n">
        <x:f>IF(AND(ISNUMBER(N46),N46&gt;0),MIN(1,128/N46),"")</x:f>
        <x:v>0.32323232323232326</x:v>
      </x:c>
      <x:c r="Q46" s="40" t="n">
        <x:f>IF(AND(ISNUMBER(O46),O46&gt;0),MIN(1,512/O46),"")</x:f>
        <x:v>1</x:v>
      </x:c>
      <x:c r="R46" s="40" t="n">
        <x:f>IF(AND(ISNUMBER(P46),ISNUMBER(Q46)),MIN(P46,Q46),"")</x:f>
        <x:v>0.32323232323232326</x:v>
      </x:c>
      <x:c r="S46" s="41" t="n">
        <x:f>IF(AND(ISNUMBER(M46),ISNUMBER(R46)),(M46-R46)*100,"")</x:f>
        <x:v>-20.323232323232325</x:v>
      </x:c>
      <x:c r="T46" s="38" t="str">
        <x:v>PASS</x:v>
      </x:c>
      <x:c r="U46" s="42" t="str">
        <x:v>matmul_shared_lowp（MXFP4，E8M0/group-32 scale）；本轮 SuperScalarModel-main ca92ea3bc708；gfsim PASS</x:v>
      </x:c>
    </x:row>
    <x:row r="47" ht="19" customHeight="1">
      <x:c r="A47" s="38" t="str">
        <x:v>S1</x:v>
      </x:c>
      <x:c r="B47" s="38" t="str">
        <x:v>MXFP4</x:v>
      </x:c>
      <x:c r="C47" s="39" t="n">
        <x:v>2048</x:v>
      </x:c>
      <x:c r="D47" s="39" t="n">
        <x:v>256</x:v>
      </x:c>
      <x:c r="E47" s="39" t="n">
        <x:v>2048</x:v>
      </x:c>
      <x:c r="F47" s="39" t="n">
        <x:v>128</x:v>
      </x:c>
      <x:c r="G47" s="39" t="n">
        <x:v>128</x:v>
      </x:c>
      <x:c r="H47" s="39" t="n">
        <x:v>256</x:v>
      </x:c>
      <x:c r="I47" s="39" t="n">
        <x:v>36</x:v>
      </x:c>
      <x:c r="J47" s="39" t="n">
        <x:v>36</x:v>
      </x:c>
      <x:c r="K47" s="39" t="n">
        <x:v>72</x:v>
      </x:c>
      <x:c r="L47" s="39" t="n">
        <x:v>316021</x:v>
      </x:c>
      <x:c r="M47" s="40" t="n">
        <x:f>IF(AND(ISNUMBER(L47),L47&gt;0),ROUND(C47*D47*E47/16384/L47*100,1)/100,"")</x:f>
        <x:v>0.207</x:v>
      </x:c>
      <x:c r="N47" s="41" t="n">
        <x:f>IF(OR(F47="",G47="",H47=""),"",((I47+J47)*1024)/(F47*G47*H47/16384))</x:f>
        <x:v>288</x:v>
      </x:c>
      <x:c r="O47" s="41" t="n">
        <x:f>IF(OR(F47="",G47="",H47=""),"",(F47*G47*4)/(F47*G47*H47/16384))</x:f>
        <x:v>256</x:v>
      </x:c>
      <x:c r="P47" s="40" t="n">
        <x:f>IF(AND(ISNUMBER(N47),N47&gt;0),MIN(1,128/N47),"")</x:f>
        <x:v>0.4444444444444444</x:v>
      </x:c>
      <x:c r="Q47" s="40" t="n">
        <x:f>IF(AND(ISNUMBER(O47),O47&gt;0),MIN(1,512/O47),"")</x:f>
        <x:v>1</x:v>
      </x:c>
      <x:c r="R47" s="40" t="n">
        <x:f>IF(AND(ISNUMBER(P47),ISNUMBER(Q47)),MIN(P47,Q47),"")</x:f>
        <x:v>0.4444444444444444</x:v>
      </x:c>
      <x:c r="S47" s="41" t="n">
        <x:f>IF(AND(ISNUMBER(M47),ISNUMBER(R47)),(M47-R47)*100,"")</x:f>
        <x:v>-23.744444444444444</x:v>
      </x:c>
      <x:c r="T47" s="38" t="str">
        <x:v>PASS</x:v>
      </x:c>
      <x:c r="U47" s="42" t="str">
        <x:v>matmul_shared_lowp（MXFP4，E8M0/group-32 scale）；本轮 SuperScalarModel-main ca92ea3bc708；gfsim PASS</x:v>
      </x:c>
    </x:row>
    <x:row r="48" ht="19" customHeight="1">
      <x:c r="A48" s="38" t="str">
        <x:v>S1</x:v>
      </x:c>
      <x:c r="B48" s="38" t="str">
        <x:v>MXFP4</x:v>
      </x:c>
      <x:c r="C48" s="39" t="n">
        <x:v>2048</x:v>
      </x:c>
      <x:c r="D48" s="39" t="n">
        <x:v>256</x:v>
      </x:c>
      <x:c r="E48" s="39" t="n">
        <x:v>2048</x:v>
      </x:c>
      <x:c r="F48" s="39" t="n">
        <x:v>128</x:v>
      </x:c>
      <x:c r="G48" s="39" t="n">
        <x:v>128</x:v>
      </x:c>
      <x:c r="H48" s="39" t="n">
        <x:v>512</x:v>
      </x:c>
      <x:c r="I48" s="39" t="n">
        <x:v>68</x:v>
      </x:c>
      <x:c r="J48" s="39" t="n">
        <x:v>68</x:v>
      </x:c>
      <x:c r="K48" s="39" t="n">
        <x:v>136</x:v>
      </x:c>
      <x:c r="L48" s="39" t="str">
        <x:v>—</x:v>
      </x:c>
      <x:c r="M48" s="40" t="str">
        <x:f>IF(AND(ISNUMBER(L48),L48&gt;0),ROUND(C48*D48*E48/16384/L48*100,1)/100,"")</x:f>
      </x:c>
      <x:c r="N48" s="41" t="n">
        <x:f>IF(OR(F48="",G48="",H48=""),"",((I48+J48)*1024)/(F48*G48*H48/16384))</x:f>
        <x:v>272</x:v>
      </x:c>
      <x:c r="O48" s="41" t="n">
        <x:f>IF(OR(F48="",G48="",H48=""),"",(F48*G48*4)/(F48*G48*H48/16384))</x:f>
        <x:v>128</x:v>
      </x:c>
      <x:c r="P48" s="40" t="n">
        <x:f>IF(AND(ISNUMBER(N48),N48&gt;0),MIN(1,128/N48),"")</x:f>
        <x:v>0.47058823529411764</x:v>
      </x:c>
      <x:c r="Q48" s="40" t="n">
        <x:f>IF(AND(ISNUMBER(O48),O48&gt;0),MIN(1,512/O48),"")</x:f>
        <x:v>1</x:v>
      </x:c>
      <x:c r="R48" s="40" t="n">
        <x:f>IF(AND(ISNUMBER(P48),ISNUMBER(Q48)),MIN(P48,Q48),"")</x:f>
        <x:v>0.47058823529411764</x:v>
      </x:c>
      <x:c r="S48" s="41" t="str">
        <x:f>IF(AND(ISNUMBER(M48),ISNUMBER(R48)),(M48-R48)*100,"")</x:f>
      </x:c>
      <x:c r="T48" s="38" t="str">
        <x:v>DEADLOCK</x:v>
      </x:c>
      <x:c r="U48" s="42" t="str">
        <x:v>matmul_shared_lowp（MXFP4）；本轮 SuperScalarModel-main ca92ea3bc708；gfsim DEADLOCK：false &amp;&amp; "Deadlock detected: simulation stalled, no new blocks committed for too long"</x:v>
      </x:c>
    </x:row>
    <x:row r="49" ht="19" customHeight="1">
      <x:c r="A49" s="53" t="str">
        <x:v>S1</x:v>
      </x:c>
      <x:c r="B49" s="54" t="str">
        <x:v>MXFP4</x:v>
      </x:c>
      <x:c r="C49" s="55" t="n">
        <x:v>2048</x:v>
      </x:c>
      <x:c r="D49" s="55" t="n">
        <x:v>256</x:v>
      </x:c>
      <x:c r="E49" s="55" t="n">
        <x:v>2048</x:v>
      </x:c>
      <x:c r="F49" s="55" t="n">
        <x:v>128</x:v>
      </x:c>
      <x:c r="G49" s="55" t="n">
        <x:v>256</x:v>
      </x:c>
      <x:c r="H49" s="55" t="n">
        <x:v>256</x:v>
      </x:c>
      <x:c r="I49" s="55" t="n">
        <x:v>36</x:v>
      </x:c>
      <x:c r="J49" s="55" t="n">
        <x:v>72</x:v>
      </x:c>
      <x:c r="K49" s="55" t="n">
        <x:v>108</x:v>
      </x:c>
      <x:c r="L49" s="55" t="n">
        <x:v>187441</x:v>
      </x:c>
      <x:c r="M49" s="56" t="n">
        <x:f>IF(AND(ISNUMBER(L49),L49&gt;0),ROUND(C49*D49*E49/16384/L49*100,1)/100,"")</x:f>
        <x:v>0.35</x:v>
      </x:c>
      <x:c r="N49" s="57" t="n">
        <x:f>IF(OR(F49="",G49="",H49=""),"",((I49+J49)*1024)/(F49*G49*H49/16384))</x:f>
        <x:v>216</x:v>
      </x:c>
      <x:c r="O49" s="57" t="n">
        <x:f>IF(OR(F49="",G49="",H49=""),"",(F49*G49*4)/(F49*G49*H49/16384))</x:f>
        <x:v>256</x:v>
      </x:c>
      <x:c r="P49" s="56" t="n">
        <x:f>IF(AND(ISNUMBER(N49),N49&gt;0),MIN(1,128/N49),"")</x:f>
        <x:v>0.5925925925925926</x:v>
      </x:c>
      <x:c r="Q49" s="56" t="n">
        <x:f>IF(AND(ISNUMBER(O49),O49&gt;0),MIN(1,512/O49),"")</x:f>
        <x:v>1</x:v>
      </x:c>
      <x:c r="R49" s="56" t="n">
        <x:f>IF(AND(ISNUMBER(P49),ISNUMBER(Q49)),MIN(P49,Q49),"")</x:f>
        <x:v>0.5925925925925926</x:v>
      </x:c>
      <x:c r="S49" s="57" t="n">
        <x:f>IF(AND(ISNUMBER(M49),ISNUMBER(R49)),(M49-R49)*100,"")</x:f>
        <x:v>-24.25925925925926</x:v>
      </x:c>
      <x:c r="T49" s="54" t="str">
        <x:v>PASS</x:v>
      </x:c>
      <x:c r="U49" s="58" t="str">
        <x:v>matmul_shared_lowp（MXFP4，E8M0/group-32 scale）；本轮 SuperScalarModel-main ca92ea3bc708；gfsim PASS</x:v>
      </x:c>
    </x:row>
    <x:row r="50" ht="19" customHeight="1">
      <x:c r="A50" s="38" t="str">
        <x:v>S1</x:v>
      </x:c>
      <x:c r="B50" s="38" t="str">
        <x:v>MXFP4</x:v>
      </x:c>
      <x:c r="C50" s="39" t="n">
        <x:v>2048</x:v>
      </x:c>
      <x:c r="D50" s="39" t="n">
        <x:v>256</x:v>
      </x:c>
      <x:c r="E50" s="39" t="n">
        <x:v>2048</x:v>
      </x:c>
      <x:c r="F50" s="39" t="n">
        <x:v>128</x:v>
      </x:c>
      <x:c r="G50" s="39" t="n">
        <x:v>256</x:v>
      </x:c>
      <x:c r="H50" s="39" t="n">
        <x:v>512</x:v>
      </x:c>
      <x:c r="I50" s="39" t="n">
        <x:v>68</x:v>
      </x:c>
      <x:c r="J50" s="39" t="n">
        <x:v>136</x:v>
      </x:c>
      <x:c r="K50" s="39" t="n">
        <x:v>204</x:v>
      </x:c>
      <x:c r="L50" s="39" t="str">
        <x:v>—</x:v>
      </x:c>
      <x:c r="M50" s="40" t="str">
        <x:f>IF(AND(ISNUMBER(L50),L50&gt;0),ROUND(C50*D50*E50/16384/L50*100,1)/100,"")</x:f>
      </x:c>
      <x:c r="N50" s="41" t="n">
        <x:f>IF(OR(F50="",G50="",H50=""),"",((I50+J50)*1024)/(F50*G50*H50/16384))</x:f>
        <x:v>204</x:v>
      </x:c>
      <x:c r="O50" s="41" t="n">
        <x:f>IF(OR(F50="",G50="",H50=""),"",(F50*G50*4)/(F50*G50*H50/16384))</x:f>
        <x:v>128</x:v>
      </x:c>
      <x:c r="P50" s="40" t="n">
        <x:f>IF(AND(ISNUMBER(N50),N50&gt;0),MIN(1,128/N50),"")</x:f>
        <x:v>0.6274509803921569</x:v>
      </x:c>
      <x:c r="Q50" s="40" t="n">
        <x:f>IF(AND(ISNUMBER(O50),O50&gt;0),MIN(1,512/O50),"")</x:f>
        <x:v>1</x:v>
      </x:c>
      <x:c r="R50" s="40" t="n">
        <x:f>IF(AND(ISNUMBER(P50),ISNUMBER(Q50)),MIN(P50,Q50),"")</x:f>
        <x:v>0.6274509803921569</x:v>
      </x:c>
      <x:c r="S50" s="41" t="str">
        <x:f>IF(AND(ISNUMBER(M50),ISNUMBER(R50)),(M50-R50)*100,"")</x:f>
      </x:c>
      <x:c r="T50" s="38" t="str">
        <x:v>DEADLOCK</x:v>
      </x:c>
      <x:c r="U50" s="42" t="str">
        <x:v>matmul_shared_lowp（MXFP4）；本轮 SuperScalarModel-main ca92ea3bc708；gfsim DEADLOCK：false &amp;&amp; "Deadlock detected: simulation stalled, no new blocks committed for too long"</x:v>
      </x:c>
    </x:row>
    <x:row r="51" ht="19" customHeight="1">
      <x:c r="A51" s="59" t="str">
        <x:v>S2</x:v>
      </x:c>
      <x:c r="B51" s="59" t="str">
        <x:v>FP32</x:v>
      </x:c>
      <x:c r="C51" s="60" t="n">
        <x:v>128</x:v>
      </x:c>
      <x:c r="D51" s="60" t="n">
        <x:v>256</x:v>
      </x:c>
      <x:c r="E51" s="60" t="n">
        <x:v>7168</x:v>
      </x:c>
      <x:c r="F51" s="60" t="n">
        <x:v>128</x:v>
      </x:c>
      <x:c r="G51" s="60" t="n">
        <x:v>64</x:v>
      </x:c>
      <x:c r="H51" s="60" t="n">
        <x:v>64</x:v>
      </x:c>
      <x:c r="I51" s="60" t="n">
        <x:v>32</x:v>
      </x:c>
      <x:c r="J51" s="60" t="n">
        <x:v>16</x:v>
      </x:c>
      <x:c r="K51" s="60" t="n">
        <x:v>48</x:v>
      </x:c>
      <x:c r="L51" s="60" t="n">
        <x:v>299335</x:v>
      </x:c>
      <x:c r="M51" s="61" t="n">
        <x:f>IF(AND(ISNUMBER(L51),L51&gt;0),ROUND(C51*D51*E51/2048/L51*100,1)/100,"")</x:f>
        <x:v>0.38299999999999995</x:v>
      </x:c>
      <x:c r="N51" s="62" t="n">
        <x:f>IF(OR(F51="",G51="",H51=""),"",((I51+J51)*1024)/(F51*G51*H51/2048))</x:f>
        <x:v>192</x:v>
      </x:c>
      <x:c r="O51" s="62" t="n">
        <x:f>IF(OR(F51="",G51="",H51=""),"",(F51*G51*4)/(F51*G51*H51/2048))</x:f>
        <x:v>128</x:v>
      </x:c>
      <x:c r="P51" s="61" t="n">
        <x:f>IF(AND(ISNUMBER(N51),N51&gt;0),MIN(1,128/N51),"")</x:f>
        <x:v>0.6666666666666666</x:v>
      </x:c>
      <x:c r="Q51" s="61" t="n">
        <x:f>IF(AND(ISNUMBER(O51),O51&gt;0),MIN(1,512/O51),"")</x:f>
        <x:v>1</x:v>
      </x:c>
      <x:c r="R51" s="61" t="n">
        <x:f>IF(AND(ISNUMBER(P51),ISNUMBER(Q51)),MIN(P51,Q51),"")</x:f>
        <x:v>0.6666666666666666</x:v>
      </x:c>
      <x:c r="S51" s="62" t="n">
        <x:f>IF(AND(ISNUMBER(M51),ISNUMBER(R51)),(M51-R51)*100,"")</x:f>
        <x:v>-28.366666666666667</x:v>
      </x:c>
      <x:c r="T51" s="59" t="str">
        <x:v>PASS</x:v>
      </x:c>
      <x:c r="U51" s="63" t="str">
        <x:v>本轮 model-main 9b3a4405（6参数含SoC）2026-09-21</x:v>
      </x:c>
    </x:row>
    <x:row r="52" ht="19" customHeight="1">
      <x:c r="A52" s="59" t="str">
        <x:v>S2</x:v>
      </x:c>
      <x:c r="B52" s="59" t="str">
        <x:v>FP32</x:v>
      </x:c>
      <x:c r="C52" s="60" t="n">
        <x:v>128</x:v>
      </x:c>
      <x:c r="D52" s="60" t="n">
        <x:v>256</x:v>
      </x:c>
      <x:c r="E52" s="60" t="n">
        <x:v>7168</x:v>
      </x:c>
      <x:c r="F52" s="60" t="n">
        <x:v>128</x:v>
      </x:c>
      <x:c r="G52" s="60" t="n">
        <x:v>64</x:v>
      </x:c>
      <x:c r="H52" s="60" t="n">
        <x:v>128</x:v>
      </x:c>
      <x:c r="I52" s="60" t="n">
        <x:v>64</x:v>
      </x:c>
      <x:c r="J52" s="60" t="n">
        <x:v>32</x:v>
      </x:c>
      <x:c r="K52" s="60" t="n">
        <x:v>96</x:v>
      </x:c>
      <x:c r="L52" s="60" t="n">
        <x:v>299653</x:v>
      </x:c>
      <x:c r="M52" s="61" t="n">
        <x:f>IF(AND(ISNUMBER(L52),L52&gt;0),ROUND(C52*D52*E52/2048/L52*100,1)/100,"")</x:f>
        <x:v>0.38299999999999995</x:v>
      </x:c>
      <x:c r="N52" s="62" t="n">
        <x:f>IF(OR(F52="",G52="",H52=""),"",((I52+J52)*1024)/(F52*G52*H52/2048))</x:f>
        <x:v>192</x:v>
      </x:c>
      <x:c r="O52" s="62" t="n">
        <x:f>IF(OR(F52="",G52="",H52=""),"",(F52*G52*4)/(F52*G52*H52/2048))</x:f>
        <x:v>64</x:v>
      </x:c>
      <x:c r="P52" s="61" t="n">
        <x:f>IF(AND(ISNUMBER(N52),N52&gt;0),MIN(1,128/N52),"")</x:f>
        <x:v>0.6666666666666666</x:v>
      </x:c>
      <x:c r="Q52" s="61" t="n">
        <x:f>IF(AND(ISNUMBER(O52),O52&gt;0),MIN(1,512/O52),"")</x:f>
        <x:v>1</x:v>
      </x:c>
      <x:c r="R52" s="61" t="n">
        <x:f>IF(AND(ISNUMBER(P52),ISNUMBER(Q52)),MIN(P52,Q52),"")</x:f>
        <x:v>0.6666666666666666</x:v>
      </x:c>
      <x:c r="S52" s="62" t="n">
        <x:f>IF(AND(ISNUMBER(M52),ISNUMBER(R52)),(M52-R52)*100,"")</x:f>
        <x:v>-28.366666666666667</x:v>
      </x:c>
      <x:c r="T52" s="59" t="str">
        <x:v>PASS</x:v>
      </x:c>
      <x:c r="U52" s="63" t="str">
        <x:v>本轮 model-main 9b3a4405（6参数含SoC）2026-09-21</x:v>
      </x:c>
    </x:row>
    <x:row r="53" ht="19" customHeight="1">
      <x:c r="A53" s="59" t="str">
        <x:v>S2</x:v>
      </x:c>
      <x:c r="B53" s="59" t="str">
        <x:v>FP32</x:v>
      </x:c>
      <x:c r="C53" s="60" t="n">
        <x:v>128</x:v>
      </x:c>
      <x:c r="D53" s="60" t="n">
        <x:v>256</x:v>
      </x:c>
      <x:c r="E53" s="60" t="n">
        <x:v>7168</x:v>
      </x:c>
      <x:c r="F53" s="60" t="n">
        <x:v>128</x:v>
      </x:c>
      <x:c r="G53" s="60" t="n">
        <x:v>64</x:v>
      </x:c>
      <x:c r="H53" s="60" t="n">
        <x:v>256</x:v>
      </x:c>
      <x:c r="I53" s="60" t="n">
        <x:v>128</x:v>
      </x:c>
      <x:c r="J53" s="60" t="n">
        <x:v>64</x:v>
      </x:c>
      <x:c r="K53" s="60" t="n">
        <x:v>192</x:v>
      </x:c>
      <x:c r="L53" s="60" t="n">
        <x:v>300337</x:v>
      </x:c>
      <x:c r="M53" s="61" t="n">
        <x:f>IF(AND(ISNUMBER(L53),L53&gt;0),ROUND(C53*D53*E53/2048/L53*100,1)/100,"")</x:f>
        <x:v>0.382</x:v>
      </x:c>
      <x:c r="N53" s="62" t="n">
        <x:f>IF(OR(F53="",G53="",H53=""),"",((I53+J53)*1024)/(F53*G53*H53/2048))</x:f>
        <x:v>192</x:v>
      </x:c>
      <x:c r="O53" s="62" t="n">
        <x:f>IF(OR(F53="",G53="",H53=""),"",(F53*G53*4)/(F53*G53*H53/2048))</x:f>
        <x:v>32</x:v>
      </x:c>
      <x:c r="P53" s="61" t="n">
        <x:f>IF(AND(ISNUMBER(N53),N53&gt;0),MIN(1,128/N53),"")</x:f>
        <x:v>0.6666666666666666</x:v>
      </x:c>
      <x:c r="Q53" s="61" t="n">
        <x:f>IF(AND(ISNUMBER(O53),O53&gt;0),MIN(1,512/O53),"")</x:f>
        <x:v>1</x:v>
      </x:c>
      <x:c r="R53" s="61" t="n">
        <x:f>IF(AND(ISNUMBER(P53),ISNUMBER(Q53)),MIN(P53,Q53),"")</x:f>
        <x:v>0.6666666666666666</x:v>
      </x:c>
      <x:c r="S53" s="62" t="n">
        <x:f>IF(AND(ISNUMBER(M53),ISNUMBER(R53)),(M53-R53)*100,"")</x:f>
        <x:v>-28.46666666666666</x:v>
      </x:c>
      <x:c r="T53" s="59" t="str">
        <x:v>PASS</x:v>
      </x:c>
      <x:c r="U53" s="63" t="str">
        <x:v>本轮 model-main 9b3a4405（6参数含SoC）2026-09-21</x:v>
      </x:c>
    </x:row>
    <x:row r="54" ht="19" customHeight="1">
      <x:c r="A54" s="59" t="str">
        <x:v>S2</x:v>
      </x:c>
      <x:c r="B54" s="59" t="str">
        <x:v>FP32</x:v>
      </x:c>
      <x:c r="C54" s="60" t="n">
        <x:v>128</x:v>
      </x:c>
      <x:c r="D54" s="60" t="n">
        <x:v>256</x:v>
      </x:c>
      <x:c r="E54" s="60" t="n">
        <x:v>7168</x:v>
      </x:c>
      <x:c r="F54" s="60" t="n">
        <x:v>128</x:v>
      </x:c>
      <x:c r="G54" s="60" t="n">
        <x:v>128</x:v>
      </x:c>
      <x:c r="H54" s="60" t="n">
        <x:v>64</x:v>
      </x:c>
      <x:c r="I54" s="60" t="n">
        <x:v>32</x:v>
      </x:c>
      <x:c r="J54" s="60" t="n">
        <x:v>32</x:v>
      </x:c>
      <x:c r="K54" s="60" t="n">
        <x:v>64</x:v>
      </x:c>
      <x:c r="L54" s="60" t="n">
        <x:v>200536</x:v>
      </x:c>
      <x:c r="M54" s="61" t="n">
        <x:f>IF(AND(ISNUMBER(L54),L54&gt;0),ROUND(C54*D54*E54/2048/L54*100,1)/100,"")</x:f>
        <x:v>0.5720000000000001</x:v>
      </x:c>
      <x:c r="N54" s="62" t="n">
        <x:f>IF(OR(F54="",G54="",H54=""),"",((I54+J54)*1024)/(F54*G54*H54/2048))</x:f>
        <x:v>128</x:v>
      </x:c>
      <x:c r="O54" s="62" t="n">
        <x:f>IF(OR(F54="",G54="",H54=""),"",(F54*G54*4)/(F54*G54*H54/2048))</x:f>
        <x:v>128</x:v>
      </x:c>
      <x:c r="P54" s="61" t="n">
        <x:f>IF(AND(ISNUMBER(N54),N54&gt;0),MIN(1,128/N54),"")</x:f>
        <x:v>1</x:v>
      </x:c>
      <x:c r="Q54" s="61" t="n">
        <x:f>IF(AND(ISNUMBER(O54),O54&gt;0),MIN(1,512/O54),"")</x:f>
        <x:v>1</x:v>
      </x:c>
      <x:c r="R54" s="61" t="n">
        <x:f>IF(AND(ISNUMBER(P54),ISNUMBER(Q54)),MIN(P54,Q54),"")</x:f>
        <x:v>1</x:v>
      </x:c>
      <x:c r="S54" s="62" t="n">
        <x:f>IF(AND(ISNUMBER(M54),ISNUMBER(R54)),(M54-R54)*100,"")</x:f>
        <x:v>-42.8</x:v>
      </x:c>
      <x:c r="T54" s="59" t="str">
        <x:v>PASS</x:v>
      </x:c>
      <x:c r="U54" s="63" t="str">
        <x:v>本轮 model-main 9b3a4405（6参数含SoC）2026-09-21</x:v>
      </x:c>
    </x:row>
    <x:row r="55" ht="19" customHeight="1">
      <x:c r="A55" s="59" t="str">
        <x:v>S2</x:v>
      </x:c>
      <x:c r="B55" s="59" t="str">
        <x:v>FP32</x:v>
      </x:c>
      <x:c r="C55" s="60" t="n">
        <x:v>128</x:v>
      </x:c>
      <x:c r="D55" s="60" t="n">
        <x:v>256</x:v>
      </x:c>
      <x:c r="E55" s="60" t="n">
        <x:v>7168</x:v>
      </x:c>
      <x:c r="F55" s="60" t="n">
        <x:v>128</x:v>
      </x:c>
      <x:c r="G55" s="60" t="n">
        <x:v>128</x:v>
      </x:c>
      <x:c r="H55" s="60" t="n">
        <x:v>128</x:v>
      </x:c>
      <x:c r="I55" s="60" t="n">
        <x:v>64</x:v>
      </x:c>
      <x:c r="J55" s="60" t="n">
        <x:v>64</x:v>
      </x:c>
      <x:c r="K55" s="60" t="n">
        <x:v>128</x:v>
      </x:c>
      <x:c r="L55" s="60" t="n">
        <x:v>200886</x:v>
      </x:c>
      <x:c r="M55" s="61" t="n">
        <x:f>IF(AND(ISNUMBER(L55),L55&gt;0),ROUND(C55*D55*E55/2048/L55*100,1)/100,"")</x:f>
        <x:v>0.5710000000000001</x:v>
      </x:c>
      <x:c r="N55" s="62" t="n">
        <x:f>IF(OR(F55="",G55="",H55=""),"",((I55+J55)*1024)/(F55*G55*H55/2048))</x:f>
        <x:v>128</x:v>
      </x:c>
      <x:c r="O55" s="62" t="n">
        <x:f>IF(OR(F55="",G55="",H55=""),"",(F55*G55*4)/(F55*G55*H55/2048))</x:f>
        <x:v>64</x:v>
      </x:c>
      <x:c r="P55" s="61" t="n">
        <x:f>IF(AND(ISNUMBER(N55),N55&gt;0),MIN(1,128/N55),"")</x:f>
        <x:v>1</x:v>
      </x:c>
      <x:c r="Q55" s="61" t="n">
        <x:f>IF(AND(ISNUMBER(O55),O55&gt;0),MIN(1,512/O55),"")</x:f>
        <x:v>1</x:v>
      </x:c>
      <x:c r="R55" s="61" t="n">
        <x:f>IF(AND(ISNUMBER(P55),ISNUMBER(Q55)),MIN(P55,Q55),"")</x:f>
        <x:v>1</x:v>
      </x:c>
      <x:c r="S55" s="62" t="n">
        <x:f>IF(AND(ISNUMBER(M55),ISNUMBER(R55)),(M55-R55)*100,"")</x:f>
        <x:v>-42.89999999999999</x:v>
      </x:c>
      <x:c r="T55" s="59" t="str">
        <x:v>PASS</x:v>
      </x:c>
      <x:c r="U55" s="63" t="str">
        <x:v>本轮 model-main 9b3a4405（6参数含SoC）2026-09-21</x:v>
      </x:c>
    </x:row>
    <x:row r="56" ht="19" customHeight="1">
      <x:c r="A56" s="59" t="str">
        <x:v>S2</x:v>
      </x:c>
      <x:c r="B56" s="59" t="str">
        <x:v>FP32</x:v>
      </x:c>
      <x:c r="C56" s="60" t="n">
        <x:v>128</x:v>
      </x:c>
      <x:c r="D56" s="60" t="n">
        <x:v>256</x:v>
      </x:c>
      <x:c r="E56" s="60" t="n">
        <x:v>7168</x:v>
      </x:c>
      <x:c r="F56" s="60" t="n">
        <x:v>128</x:v>
      </x:c>
      <x:c r="G56" s="60" t="n">
        <x:v>128</x:v>
      </x:c>
      <x:c r="H56" s="60" t="n">
        <x:v>256</x:v>
      </x:c>
      <x:c r="I56" s="60" t="n">
        <x:v>128</x:v>
      </x:c>
      <x:c r="J56" s="60" t="n">
        <x:v>128</x:v>
      </x:c>
      <x:c r="K56" s="60" t="n">
        <x:v>256</x:v>
      </x:c>
      <x:c r="L56" s="60" t="n">
        <x:v>202533</x:v>
      </x:c>
      <x:c r="M56" s="61" t="n">
        <x:f>IF(AND(ISNUMBER(L56),L56&gt;0),ROUND(C56*D56*E56/2048/L56*100,1)/100,"")</x:f>
        <x:v>0.5660000000000001</x:v>
      </x:c>
      <x:c r="N56" s="62" t="n">
        <x:f>IF(OR(F56="",G56="",H56=""),"",((I56+J56)*1024)/(F56*G56*H56/2048))</x:f>
        <x:v>128</x:v>
      </x:c>
      <x:c r="O56" s="62" t="n">
        <x:f>IF(OR(F56="",G56="",H56=""),"",(F56*G56*4)/(F56*G56*H56/2048))</x:f>
        <x:v>32</x:v>
      </x:c>
      <x:c r="P56" s="61" t="n">
        <x:f>IF(AND(ISNUMBER(N56),N56&gt;0),MIN(1,128/N56),"")</x:f>
        <x:v>1</x:v>
      </x:c>
      <x:c r="Q56" s="61" t="n">
        <x:f>IF(AND(ISNUMBER(O56),O56&gt;0),MIN(1,512/O56),"")</x:f>
        <x:v>1</x:v>
      </x:c>
      <x:c r="R56" s="61" t="n">
        <x:f>IF(AND(ISNUMBER(P56),ISNUMBER(Q56)),MIN(P56,Q56),"")</x:f>
        <x:v>1</x:v>
      </x:c>
      <x:c r="S56" s="62" t="n">
        <x:f>IF(AND(ISNUMBER(M56),ISNUMBER(R56)),(M56-R56)*100,"")</x:f>
        <x:v>-43.39999999999999</x:v>
      </x:c>
      <x:c r="T56" s="59" t="str">
        <x:v>PASS</x:v>
      </x:c>
      <x:c r="U56" s="63" t="str">
        <x:v>本轮 model-main 9b3a4405（6参数含SoC）2026-09-21</x:v>
      </x:c>
    </x:row>
    <x:row r="57" ht="19" customHeight="1">
      <x:c r="A57" s="53" t="str">
        <x:v>S2</x:v>
      </x:c>
      <x:c r="B57" s="54" t="str">
        <x:v>FP32</x:v>
      </x:c>
      <x:c r="C57" s="55" t="n">
        <x:v>128</x:v>
      </x:c>
      <x:c r="D57" s="55" t="n">
        <x:v>256</x:v>
      </x:c>
      <x:c r="E57" s="55" t="n">
        <x:v>7168</x:v>
      </x:c>
      <x:c r="F57" s="55" t="n">
        <x:v>128</x:v>
      </x:c>
      <x:c r="G57" s="55" t="n">
        <x:v>256</x:v>
      </x:c>
      <x:c r="H57" s="55" t="n">
        <x:v>64</x:v>
      </x:c>
      <x:c r="I57" s="55" t="n">
        <x:v>32</x:v>
      </x:c>
      <x:c r="J57" s="55" t="n">
        <x:v>64</x:v>
      </x:c>
      <x:c r="K57" s="55" t="n">
        <x:v>96</x:v>
      </x:c>
      <x:c r="L57" s="55" t="n">
        <x:v>151576</x:v>
      </x:c>
      <x:c r="M57" s="56" t="n">
        <x:f>IF(AND(ISNUMBER(L57),L57&gt;0),ROUND(C57*D57*E57/2048/L57*100,1)/100,"")</x:f>
        <x:v>0.757</x:v>
      </x:c>
      <x:c r="N57" s="57" t="n">
        <x:f>IF(OR(F57="",G57="",H57=""),"",((I57+J57)*1024)/(F57*G57*H57/2048))</x:f>
        <x:v>96</x:v>
      </x:c>
      <x:c r="O57" s="57" t="n">
        <x:f>IF(OR(F57="",G57="",H57=""),"",(F57*G57*4)/(F57*G57*H57/2048))</x:f>
        <x:v>128</x:v>
      </x:c>
      <x:c r="P57" s="56" t="n">
        <x:f>IF(AND(ISNUMBER(N57),N57&gt;0),MIN(1,128/N57),"")</x:f>
        <x:v>1</x:v>
      </x:c>
      <x:c r="Q57" s="56" t="n">
        <x:f>IF(AND(ISNUMBER(O57),O57&gt;0),MIN(1,512/O57),"")</x:f>
        <x:v>1</x:v>
      </x:c>
      <x:c r="R57" s="56" t="n">
        <x:f>IF(AND(ISNUMBER(P57),ISNUMBER(Q57)),MIN(P57,Q57),"")</x:f>
        <x:v>1</x:v>
      </x:c>
      <x:c r="S57" s="57" t="n">
        <x:f>IF(AND(ISNUMBER(M57),ISNUMBER(R57)),(M57-R57)*100,"")</x:f>
        <x:v>-24.3</x:v>
      </x:c>
      <x:c r="T57" s="54" t="str">
        <x:v>PASS</x:v>
      </x:c>
      <x:c r="U57" s="58" t="str">
        <x:v>本轮 model-main 9b3a4405（6参数含SoC）2026-09-21</x:v>
      </x:c>
    </x:row>
    <x:row r="58" ht="19" customHeight="1">
      <x:c r="A58" s="59" t="str">
        <x:v>S2</x:v>
      </x:c>
      <x:c r="B58" s="59" t="str">
        <x:v>FP32</x:v>
      </x:c>
      <x:c r="C58" s="60" t="n">
        <x:v>128</x:v>
      </x:c>
      <x:c r="D58" s="60" t="n">
        <x:v>256</x:v>
      </x:c>
      <x:c r="E58" s="60" t="n">
        <x:v>7168</x:v>
      </x:c>
      <x:c r="F58" s="60" t="n">
        <x:v>128</x:v>
      </x:c>
      <x:c r="G58" s="60" t="n">
        <x:v>256</x:v>
      </x:c>
      <x:c r="H58" s="60" t="n">
        <x:v>128</x:v>
      </x:c>
      <x:c r="I58" s="60" t="n">
        <x:v>64</x:v>
      </x:c>
      <x:c r="J58" s="60" t="n">
        <x:v>128</x:v>
      </x:c>
      <x:c r="K58" s="60" t="n">
        <x:v>192</x:v>
      </x:c>
      <x:c r="L58" s="60" t="n">
        <x:v>152703</x:v>
      </x:c>
      <x:c r="M58" s="61" t="n">
        <x:f>IF(AND(ISNUMBER(L58),L58&gt;0),ROUND(C58*D58*E58/2048/L58*100,1)/100,"")</x:f>
        <x:v>0.7509999999999999</x:v>
      </x:c>
      <x:c r="N58" s="62" t="n">
        <x:f>IF(OR(F58="",G58="",H58=""),"",((I58+J58)*1024)/(F58*G58*H58/2048))</x:f>
        <x:v>96</x:v>
      </x:c>
      <x:c r="O58" s="62" t="n">
        <x:f>IF(OR(F58="",G58="",H58=""),"",(F58*G58*4)/(F58*G58*H58/2048))</x:f>
        <x:v>64</x:v>
      </x:c>
      <x:c r="P58" s="61" t="n">
        <x:f>IF(AND(ISNUMBER(N58),N58&gt;0),MIN(1,128/N58),"")</x:f>
        <x:v>1</x:v>
      </x:c>
      <x:c r="Q58" s="61" t="n">
        <x:f>IF(AND(ISNUMBER(O58),O58&gt;0),MIN(1,512/O58),"")</x:f>
        <x:v>1</x:v>
      </x:c>
      <x:c r="R58" s="61" t="n">
        <x:f>IF(AND(ISNUMBER(P58),ISNUMBER(Q58)),MIN(P58,Q58),"")</x:f>
        <x:v>1</x:v>
      </x:c>
      <x:c r="S58" s="62" t="n">
        <x:f>IF(AND(ISNUMBER(M58),ISNUMBER(R58)),(M58-R58)*100,"")</x:f>
        <x:v>-24.900000000000013</x:v>
      </x:c>
      <x:c r="T58" s="59" t="str">
        <x:v>PASS</x:v>
      </x:c>
      <x:c r="U58" s="63" t="str">
        <x:v>本轮 model-main 9b3a4405（6参数含SoC）2026-09-21</x:v>
      </x:c>
    </x:row>
    <x:row r="59" ht="19" customHeight="1">
      <x:c r="A59" s="59" t="str">
        <x:v>S2</x:v>
      </x:c>
      <x:c r="B59" s="59" t="str">
        <x:v>BF16</x:v>
      </x:c>
      <x:c r="C59" s="60" t="n">
        <x:v>128</x:v>
      </x:c>
      <x:c r="D59" s="60" t="n">
        <x:v>256</x:v>
      </x:c>
      <x:c r="E59" s="60" t="n">
        <x:v>7168</x:v>
      </x:c>
      <x:c r="F59" s="60" t="n">
        <x:v>128</x:v>
      </x:c>
      <x:c r="G59" s="60" t="n">
        <x:v>64</x:v>
      </x:c>
      <x:c r="H59" s="60" t="n">
        <x:v>64</x:v>
      </x:c>
      <x:c r="I59" s="60" t="n">
        <x:v>16</x:v>
      </x:c>
      <x:c r="J59" s="60" t="n">
        <x:v>8</x:v>
      </x:c>
      <x:c r="K59" s="60" t="n">
        <x:v>24</x:v>
      </x:c>
      <x:c r="L59" s="60" t="n">
        <x:v>198135</x:v>
      </x:c>
      <x:c r="M59" s="61" t="n">
        <x:f>IF(AND(ISNUMBER(L59),L59&gt;0),ROUND(C59*D59*E59/4096/L59*100,1)/100,"")</x:f>
        <x:v>0.289</x:v>
      </x:c>
      <x:c r="N59" s="62" t="n">
        <x:f>IF(OR(F59="",G59="",H59=""),"",((I59+J59)*1024)/(F59*G59*H59/4096))</x:f>
        <x:v>192</x:v>
      </x:c>
      <x:c r="O59" s="62" t="n">
        <x:f>IF(OR(F59="",G59="",H59=""),"",(F59*G59*4)/(F59*G59*H59/4096))</x:f>
        <x:v>256</x:v>
      </x:c>
      <x:c r="P59" s="61" t="n">
        <x:f>IF(AND(ISNUMBER(N59),N59&gt;0),MIN(1,128/N59),"")</x:f>
        <x:v>0.6666666666666666</x:v>
      </x:c>
      <x:c r="Q59" s="61" t="n">
        <x:f>IF(AND(ISNUMBER(O59),O59&gt;0),MIN(1,512/O59),"")</x:f>
        <x:v>1</x:v>
      </x:c>
      <x:c r="R59" s="61" t="n">
        <x:f>IF(AND(ISNUMBER(P59),ISNUMBER(Q59)),MIN(P59,Q59),"")</x:f>
        <x:v>0.6666666666666666</x:v>
      </x:c>
      <x:c r="S59" s="62" t="n">
        <x:f>IF(AND(ISNUMBER(M59),ISNUMBER(R59)),(M59-R59)*100,"")</x:f>
        <x:v>-37.766666666666666</x:v>
      </x:c>
      <x:c r="T59" s="59" t="str">
        <x:v>PASS</x:v>
      </x:c>
      <x:c r="U59" s="63" t="str">
        <x:v>本轮 model-main 9b3a4405（6参数含SoC）2026-09-21</x:v>
      </x:c>
    </x:row>
    <x:row r="60" ht="19" customHeight="1">
      <x:c r="A60" s="59" t="str">
        <x:v>S2</x:v>
      </x:c>
      <x:c r="B60" s="59" t="str">
        <x:v>BF16</x:v>
      </x:c>
      <x:c r="C60" s="60" t="n">
        <x:v>128</x:v>
      </x:c>
      <x:c r="D60" s="60" t="n">
        <x:v>256</x:v>
      </x:c>
      <x:c r="E60" s="60" t="n">
        <x:v>7168</x:v>
      </x:c>
      <x:c r="F60" s="60" t="n">
        <x:v>128</x:v>
      </x:c>
      <x:c r="G60" s="60" t="n">
        <x:v>64</x:v>
      </x:c>
      <x:c r="H60" s="60" t="n">
        <x:v>128</x:v>
      </x:c>
      <x:c r="I60" s="60" t="n">
        <x:v>32</x:v>
      </x:c>
      <x:c r="J60" s="60" t="n">
        <x:v>16</x:v>
      </x:c>
      <x:c r="K60" s="60" t="n">
        <x:v>48</x:v>
      </x:c>
      <x:c r="L60" s="60" t="n">
        <x:v>159918</x:v>
      </x:c>
      <x:c r="M60" s="61" t="n">
        <x:f>IF(AND(ISNUMBER(L60),L60&gt;0),ROUND(C60*D60*E60/4096/L60*100,1)/100,"")</x:f>
        <x:v>0.359</x:v>
      </x:c>
      <x:c r="N60" s="62" t="n">
        <x:f>IF(OR(F60="",G60="",H60=""),"",((I60+J60)*1024)/(F60*G60*H60/4096))</x:f>
        <x:v>192</x:v>
      </x:c>
      <x:c r="O60" s="62" t="n">
        <x:f>IF(OR(F60="",G60="",H60=""),"",(F60*G60*4)/(F60*G60*H60/4096))</x:f>
        <x:v>128</x:v>
      </x:c>
      <x:c r="P60" s="61" t="n">
        <x:f>IF(AND(ISNUMBER(N60),N60&gt;0),MIN(1,128/N60),"")</x:f>
        <x:v>0.6666666666666666</x:v>
      </x:c>
      <x:c r="Q60" s="61" t="n">
        <x:f>IF(AND(ISNUMBER(O60),O60&gt;0),MIN(1,512/O60),"")</x:f>
        <x:v>1</x:v>
      </x:c>
      <x:c r="R60" s="61" t="n">
        <x:f>IF(AND(ISNUMBER(P60),ISNUMBER(Q60)),MIN(P60,Q60),"")</x:f>
        <x:v>0.6666666666666666</x:v>
      </x:c>
      <x:c r="S60" s="62" t="n">
        <x:f>IF(AND(ISNUMBER(M60),ISNUMBER(R60)),(M60-R60)*100,"")</x:f>
        <x:v>-30.766666666666666</x:v>
      </x:c>
      <x:c r="T60" s="59" t="str">
        <x:v>PASS</x:v>
      </x:c>
      <x:c r="U60" s="63" t="str">
        <x:v>本轮 model-main 9b3a4405（6参数含SoC）2026-09-21</x:v>
      </x:c>
    </x:row>
    <x:row r="61" ht="19" customHeight="1">
      <x:c r="A61" s="59" t="str">
        <x:v>S2</x:v>
      </x:c>
      <x:c r="B61" s="59" t="str">
        <x:v>BF16</x:v>
      </x:c>
      <x:c r="C61" s="60" t="n">
        <x:v>128</x:v>
      </x:c>
      <x:c r="D61" s="60" t="n">
        <x:v>256</x:v>
      </x:c>
      <x:c r="E61" s="60" t="n">
        <x:v>7168</x:v>
      </x:c>
      <x:c r="F61" s="60" t="n">
        <x:v>128</x:v>
      </x:c>
      <x:c r="G61" s="60" t="n">
        <x:v>64</x:v>
      </x:c>
      <x:c r="H61" s="60" t="n">
        <x:v>256</x:v>
      </x:c>
      <x:c r="I61" s="60" t="n">
        <x:v>64</x:v>
      </x:c>
      <x:c r="J61" s="60" t="n">
        <x:v>32</x:v>
      </x:c>
      <x:c r="K61" s="60" t="n">
        <x:v>96</x:v>
      </x:c>
      <x:c r="L61" s="60" t="n">
        <x:v>163031</x:v>
      </x:c>
      <x:c r="M61" s="61" t="n">
        <x:f>IF(AND(ISNUMBER(L61),L61&gt;0),ROUND(C61*D61*E61/4096/L61*100,1)/100,"")</x:f>
        <x:v>0.35200000000000004</x:v>
      </x:c>
      <x:c r="N61" s="62" t="n">
        <x:f>IF(OR(F61="",G61="",H61=""),"",((I61+J61)*1024)/(F61*G61*H61/4096))</x:f>
        <x:v>192</x:v>
      </x:c>
      <x:c r="O61" s="62" t="n">
        <x:f>IF(OR(F61="",G61="",H61=""),"",(F61*G61*4)/(F61*G61*H61/4096))</x:f>
        <x:v>64</x:v>
      </x:c>
      <x:c r="P61" s="61" t="n">
        <x:f>IF(AND(ISNUMBER(N61),N61&gt;0),MIN(1,128/N61),"")</x:f>
        <x:v>0.6666666666666666</x:v>
      </x:c>
      <x:c r="Q61" s="61" t="n">
        <x:f>IF(AND(ISNUMBER(O61),O61&gt;0),MIN(1,512/O61),"")</x:f>
        <x:v>1</x:v>
      </x:c>
      <x:c r="R61" s="61" t="n">
        <x:f>IF(AND(ISNUMBER(P61),ISNUMBER(Q61)),MIN(P61,Q61),"")</x:f>
        <x:v>0.6666666666666666</x:v>
      </x:c>
      <x:c r="S61" s="62" t="n">
        <x:f>IF(AND(ISNUMBER(M61),ISNUMBER(R61)),(M61-R61)*100,"")</x:f>
        <x:v>-31.466666666666658</x:v>
      </x:c>
      <x:c r="T61" s="59" t="str">
        <x:v>PASS</x:v>
      </x:c>
      <x:c r="U61" s="63" t="str">
        <x:v>本轮 model-main 9b3a4405（6参数含SoC）2026-09-21</x:v>
      </x:c>
    </x:row>
    <x:row r="62" ht="19" customHeight="1">
      <x:c r="A62" s="59" t="str">
        <x:v>S2</x:v>
      </x:c>
      <x:c r="B62" s="59" t="str">
        <x:v>BF16</x:v>
      </x:c>
      <x:c r="C62" s="60" t="n">
        <x:v>128</x:v>
      </x:c>
      <x:c r="D62" s="60" t="n">
        <x:v>256</x:v>
      </x:c>
      <x:c r="E62" s="60" t="n">
        <x:v>7168</x:v>
      </x:c>
      <x:c r="F62" s="60" t="n">
        <x:v>128</x:v>
      </x:c>
      <x:c r="G62" s="60" t="n">
        <x:v>128</x:v>
      </x:c>
      <x:c r="H62" s="60" t="n">
        <x:v>64</x:v>
      </x:c>
      <x:c r="I62" s="60" t="n">
        <x:v>16</x:v>
      </x:c>
      <x:c r="J62" s="60" t="n">
        <x:v>16</x:v>
      </x:c>
      <x:c r="K62" s="60" t="n">
        <x:v>32</x:v>
      </x:c>
      <x:c r="L62" s="60" t="n">
        <x:v>105641</x:v>
      </x:c>
      <x:c r="M62" s="61" t="n">
        <x:f>IF(AND(ISNUMBER(L62),L62&gt;0),ROUND(C62*D62*E62/4096/L62*100,1)/100,"")</x:f>
        <x:v>0.5429999999999999</x:v>
      </x:c>
      <x:c r="N62" s="62" t="n">
        <x:f>IF(OR(F62="",G62="",H62=""),"",((I62+J62)*1024)/(F62*G62*H62/4096))</x:f>
        <x:v>128</x:v>
      </x:c>
      <x:c r="O62" s="62" t="n">
        <x:f>IF(OR(F62="",G62="",H62=""),"",(F62*G62*4)/(F62*G62*H62/4096))</x:f>
        <x:v>256</x:v>
      </x:c>
      <x:c r="P62" s="61" t="n">
        <x:f>IF(AND(ISNUMBER(N62),N62&gt;0),MIN(1,128/N62),"")</x:f>
        <x:v>1</x:v>
      </x:c>
      <x:c r="Q62" s="61" t="n">
        <x:f>IF(AND(ISNUMBER(O62),O62&gt;0),MIN(1,512/O62),"")</x:f>
        <x:v>1</x:v>
      </x:c>
      <x:c r="R62" s="61" t="n">
        <x:f>IF(AND(ISNUMBER(P62),ISNUMBER(Q62)),MIN(P62,Q62),"")</x:f>
        <x:v>1</x:v>
      </x:c>
      <x:c r="S62" s="62" t="n">
        <x:f>IF(AND(ISNUMBER(M62),ISNUMBER(R62)),(M62-R62)*100,"")</x:f>
        <x:v>-45.70000000000001</x:v>
      </x:c>
      <x:c r="T62" s="59" t="str">
        <x:v>PASS</x:v>
      </x:c>
      <x:c r="U62" s="63" t="str">
        <x:v>本轮 model-main 9b3a4405（6参数含SoC）2026-09-21</x:v>
      </x:c>
    </x:row>
    <x:row r="63" ht="19" customHeight="1">
      <x:c r="A63" s="59" t="str">
        <x:v>S2</x:v>
      </x:c>
      <x:c r="B63" s="59" t="str">
        <x:v>BF16</x:v>
      </x:c>
      <x:c r="C63" s="60" t="n">
        <x:v>128</x:v>
      </x:c>
      <x:c r="D63" s="60" t="n">
        <x:v>256</x:v>
      </x:c>
      <x:c r="E63" s="60" t="n">
        <x:v>7168</x:v>
      </x:c>
      <x:c r="F63" s="60" t="n">
        <x:v>128</x:v>
      </x:c>
      <x:c r="G63" s="60" t="n">
        <x:v>128</x:v>
      </x:c>
      <x:c r="H63" s="60" t="n">
        <x:v>128</x:v>
      </x:c>
      <x:c r="I63" s="60" t="n">
        <x:v>32</x:v>
      </x:c>
      <x:c r="J63" s="60" t="n">
        <x:v>32</x:v>
      </x:c>
      <x:c r="K63" s="60" t="n">
        <x:v>64</x:v>
      </x:c>
      <x:c r="L63" s="60" t="n">
        <x:v>101838</x:v>
      </x:c>
      <x:c r="M63" s="61" t="n">
        <x:f>IF(AND(ISNUMBER(L63),L63&gt;0),ROUND(C63*D63*E63/4096/L63*100,1)/100,"")</x:f>
        <x:v>0.563</x:v>
      </x:c>
      <x:c r="N63" s="62" t="n">
        <x:f>IF(OR(F63="",G63="",H63=""),"",((I63+J63)*1024)/(F63*G63*H63/4096))</x:f>
        <x:v>128</x:v>
      </x:c>
      <x:c r="O63" s="62" t="n">
        <x:f>IF(OR(F63="",G63="",H63=""),"",(F63*G63*4)/(F63*G63*H63/4096))</x:f>
        <x:v>128</x:v>
      </x:c>
      <x:c r="P63" s="61" t="n">
        <x:f>IF(AND(ISNUMBER(N63),N63&gt;0),MIN(1,128/N63),"")</x:f>
        <x:v>1</x:v>
      </x:c>
      <x:c r="Q63" s="61" t="n">
        <x:f>IF(AND(ISNUMBER(O63),O63&gt;0),MIN(1,512/O63),"")</x:f>
        <x:v>1</x:v>
      </x:c>
      <x:c r="R63" s="61" t="n">
        <x:f>IF(AND(ISNUMBER(P63),ISNUMBER(Q63)),MIN(P63,Q63),"")</x:f>
        <x:v>1</x:v>
      </x:c>
      <x:c r="S63" s="62" t="n">
        <x:f>IF(AND(ISNUMBER(M63),ISNUMBER(R63)),(M63-R63)*100,"")</x:f>
        <x:v>-43.7</x:v>
      </x:c>
      <x:c r="T63" s="59" t="str">
        <x:v>PASS</x:v>
      </x:c>
      <x:c r="U63" s="63" t="str">
        <x:v>本轮 model-main 9b3a4405（6参数含SoC）2026-09-21</x:v>
      </x:c>
    </x:row>
    <x:row r="64" ht="19" customHeight="1">
      <x:c r="A64" s="59" t="str">
        <x:v>S2</x:v>
      </x:c>
      <x:c r="B64" s="59" t="str">
        <x:v>BF16</x:v>
      </x:c>
      <x:c r="C64" s="60" t="n">
        <x:v>128</x:v>
      </x:c>
      <x:c r="D64" s="60" t="n">
        <x:v>256</x:v>
      </x:c>
      <x:c r="E64" s="60" t="n">
        <x:v>7168</x:v>
      </x:c>
      <x:c r="F64" s="60" t="n">
        <x:v>128</x:v>
      </x:c>
      <x:c r="G64" s="60" t="n">
        <x:v>128</x:v>
      </x:c>
      <x:c r="H64" s="60" t="n">
        <x:v>256</x:v>
      </x:c>
      <x:c r="I64" s="60" t="n">
        <x:v>64</x:v>
      </x:c>
      <x:c r="J64" s="60" t="n">
        <x:v>64</x:v>
      </x:c>
      <x:c r="K64" s="60" t="n">
        <x:v>128</x:v>
      </x:c>
      <x:c r="L64" s="60" t="n">
        <x:v>102286</x:v>
      </x:c>
      <x:c r="M64" s="61" t="n">
        <x:f>IF(AND(ISNUMBER(L64),L64&gt;0),ROUND(C64*D64*E64/4096/L64*100,1)/100,"")</x:f>
        <x:v>0.561</x:v>
      </x:c>
      <x:c r="N64" s="62" t="n">
        <x:f>IF(OR(F64="",G64="",H64=""),"",((I64+J64)*1024)/(F64*G64*H64/4096))</x:f>
        <x:v>128</x:v>
      </x:c>
      <x:c r="O64" s="62" t="n">
        <x:f>IF(OR(F64="",G64="",H64=""),"",(F64*G64*4)/(F64*G64*H64/4096))</x:f>
        <x:v>64</x:v>
      </x:c>
      <x:c r="P64" s="61" t="n">
        <x:f>IF(AND(ISNUMBER(N64),N64&gt;0),MIN(1,128/N64),"")</x:f>
        <x:v>1</x:v>
      </x:c>
      <x:c r="Q64" s="61" t="n">
        <x:f>IF(AND(ISNUMBER(O64),O64&gt;0),MIN(1,512/O64),"")</x:f>
        <x:v>1</x:v>
      </x:c>
      <x:c r="R64" s="61" t="n">
        <x:f>IF(AND(ISNUMBER(P64),ISNUMBER(Q64)),MIN(P64,Q64),"")</x:f>
        <x:v>1</x:v>
      </x:c>
      <x:c r="S64" s="62" t="n">
        <x:f>IF(AND(ISNUMBER(M64),ISNUMBER(R64)),(M64-R64)*100,"")</x:f>
        <x:v>-43.89999999999999</x:v>
      </x:c>
      <x:c r="T64" s="59" t="str">
        <x:v>PASS</x:v>
      </x:c>
      <x:c r="U64" s="63" t="str">
        <x:v>本轮 model-main 9b3a4405（6参数含SoC）2026-09-21</x:v>
      </x:c>
    </x:row>
    <x:row r="65" ht="19" customHeight="1">
      <x:c r="A65" s="59" t="str">
        <x:v>S2</x:v>
      </x:c>
      <x:c r="B65" s="59" t="str">
        <x:v>BF16</x:v>
      </x:c>
      <x:c r="C65" s="60" t="n">
        <x:v>128</x:v>
      </x:c>
      <x:c r="D65" s="60" t="n">
        <x:v>256</x:v>
      </x:c>
      <x:c r="E65" s="60" t="n">
        <x:v>7168</x:v>
      </x:c>
      <x:c r="F65" s="60" t="n">
        <x:v>128</x:v>
      </x:c>
      <x:c r="G65" s="60" t="n">
        <x:v>256</x:v>
      </x:c>
      <x:c r="H65" s="60" t="n">
        <x:v>64</x:v>
      </x:c>
      <x:c r="I65" s="60" t="n">
        <x:v>16</x:v>
      </x:c>
      <x:c r="J65" s="60" t="n">
        <x:v>32</x:v>
      </x:c>
      <x:c r="K65" s="60" t="n">
        <x:v>48</x:v>
      </x:c>
      <x:c r="L65" s="60" t="n">
        <x:v>81630</x:v>
      </x:c>
      <x:c r="M65" s="61" t="n">
        <x:f>IF(AND(ISNUMBER(L65),L65&gt;0),ROUND(C65*D65*E65/4096/L65*100,1)/100,"")</x:f>
        <x:v>0.7020000000000001</x:v>
      </x:c>
      <x:c r="N65" s="62" t="n">
        <x:f>IF(OR(F65="",G65="",H65=""),"",((I65+J65)*1024)/(F65*G65*H65/4096))</x:f>
        <x:v>96</x:v>
      </x:c>
      <x:c r="O65" s="62" t="n">
        <x:f>IF(OR(F65="",G65="",H65=""),"",(F65*G65*4)/(F65*G65*H65/4096))</x:f>
        <x:v>256</x:v>
      </x:c>
      <x:c r="P65" s="61" t="n">
        <x:f>IF(AND(ISNUMBER(N65),N65&gt;0),MIN(1,128/N65),"")</x:f>
        <x:v>1</x:v>
      </x:c>
      <x:c r="Q65" s="61" t="n">
        <x:f>IF(AND(ISNUMBER(O65),O65&gt;0),MIN(1,512/O65),"")</x:f>
        <x:v>1</x:v>
      </x:c>
      <x:c r="R65" s="61" t="n">
        <x:f>IF(AND(ISNUMBER(P65),ISNUMBER(Q65)),MIN(P65,Q65),"")</x:f>
        <x:v>1</x:v>
      </x:c>
      <x:c r="S65" s="62" t="n">
        <x:f>IF(AND(ISNUMBER(M65),ISNUMBER(R65)),(M65-R65)*100,"")</x:f>
        <x:v>-29.799999999999994</x:v>
      </x:c>
      <x:c r="T65" s="59" t="str">
        <x:v>PASS</x:v>
      </x:c>
      <x:c r="U65" s="63" t="str">
        <x:v>本轮 model-main 9b3a4405（6参数含SoC）2026-09-21</x:v>
      </x:c>
    </x:row>
    <x:row r="66" ht="19" customHeight="1">
      <x:c r="A66" s="53" t="str">
        <x:v>S2</x:v>
      </x:c>
      <x:c r="B66" s="54" t="str">
        <x:v>BF16</x:v>
      </x:c>
      <x:c r="C66" s="55" t="n">
        <x:v>128</x:v>
      </x:c>
      <x:c r="D66" s="55" t="n">
        <x:v>256</x:v>
      </x:c>
      <x:c r="E66" s="55" t="n">
        <x:v>7168</x:v>
      </x:c>
      <x:c r="F66" s="55" t="n">
        <x:v>128</x:v>
      </x:c>
      <x:c r="G66" s="55" t="n">
        <x:v>256</x:v>
      </x:c>
      <x:c r="H66" s="55" t="n">
        <x:v>128</x:v>
      </x:c>
      <x:c r="I66" s="55" t="n">
        <x:v>32</x:v>
      </x:c>
      <x:c r="J66" s="55" t="n">
        <x:v>64</x:v>
      </x:c>
      <x:c r="K66" s="55" t="n">
        <x:v>96</x:v>
      </x:c>
      <x:c r="L66" s="55" t="n">
        <x:v>77773</x:v>
      </x:c>
      <x:c r="M66" s="56" t="n">
        <x:f>IF(AND(ISNUMBER(L66),L66&gt;0),ROUND(C66*D66*E66/4096/L66*100,1)/100,"")</x:f>
        <x:v>0.737</x:v>
      </x:c>
      <x:c r="N66" s="57" t="n">
        <x:f>IF(OR(F66="",G66="",H66=""),"",((I66+J66)*1024)/(F66*G66*H66/4096))</x:f>
        <x:v>96</x:v>
      </x:c>
      <x:c r="O66" s="57" t="n">
        <x:f>IF(OR(F66="",G66="",H66=""),"",(F66*G66*4)/(F66*G66*H66/4096))</x:f>
        <x:v>128</x:v>
      </x:c>
      <x:c r="P66" s="56" t="n">
        <x:f>IF(AND(ISNUMBER(N66),N66&gt;0),MIN(1,128/N66),"")</x:f>
        <x:v>1</x:v>
      </x:c>
      <x:c r="Q66" s="56" t="n">
        <x:f>IF(AND(ISNUMBER(O66),O66&gt;0),MIN(1,512/O66),"")</x:f>
        <x:v>1</x:v>
      </x:c>
      <x:c r="R66" s="56" t="n">
        <x:f>IF(AND(ISNUMBER(P66),ISNUMBER(Q66)),MIN(P66,Q66),"")</x:f>
        <x:v>1</x:v>
      </x:c>
      <x:c r="S66" s="57" t="n">
        <x:f>IF(AND(ISNUMBER(M66),ISNUMBER(R66)),(M66-R66)*100,"")</x:f>
        <x:v>-26.3</x:v>
      </x:c>
      <x:c r="T66" s="54" t="str">
        <x:v>PASS</x:v>
      </x:c>
      <x:c r="U66" s="58" t="str">
        <x:v>本轮 model-main 9b3a4405（6参数含SoC）2026-09-21</x:v>
      </x:c>
    </x:row>
    <x:row r="67" ht="19" customHeight="1">
      <x:c r="A67" s="59" t="str">
        <x:v>S2</x:v>
      </x:c>
      <x:c r="B67" s="59" t="str">
        <x:v>BF16</x:v>
      </x:c>
      <x:c r="C67" s="60" t="n">
        <x:v>128</x:v>
      </x:c>
      <x:c r="D67" s="60" t="n">
        <x:v>256</x:v>
      </x:c>
      <x:c r="E67" s="60" t="n">
        <x:v>7168</x:v>
      </x:c>
      <x:c r="F67" s="60" t="n">
        <x:v>128</x:v>
      </x:c>
      <x:c r="G67" s="60" t="n">
        <x:v>256</x:v>
      </x:c>
      <x:c r="H67" s="60" t="n">
        <x:v>256</x:v>
      </x:c>
      <x:c r="I67" s="60" t="n">
        <x:v>64</x:v>
      </x:c>
      <x:c r="J67" s="60" t="n">
        <x:v>128</x:v>
      </x:c>
      <x:c r="K67" s="60" t="n">
        <x:v>192</x:v>
      </x:c>
      <x:c r="L67" s="60" t="n">
        <x:v>78944</x:v>
      </x:c>
      <x:c r="M67" s="61" t="n">
        <x:f>IF(AND(ISNUMBER(L67),L67&gt;0),ROUND(C67*D67*E67/4096/L67*100,1)/100,"")</x:f>
        <x:v>0.726</x:v>
      </x:c>
      <x:c r="N67" s="62" t="n">
        <x:f>IF(OR(F67="",G67="",H67=""),"",((I67+J67)*1024)/(F67*G67*H67/4096))</x:f>
        <x:v>96</x:v>
      </x:c>
      <x:c r="O67" s="62" t="n">
        <x:f>IF(OR(F67="",G67="",H67=""),"",(F67*G67*4)/(F67*G67*H67/4096))</x:f>
        <x:v>64</x:v>
      </x:c>
      <x:c r="P67" s="61" t="n">
        <x:f>IF(AND(ISNUMBER(N67),N67&gt;0),MIN(1,128/N67),"")</x:f>
        <x:v>1</x:v>
      </x:c>
      <x:c r="Q67" s="61" t="n">
        <x:f>IF(AND(ISNUMBER(O67),O67&gt;0),MIN(1,512/O67),"")</x:f>
        <x:v>1</x:v>
      </x:c>
      <x:c r="R67" s="61" t="n">
        <x:f>IF(AND(ISNUMBER(P67),ISNUMBER(Q67)),MIN(P67,Q67),"")</x:f>
        <x:v>1</x:v>
      </x:c>
      <x:c r="S67" s="62" t="n">
        <x:f>IF(AND(ISNUMBER(M67),ISNUMBER(R67)),(M67-R67)*100,"")</x:f>
        <x:v>-27.400000000000002</x:v>
      </x:c>
      <x:c r="T67" s="59" t="str">
        <x:v>PASS</x:v>
      </x:c>
      <x:c r="U67" s="63" t="str">
        <x:v>本轮 model-main 9b3a4405（6参数含SoC）2026-09-21</x:v>
      </x:c>
    </x:row>
    <x:row r="68" ht="19" customHeight="1">
      <x:c r="A68" s="59" t="str">
        <x:v>S2</x:v>
      </x:c>
      <x:c r="B68" s="59" t="str">
        <x:v>FP16</x:v>
      </x:c>
      <x:c r="C68" s="60" t="n">
        <x:v>128</x:v>
      </x:c>
      <x:c r="D68" s="60" t="n">
        <x:v>256</x:v>
      </x:c>
      <x:c r="E68" s="60" t="n">
        <x:v>7168</x:v>
      </x:c>
      <x:c r="F68" s="60" t="n">
        <x:v>128</x:v>
      </x:c>
      <x:c r="G68" s="60" t="n">
        <x:v>64</x:v>
      </x:c>
      <x:c r="H68" s="60" t="n">
        <x:v>64</x:v>
      </x:c>
      <x:c r="I68" s="60" t="n">
        <x:v>16</x:v>
      </x:c>
      <x:c r="J68" s="60" t="n">
        <x:v>8</x:v>
      </x:c>
      <x:c r="K68" s="60" t="n">
        <x:v>24</x:v>
      </x:c>
      <x:c r="L68" s="60" t="n">
        <x:v>198135</x:v>
      </x:c>
      <x:c r="M68" s="61" t="n">
        <x:f>IF(AND(ISNUMBER(L68),L68&gt;0),ROUND(C68*D68*E68/4096/L68*100,1)/100,"")</x:f>
        <x:v>0.289</x:v>
      </x:c>
      <x:c r="N68" s="62" t="n">
        <x:f>IF(OR(F68="",G68="",H68=""),"",((I68+J68)*1024)/(F68*G68*H68/4096))</x:f>
        <x:v>192</x:v>
      </x:c>
      <x:c r="O68" s="62" t="n">
        <x:f>IF(OR(F68="",G68="",H68=""),"",(F68*G68*4)/(F68*G68*H68/4096))</x:f>
        <x:v>256</x:v>
      </x:c>
      <x:c r="P68" s="61" t="n">
        <x:f>IF(AND(ISNUMBER(N68),N68&gt;0),MIN(1,128/N68),"")</x:f>
        <x:v>0.6666666666666666</x:v>
      </x:c>
      <x:c r="Q68" s="61" t="n">
        <x:f>IF(AND(ISNUMBER(O68),O68&gt;0),MIN(1,512/O68),"")</x:f>
        <x:v>1</x:v>
      </x:c>
      <x:c r="R68" s="61" t="n">
        <x:f>IF(AND(ISNUMBER(P68),ISNUMBER(Q68)),MIN(P68,Q68),"")</x:f>
        <x:v>0.6666666666666666</x:v>
      </x:c>
      <x:c r="S68" s="62" t="n">
        <x:f>IF(AND(ISNUMBER(M68),ISNUMBER(R68)),(M68-R68)*100,"")</x:f>
        <x:v>-37.766666666666666</x:v>
      </x:c>
      <x:c r="T68" s="59" t="str">
        <x:v>PASS</x:v>
      </x:c>
      <x:c r="U68" s="63" t="str">
        <x:v>本轮 model-main 9b3a4405（6参数含SoC）2026-09-21</x:v>
      </x:c>
    </x:row>
    <x:row r="69" ht="19" customHeight="1">
      <x:c r="A69" s="59" t="str">
        <x:v>S2</x:v>
      </x:c>
      <x:c r="B69" s="59" t="str">
        <x:v>FP16</x:v>
      </x:c>
      <x:c r="C69" s="60" t="n">
        <x:v>128</x:v>
      </x:c>
      <x:c r="D69" s="60" t="n">
        <x:v>256</x:v>
      </x:c>
      <x:c r="E69" s="60" t="n">
        <x:v>7168</x:v>
      </x:c>
      <x:c r="F69" s="60" t="n">
        <x:v>128</x:v>
      </x:c>
      <x:c r="G69" s="60" t="n">
        <x:v>64</x:v>
      </x:c>
      <x:c r="H69" s="60" t="n">
        <x:v>128</x:v>
      </x:c>
      <x:c r="I69" s="60" t="n">
        <x:v>32</x:v>
      </x:c>
      <x:c r="J69" s="60" t="n">
        <x:v>16</x:v>
      </x:c>
      <x:c r="K69" s="60" t="n">
        <x:v>48</x:v>
      </x:c>
      <x:c r="L69" s="60" t="n">
        <x:v>159918</x:v>
      </x:c>
      <x:c r="M69" s="61" t="n">
        <x:f>IF(AND(ISNUMBER(L69),L69&gt;0),ROUND(C69*D69*E69/4096/L69*100,1)/100,"")</x:f>
        <x:v>0.359</x:v>
      </x:c>
      <x:c r="N69" s="62" t="n">
        <x:f>IF(OR(F69="",G69="",H69=""),"",((I69+J69)*1024)/(F69*G69*H69/4096))</x:f>
        <x:v>192</x:v>
      </x:c>
      <x:c r="O69" s="62" t="n">
        <x:f>IF(OR(F69="",G69="",H69=""),"",(F69*G69*4)/(F69*G69*H69/4096))</x:f>
        <x:v>128</x:v>
      </x:c>
      <x:c r="P69" s="61" t="n">
        <x:f>IF(AND(ISNUMBER(N69),N69&gt;0),MIN(1,128/N69),"")</x:f>
        <x:v>0.6666666666666666</x:v>
      </x:c>
      <x:c r="Q69" s="61" t="n">
        <x:f>IF(AND(ISNUMBER(O69),O69&gt;0),MIN(1,512/O69),"")</x:f>
        <x:v>1</x:v>
      </x:c>
      <x:c r="R69" s="61" t="n">
        <x:f>IF(AND(ISNUMBER(P69),ISNUMBER(Q69)),MIN(P69,Q69),"")</x:f>
        <x:v>0.6666666666666666</x:v>
      </x:c>
      <x:c r="S69" s="62" t="n">
        <x:f>IF(AND(ISNUMBER(M69),ISNUMBER(R69)),(M69-R69)*100,"")</x:f>
        <x:v>-30.766666666666666</x:v>
      </x:c>
      <x:c r="T69" s="59" t="str">
        <x:v>PASS</x:v>
      </x:c>
      <x:c r="U69" s="63" t="str">
        <x:v>本轮 model-main 9b3a4405（6参数含SoC）2026-09-21</x:v>
      </x:c>
    </x:row>
    <x:row r="70" ht="19" customHeight="1">
      <x:c r="A70" s="59" t="str">
        <x:v>S2</x:v>
      </x:c>
      <x:c r="B70" s="59" t="str">
        <x:v>FP16</x:v>
      </x:c>
      <x:c r="C70" s="60" t="n">
        <x:v>128</x:v>
      </x:c>
      <x:c r="D70" s="60" t="n">
        <x:v>256</x:v>
      </x:c>
      <x:c r="E70" s="60" t="n">
        <x:v>7168</x:v>
      </x:c>
      <x:c r="F70" s="60" t="n">
        <x:v>128</x:v>
      </x:c>
      <x:c r="G70" s="60" t="n">
        <x:v>64</x:v>
      </x:c>
      <x:c r="H70" s="60" t="n">
        <x:v>256</x:v>
      </x:c>
      <x:c r="I70" s="60" t="n">
        <x:v>64</x:v>
      </x:c>
      <x:c r="J70" s="60" t="n">
        <x:v>32</x:v>
      </x:c>
      <x:c r="K70" s="60" t="n">
        <x:v>96</x:v>
      </x:c>
      <x:c r="L70" s="60" t="n">
        <x:v>163031</x:v>
      </x:c>
      <x:c r="M70" s="61" t="n">
        <x:f>IF(AND(ISNUMBER(L70),L70&gt;0),ROUND(C70*D70*E70/4096/L70*100,1)/100,"")</x:f>
        <x:v>0.35200000000000004</x:v>
      </x:c>
      <x:c r="N70" s="62" t="n">
        <x:f>IF(OR(F70="",G70="",H70=""),"",((I70+J70)*1024)/(F70*G70*H70/4096))</x:f>
        <x:v>192</x:v>
      </x:c>
      <x:c r="O70" s="62" t="n">
        <x:f>IF(OR(F70="",G70="",H70=""),"",(F70*G70*4)/(F70*G70*H70/4096))</x:f>
        <x:v>64</x:v>
      </x:c>
      <x:c r="P70" s="61" t="n">
        <x:f>IF(AND(ISNUMBER(N70),N70&gt;0),MIN(1,128/N70),"")</x:f>
        <x:v>0.6666666666666666</x:v>
      </x:c>
      <x:c r="Q70" s="61" t="n">
        <x:f>IF(AND(ISNUMBER(O70),O70&gt;0),MIN(1,512/O70),"")</x:f>
        <x:v>1</x:v>
      </x:c>
      <x:c r="R70" s="61" t="n">
        <x:f>IF(AND(ISNUMBER(P70),ISNUMBER(Q70)),MIN(P70,Q70),"")</x:f>
        <x:v>0.6666666666666666</x:v>
      </x:c>
      <x:c r="S70" s="62" t="n">
        <x:f>IF(AND(ISNUMBER(M70),ISNUMBER(R70)),(M70-R70)*100,"")</x:f>
        <x:v>-31.466666666666658</x:v>
      </x:c>
      <x:c r="T70" s="59" t="str">
        <x:v>PASS</x:v>
      </x:c>
      <x:c r="U70" s="63" t="str">
        <x:v>本轮 model-main 9b3a4405（6参数含SoC）2026-09-21</x:v>
      </x:c>
    </x:row>
    <x:row r="71" ht="19" customHeight="1">
      <x:c r="A71" s="59" t="str">
        <x:v>S2</x:v>
      </x:c>
      <x:c r="B71" s="59" t="str">
        <x:v>FP16</x:v>
      </x:c>
      <x:c r="C71" s="60" t="n">
        <x:v>128</x:v>
      </x:c>
      <x:c r="D71" s="60" t="n">
        <x:v>256</x:v>
      </x:c>
      <x:c r="E71" s="60" t="n">
        <x:v>7168</x:v>
      </x:c>
      <x:c r="F71" s="60" t="n">
        <x:v>128</x:v>
      </x:c>
      <x:c r="G71" s="60" t="n">
        <x:v>128</x:v>
      </x:c>
      <x:c r="H71" s="60" t="n">
        <x:v>64</x:v>
      </x:c>
      <x:c r="I71" s="60" t="n">
        <x:v>16</x:v>
      </x:c>
      <x:c r="J71" s="60" t="n">
        <x:v>16</x:v>
      </x:c>
      <x:c r="K71" s="60" t="n">
        <x:v>32</x:v>
      </x:c>
      <x:c r="L71" s="60" t="n">
        <x:v>105641</x:v>
      </x:c>
      <x:c r="M71" s="61" t="n">
        <x:f>IF(AND(ISNUMBER(L71),L71&gt;0),ROUND(C71*D71*E71/4096/L71*100,1)/100,"")</x:f>
        <x:v>0.5429999999999999</x:v>
      </x:c>
      <x:c r="N71" s="62" t="n">
        <x:f>IF(OR(F71="",G71="",H71=""),"",((I71+J71)*1024)/(F71*G71*H71/4096))</x:f>
        <x:v>128</x:v>
      </x:c>
      <x:c r="O71" s="62" t="n">
        <x:f>IF(OR(F71="",G71="",H71=""),"",(F71*G71*4)/(F71*G71*H71/4096))</x:f>
        <x:v>256</x:v>
      </x:c>
      <x:c r="P71" s="61" t="n">
        <x:f>IF(AND(ISNUMBER(N71),N71&gt;0),MIN(1,128/N71),"")</x:f>
        <x:v>1</x:v>
      </x:c>
      <x:c r="Q71" s="61" t="n">
        <x:f>IF(AND(ISNUMBER(O71),O71&gt;0),MIN(1,512/O71),"")</x:f>
        <x:v>1</x:v>
      </x:c>
      <x:c r="R71" s="61" t="n">
        <x:f>IF(AND(ISNUMBER(P71),ISNUMBER(Q71)),MIN(P71,Q71),"")</x:f>
        <x:v>1</x:v>
      </x:c>
      <x:c r="S71" s="62" t="n">
        <x:f>IF(AND(ISNUMBER(M71),ISNUMBER(R71)),(M71-R71)*100,"")</x:f>
        <x:v>-45.70000000000001</x:v>
      </x:c>
      <x:c r="T71" s="59" t="str">
        <x:v>PASS</x:v>
      </x:c>
      <x:c r="U71" s="63" t="str">
        <x:v>本轮 model-main 9b3a4405（6参数含SoC）2026-09-21</x:v>
      </x:c>
    </x:row>
    <x:row r="72" ht="19" customHeight="1">
      <x:c r="A72" s="59" t="str">
        <x:v>S2</x:v>
      </x:c>
      <x:c r="B72" s="59" t="str">
        <x:v>FP16</x:v>
      </x:c>
      <x:c r="C72" s="60" t="n">
        <x:v>128</x:v>
      </x:c>
      <x:c r="D72" s="60" t="n">
        <x:v>256</x:v>
      </x:c>
      <x:c r="E72" s="60" t="n">
        <x:v>7168</x:v>
      </x:c>
      <x:c r="F72" s="60" t="n">
        <x:v>128</x:v>
      </x:c>
      <x:c r="G72" s="60" t="n">
        <x:v>128</x:v>
      </x:c>
      <x:c r="H72" s="60" t="n">
        <x:v>128</x:v>
      </x:c>
      <x:c r="I72" s="60" t="n">
        <x:v>32</x:v>
      </x:c>
      <x:c r="J72" s="60" t="n">
        <x:v>32</x:v>
      </x:c>
      <x:c r="K72" s="60" t="n">
        <x:v>64</x:v>
      </x:c>
      <x:c r="L72" s="60" t="n">
        <x:v>101838</x:v>
      </x:c>
      <x:c r="M72" s="61" t="n">
        <x:f>IF(AND(ISNUMBER(L72),L72&gt;0),ROUND(C72*D72*E72/4096/L72*100,1)/100,"")</x:f>
        <x:v>0.563</x:v>
      </x:c>
      <x:c r="N72" s="62" t="n">
        <x:f>IF(OR(F72="",G72="",H72=""),"",((I72+J72)*1024)/(F72*G72*H72/4096))</x:f>
        <x:v>128</x:v>
      </x:c>
      <x:c r="O72" s="62" t="n">
        <x:f>IF(OR(F72="",G72="",H72=""),"",(F72*G72*4)/(F72*G72*H72/4096))</x:f>
        <x:v>128</x:v>
      </x:c>
      <x:c r="P72" s="61" t="n">
        <x:f>IF(AND(ISNUMBER(N72),N72&gt;0),MIN(1,128/N72),"")</x:f>
        <x:v>1</x:v>
      </x:c>
      <x:c r="Q72" s="61" t="n">
        <x:f>IF(AND(ISNUMBER(O72),O72&gt;0),MIN(1,512/O72),"")</x:f>
        <x:v>1</x:v>
      </x:c>
      <x:c r="R72" s="61" t="n">
        <x:f>IF(AND(ISNUMBER(P72),ISNUMBER(Q72)),MIN(P72,Q72),"")</x:f>
        <x:v>1</x:v>
      </x:c>
      <x:c r="S72" s="62" t="n">
        <x:f>IF(AND(ISNUMBER(M72),ISNUMBER(R72)),(M72-R72)*100,"")</x:f>
        <x:v>-43.7</x:v>
      </x:c>
      <x:c r="T72" s="59" t="str">
        <x:v>PASS</x:v>
      </x:c>
      <x:c r="U72" s="63" t="str">
        <x:v>本轮 model-main 9b3a4405（6参数含SoC）2026-09-21</x:v>
      </x:c>
    </x:row>
    <x:row r="73" ht="19" customHeight="1">
      <x:c r="A73" s="59" t="str">
        <x:v>S2</x:v>
      </x:c>
      <x:c r="B73" s="59" t="str">
        <x:v>FP16</x:v>
      </x:c>
      <x:c r="C73" s="60" t="n">
        <x:v>128</x:v>
      </x:c>
      <x:c r="D73" s="60" t="n">
        <x:v>256</x:v>
      </x:c>
      <x:c r="E73" s="60" t="n">
        <x:v>7168</x:v>
      </x:c>
      <x:c r="F73" s="60" t="n">
        <x:v>128</x:v>
      </x:c>
      <x:c r="G73" s="60" t="n">
        <x:v>128</x:v>
      </x:c>
      <x:c r="H73" s="60" t="n">
        <x:v>256</x:v>
      </x:c>
      <x:c r="I73" s="60" t="n">
        <x:v>64</x:v>
      </x:c>
      <x:c r="J73" s="60" t="n">
        <x:v>64</x:v>
      </x:c>
      <x:c r="K73" s="60" t="n">
        <x:v>128</x:v>
      </x:c>
      <x:c r="L73" s="60" t="n">
        <x:v>102286</x:v>
      </x:c>
      <x:c r="M73" s="61" t="n">
        <x:f>IF(AND(ISNUMBER(L73),L73&gt;0),ROUND(C73*D73*E73/4096/L73*100,1)/100,"")</x:f>
        <x:v>0.561</x:v>
      </x:c>
      <x:c r="N73" s="62" t="n">
        <x:f>IF(OR(F73="",G73="",H73=""),"",((I73+J73)*1024)/(F73*G73*H73/4096))</x:f>
        <x:v>128</x:v>
      </x:c>
      <x:c r="O73" s="62" t="n">
        <x:f>IF(OR(F73="",G73="",H73=""),"",(F73*G73*4)/(F73*G73*H73/4096))</x:f>
        <x:v>64</x:v>
      </x:c>
      <x:c r="P73" s="61" t="n">
        <x:f>IF(AND(ISNUMBER(N73),N73&gt;0),MIN(1,128/N73),"")</x:f>
        <x:v>1</x:v>
      </x:c>
      <x:c r="Q73" s="61" t="n">
        <x:f>IF(AND(ISNUMBER(O73),O73&gt;0),MIN(1,512/O73),"")</x:f>
        <x:v>1</x:v>
      </x:c>
      <x:c r="R73" s="61" t="n">
        <x:f>IF(AND(ISNUMBER(P73),ISNUMBER(Q73)),MIN(P73,Q73),"")</x:f>
        <x:v>1</x:v>
      </x:c>
      <x:c r="S73" s="62" t="n">
        <x:f>IF(AND(ISNUMBER(M73),ISNUMBER(R73)),(M73-R73)*100,"")</x:f>
        <x:v>-43.89999999999999</x:v>
      </x:c>
      <x:c r="T73" s="59" t="str">
        <x:v>PASS</x:v>
      </x:c>
      <x:c r="U73" s="63" t="str">
        <x:v>本轮 model-main 9b3a4405（6参数含SoC）2026-09-21</x:v>
      </x:c>
    </x:row>
    <x:row r="74" ht="19" customHeight="1">
      <x:c r="A74" s="59" t="str">
        <x:v>S2</x:v>
      </x:c>
      <x:c r="B74" s="59" t="str">
        <x:v>FP16</x:v>
      </x:c>
      <x:c r="C74" s="60" t="n">
        <x:v>128</x:v>
      </x:c>
      <x:c r="D74" s="60" t="n">
        <x:v>256</x:v>
      </x:c>
      <x:c r="E74" s="60" t="n">
        <x:v>7168</x:v>
      </x:c>
      <x:c r="F74" s="60" t="n">
        <x:v>128</x:v>
      </x:c>
      <x:c r="G74" s="60" t="n">
        <x:v>256</x:v>
      </x:c>
      <x:c r="H74" s="60" t="n">
        <x:v>64</x:v>
      </x:c>
      <x:c r="I74" s="60" t="n">
        <x:v>16</x:v>
      </x:c>
      <x:c r="J74" s="60" t="n">
        <x:v>32</x:v>
      </x:c>
      <x:c r="K74" s="60" t="n">
        <x:v>48</x:v>
      </x:c>
      <x:c r="L74" s="60" t="n">
        <x:v>81630</x:v>
      </x:c>
      <x:c r="M74" s="61" t="n">
        <x:f>IF(AND(ISNUMBER(L74),L74&gt;0),ROUND(C74*D74*E74/4096/L74*100,1)/100,"")</x:f>
        <x:v>0.7020000000000001</x:v>
      </x:c>
      <x:c r="N74" s="62" t="n">
        <x:f>IF(OR(F74="",G74="",H74=""),"",((I74+J74)*1024)/(F74*G74*H74/4096))</x:f>
        <x:v>96</x:v>
      </x:c>
      <x:c r="O74" s="62" t="n">
        <x:f>IF(OR(F74="",G74="",H74=""),"",(F74*G74*4)/(F74*G74*H74/4096))</x:f>
        <x:v>256</x:v>
      </x:c>
      <x:c r="P74" s="61" t="n">
        <x:f>IF(AND(ISNUMBER(N74),N74&gt;0),MIN(1,128/N74),"")</x:f>
        <x:v>1</x:v>
      </x:c>
      <x:c r="Q74" s="61" t="n">
        <x:f>IF(AND(ISNUMBER(O74),O74&gt;0),MIN(1,512/O74),"")</x:f>
        <x:v>1</x:v>
      </x:c>
      <x:c r="R74" s="61" t="n">
        <x:f>IF(AND(ISNUMBER(P74),ISNUMBER(Q74)),MIN(P74,Q74),"")</x:f>
        <x:v>1</x:v>
      </x:c>
      <x:c r="S74" s="62" t="n">
        <x:f>IF(AND(ISNUMBER(M74),ISNUMBER(R74)),(M74-R74)*100,"")</x:f>
        <x:v>-29.799999999999994</x:v>
      </x:c>
      <x:c r="T74" s="59" t="str">
        <x:v>PASS</x:v>
      </x:c>
      <x:c r="U74" s="63" t="str">
        <x:v>本轮 model-main 9b3a4405（6参数含SoC）2026-09-21</x:v>
      </x:c>
    </x:row>
    <x:row r="75" ht="19" customHeight="1">
      <x:c r="A75" s="53" t="str">
        <x:v>S2</x:v>
      </x:c>
      <x:c r="B75" s="54" t="str">
        <x:v>FP16</x:v>
      </x:c>
      <x:c r="C75" s="55" t="n">
        <x:v>128</x:v>
      </x:c>
      <x:c r="D75" s="55" t="n">
        <x:v>256</x:v>
      </x:c>
      <x:c r="E75" s="55" t="n">
        <x:v>7168</x:v>
      </x:c>
      <x:c r="F75" s="55" t="n">
        <x:v>128</x:v>
      </x:c>
      <x:c r="G75" s="55" t="n">
        <x:v>256</x:v>
      </x:c>
      <x:c r="H75" s="55" t="n">
        <x:v>128</x:v>
      </x:c>
      <x:c r="I75" s="55" t="n">
        <x:v>32</x:v>
      </x:c>
      <x:c r="J75" s="55" t="n">
        <x:v>64</x:v>
      </x:c>
      <x:c r="K75" s="55" t="n">
        <x:v>96</x:v>
      </x:c>
      <x:c r="L75" s="55" t="n">
        <x:v>77773</x:v>
      </x:c>
      <x:c r="M75" s="56" t="n">
        <x:f>IF(AND(ISNUMBER(L75),L75&gt;0),ROUND(C75*D75*E75/4096/L75*100,1)/100,"")</x:f>
        <x:v>0.737</x:v>
      </x:c>
      <x:c r="N75" s="57" t="n">
        <x:f>IF(OR(F75="",G75="",H75=""),"",((I75+J75)*1024)/(F75*G75*H75/4096))</x:f>
        <x:v>96</x:v>
      </x:c>
      <x:c r="O75" s="57" t="n">
        <x:f>IF(OR(F75="",G75="",H75=""),"",(F75*G75*4)/(F75*G75*H75/4096))</x:f>
        <x:v>128</x:v>
      </x:c>
      <x:c r="P75" s="56" t="n">
        <x:f>IF(AND(ISNUMBER(N75),N75&gt;0),MIN(1,128/N75),"")</x:f>
        <x:v>1</x:v>
      </x:c>
      <x:c r="Q75" s="56" t="n">
        <x:f>IF(AND(ISNUMBER(O75),O75&gt;0),MIN(1,512/O75),"")</x:f>
        <x:v>1</x:v>
      </x:c>
      <x:c r="R75" s="56" t="n">
        <x:f>IF(AND(ISNUMBER(P75),ISNUMBER(Q75)),MIN(P75,Q75),"")</x:f>
        <x:v>1</x:v>
      </x:c>
      <x:c r="S75" s="57" t="n">
        <x:f>IF(AND(ISNUMBER(M75),ISNUMBER(R75)),(M75-R75)*100,"")</x:f>
        <x:v>-26.3</x:v>
      </x:c>
      <x:c r="T75" s="54" t="str">
        <x:v>PASS</x:v>
      </x:c>
      <x:c r="U75" s="58" t="str">
        <x:v>本轮 model-main 9b3a4405（6参数含SoC）2026-09-21</x:v>
      </x:c>
    </x:row>
    <x:row r="76" ht="19" customHeight="1">
      <x:c r="A76" s="59" t="str">
        <x:v>S2</x:v>
      </x:c>
      <x:c r="B76" s="59" t="str">
        <x:v>FP16</x:v>
      </x:c>
      <x:c r="C76" s="60" t="n">
        <x:v>128</x:v>
      </x:c>
      <x:c r="D76" s="60" t="n">
        <x:v>256</x:v>
      </x:c>
      <x:c r="E76" s="60" t="n">
        <x:v>7168</x:v>
      </x:c>
      <x:c r="F76" s="60" t="n">
        <x:v>128</x:v>
      </x:c>
      <x:c r="G76" s="60" t="n">
        <x:v>256</x:v>
      </x:c>
      <x:c r="H76" s="60" t="n">
        <x:v>256</x:v>
      </x:c>
      <x:c r="I76" s="60" t="n">
        <x:v>64</x:v>
      </x:c>
      <x:c r="J76" s="60" t="n">
        <x:v>128</x:v>
      </x:c>
      <x:c r="K76" s="60" t="n">
        <x:v>192</x:v>
      </x:c>
      <x:c r="L76" s="60" t="n">
        <x:v>78944</x:v>
      </x:c>
      <x:c r="M76" s="61" t="n">
        <x:f>IF(AND(ISNUMBER(L76),L76&gt;0),ROUND(C76*D76*E76/4096/L76*100,1)/100,"")</x:f>
        <x:v>0.726</x:v>
      </x:c>
      <x:c r="N76" s="62" t="n">
        <x:f>IF(OR(F76="",G76="",H76=""),"",((I76+J76)*1024)/(F76*G76*H76/4096))</x:f>
        <x:v>96</x:v>
      </x:c>
      <x:c r="O76" s="62" t="n">
        <x:f>IF(OR(F76="",G76="",H76=""),"",(F76*G76*4)/(F76*G76*H76/4096))</x:f>
        <x:v>64</x:v>
      </x:c>
      <x:c r="P76" s="61" t="n">
        <x:f>IF(AND(ISNUMBER(N76),N76&gt;0),MIN(1,128/N76),"")</x:f>
        <x:v>1</x:v>
      </x:c>
      <x:c r="Q76" s="61" t="n">
        <x:f>IF(AND(ISNUMBER(O76),O76&gt;0),MIN(1,512/O76),"")</x:f>
        <x:v>1</x:v>
      </x:c>
      <x:c r="R76" s="61" t="n">
        <x:f>IF(AND(ISNUMBER(P76),ISNUMBER(Q76)),MIN(P76,Q76),"")</x:f>
        <x:v>1</x:v>
      </x:c>
      <x:c r="S76" s="62" t="n">
        <x:f>IF(AND(ISNUMBER(M76),ISNUMBER(R76)),(M76-R76)*100,"")</x:f>
        <x:v>-27.400000000000002</x:v>
      </x:c>
      <x:c r="T76" s="59" t="str">
        <x:v>PASS</x:v>
      </x:c>
      <x:c r="U76" s="63" t="str">
        <x:v>本轮 model-main 9b3a4405（6参数含SoC）2026-09-21</x:v>
      </x:c>
    </x:row>
    <x:row r="77" ht="19" customHeight="1">
      <x:c r="A77" s="59" t="str">
        <x:v>S2</x:v>
      </x:c>
      <x:c r="B77" s="59" t="str">
        <x:v>FP8</x:v>
      </x:c>
      <x:c r="C77" s="60" t="n">
        <x:v>128</x:v>
      </x:c>
      <x:c r="D77" s="60" t="n">
        <x:v>256</x:v>
      </x:c>
      <x:c r="E77" s="60" t="n">
        <x:v>7168</x:v>
      </x:c>
      <x:c r="F77" s="60" t="n">
        <x:v>128</x:v>
      </x:c>
      <x:c r="G77" s="60" t="n">
        <x:v>64</x:v>
      </x:c>
      <x:c r="H77" s="60" t="n">
        <x:v>256</x:v>
      </x:c>
      <x:c r="I77" s="60" t="n">
        <x:v>32</x:v>
      </x:c>
      <x:c r="J77" s="60" t="n">
        <x:v>16</x:v>
      </x:c>
      <x:c r="K77" s="60" t="n">
        <x:v>48</x:v>
      </x:c>
      <x:c r="L77" s="60" t="n">
        <x:v>113647</x:v>
      </x:c>
      <x:c r="M77" s="61" t="n">
        <x:f>IF(AND(ISNUMBER(L77),L77&gt;0),ROUND(C77*D77*E77/8192/L77*100,1)/100,"")</x:f>
        <x:v>0.252</x:v>
      </x:c>
      <x:c r="N77" s="62" t="n">
        <x:f>IF(OR(F77="",G77="",H77=""),"",((I77+J77)*1024)/(F77*G77*H77/8192))</x:f>
        <x:v>192</x:v>
      </x:c>
      <x:c r="O77" s="62" t="n">
        <x:f>IF(OR(F77="",G77="",H77=""),"",(F77*G77*4)/(F77*G77*H77/8192))</x:f>
        <x:v>128</x:v>
      </x:c>
      <x:c r="P77" s="61" t="n">
        <x:f>IF(AND(ISNUMBER(N77),N77&gt;0),MIN(1,128/N77),"")</x:f>
        <x:v>0.6666666666666666</x:v>
      </x:c>
      <x:c r="Q77" s="61" t="n">
        <x:f>IF(AND(ISNUMBER(O77),O77&gt;0),MIN(1,512/O77),"")</x:f>
        <x:v>1</x:v>
      </x:c>
      <x:c r="R77" s="61" t="n">
        <x:f>IF(AND(ISNUMBER(P77),ISNUMBER(Q77)),MIN(P77,Q77),"")</x:f>
        <x:v>0.6666666666666666</x:v>
      </x:c>
      <x:c r="S77" s="62" t="n">
        <x:f>IF(AND(ISNUMBER(M77),ISNUMBER(R77)),(M77-R77)*100,"")</x:f>
        <x:v>-41.46666666666666</x:v>
      </x:c>
      <x:c r="T77" s="59" t="str">
        <x:v>PASS</x:v>
      </x:c>
      <x:c r="U77" s="63" t="str">
        <x:v>matmul_shared_lowp（FP8）；本轮 model-main 9b3a4405（6参数含SoC）2026-09-21</x:v>
      </x:c>
    </x:row>
    <x:row r="78" ht="19" customHeight="1">
      <x:c r="A78" s="59" t="str">
        <x:v>S2</x:v>
      </x:c>
      <x:c r="B78" s="59" t="str">
        <x:v>FP8</x:v>
      </x:c>
      <x:c r="C78" s="60" t="n">
        <x:v>128</x:v>
      </x:c>
      <x:c r="D78" s="60" t="n">
        <x:v>256</x:v>
      </x:c>
      <x:c r="E78" s="60" t="n">
        <x:v>7168</x:v>
      </x:c>
      <x:c r="F78" s="60" t="n">
        <x:v>128</x:v>
      </x:c>
      <x:c r="G78" s="60" t="n">
        <x:v>64</x:v>
      </x:c>
      <x:c r="H78" s="60" t="n">
        <x:v>512</x:v>
      </x:c>
      <x:c r="I78" s="60" t="n">
        <x:v>64</x:v>
      </x:c>
      <x:c r="J78" s="60" t="n">
        <x:v>32</x:v>
      </x:c>
      <x:c r="K78" s="60" t="n">
        <x:v>96</x:v>
      </x:c>
      <x:c r="L78" s="60" t="n">
        <x:v>115377</x:v>
      </x:c>
      <x:c r="M78" s="61" t="n">
        <x:f>IF(AND(ISNUMBER(L78),L78&gt;0),ROUND(C78*D78*E78/8192/L78*100,1)/100,"")</x:f>
        <x:v>0.249</x:v>
      </x:c>
      <x:c r="N78" s="62" t="n">
        <x:f>IF(OR(F78="",G78="",H78=""),"",((I78+J78)*1024)/(F78*G78*H78/8192))</x:f>
        <x:v>192</x:v>
      </x:c>
      <x:c r="O78" s="62" t="n">
        <x:f>IF(OR(F78="",G78="",H78=""),"",(F78*G78*4)/(F78*G78*H78/8192))</x:f>
        <x:v>64</x:v>
      </x:c>
      <x:c r="P78" s="61" t="n">
        <x:f>IF(AND(ISNUMBER(N78),N78&gt;0),MIN(1,128/N78),"")</x:f>
        <x:v>0.6666666666666666</x:v>
      </x:c>
      <x:c r="Q78" s="61" t="n">
        <x:f>IF(AND(ISNUMBER(O78),O78&gt;0),MIN(1,512/O78),"")</x:f>
        <x:v>1</x:v>
      </x:c>
      <x:c r="R78" s="61" t="n">
        <x:f>IF(AND(ISNUMBER(P78),ISNUMBER(Q78)),MIN(P78,Q78),"")</x:f>
        <x:v>0.6666666666666666</x:v>
      </x:c>
      <x:c r="S78" s="62" t="n">
        <x:f>IF(AND(ISNUMBER(M78),ISNUMBER(R78)),(M78-R78)*100,"")</x:f>
        <x:v>-41.766666666666666</x:v>
      </x:c>
      <x:c r="T78" s="59" t="str">
        <x:v>PASS</x:v>
      </x:c>
      <x:c r="U78" s="63" t="str">
        <x:v>matmul_shared_lowp（FP8）；本轮 model-main 9b3a4405（6参数含SoC）2026-09-21</x:v>
      </x:c>
    </x:row>
    <x:row r="79" ht="19" customHeight="1">
      <x:c r="A79" s="59" t="str">
        <x:v>S2</x:v>
      </x:c>
      <x:c r="B79" s="59" t="str">
        <x:v>FP8</x:v>
      </x:c>
      <x:c r="C79" s="60" t="n">
        <x:v>128</x:v>
      </x:c>
      <x:c r="D79" s="60" t="n">
        <x:v>256</x:v>
      </x:c>
      <x:c r="E79" s="60" t="n">
        <x:v>7168</x:v>
      </x:c>
      <x:c r="F79" s="60" t="n">
        <x:v>128</x:v>
      </x:c>
      <x:c r="G79" s="60" t="n">
        <x:v>64</x:v>
      </x:c>
      <x:c r="H79" s="60" t="n">
        <x:v>1024</x:v>
      </x:c>
      <x:c r="I79" s="60" t="n">
        <x:v>128</x:v>
      </x:c>
      <x:c r="J79" s="60" t="n">
        <x:v>64</x:v>
      </x:c>
      <x:c r="K79" s="60" t="n">
        <x:v>192</x:v>
      </x:c>
      <x:c r="L79" s="60" t="n">
        <x:v>117276</x:v>
      </x:c>
      <x:c r="M79" s="61" t="n">
        <x:f>IF(AND(ISNUMBER(L79),L79&gt;0),ROUND(C79*D79*E79/8192/L79*100,1)/100,"")</x:f>
        <x:v>0.244</x:v>
      </x:c>
      <x:c r="N79" s="62" t="n">
        <x:f>IF(OR(F79="",G79="",H79=""),"",((I79+J79)*1024)/(F79*G79*H79/8192))</x:f>
        <x:v>192</x:v>
      </x:c>
      <x:c r="O79" s="62" t="n">
        <x:f>IF(OR(F79="",G79="",H79=""),"",(F79*G79*4)/(F79*G79*H79/8192))</x:f>
        <x:v>32</x:v>
      </x:c>
      <x:c r="P79" s="61" t="n">
        <x:f>IF(AND(ISNUMBER(N79),N79&gt;0),MIN(1,128/N79),"")</x:f>
        <x:v>0.6666666666666666</x:v>
      </x:c>
      <x:c r="Q79" s="61" t="n">
        <x:f>IF(AND(ISNUMBER(O79),O79&gt;0),MIN(1,512/O79),"")</x:f>
        <x:v>1</x:v>
      </x:c>
      <x:c r="R79" s="61" t="n">
        <x:f>IF(AND(ISNUMBER(P79),ISNUMBER(Q79)),MIN(P79,Q79),"")</x:f>
        <x:v>0.6666666666666666</x:v>
      </x:c>
      <x:c r="S79" s="62" t="n">
        <x:f>IF(AND(ISNUMBER(M79),ISNUMBER(R79)),(M79-R79)*100,"")</x:f>
        <x:v>-42.266666666666666</x:v>
      </x:c>
      <x:c r="T79" s="59" t="str">
        <x:v>PASS</x:v>
      </x:c>
      <x:c r="U79" s="63" t="str">
        <x:v>matmul_shared_lowp（FP8）；本轮 model-main 9b3a4405（6参数含SoC）2026-09-21</x:v>
      </x:c>
    </x:row>
    <x:row r="80" ht="19" customHeight="1">
      <x:c r="A80" s="59" t="str">
        <x:v>S2</x:v>
      </x:c>
      <x:c r="B80" s="59" t="str">
        <x:v>FP8</x:v>
      </x:c>
      <x:c r="C80" s="60" t="n">
        <x:v>128</x:v>
      </x:c>
      <x:c r="D80" s="60" t="n">
        <x:v>256</x:v>
      </x:c>
      <x:c r="E80" s="60" t="n">
        <x:v>7168</x:v>
      </x:c>
      <x:c r="F80" s="60" t="n">
        <x:v>128</x:v>
      </x:c>
      <x:c r="G80" s="60" t="n">
        <x:v>128</x:v>
      </x:c>
      <x:c r="H80" s="60" t="n">
        <x:v>256</x:v>
      </x:c>
      <x:c r="I80" s="60" t="n">
        <x:v>32</x:v>
      </x:c>
      <x:c r="J80" s="60" t="n">
        <x:v>32</x:v>
      </x:c>
      <x:c r="K80" s="60" t="n">
        <x:v>64</x:v>
      </x:c>
      <x:c r="L80" s="60" t="n">
        <x:v>58735</x:v>
      </x:c>
      <x:c r="M80" s="61" t="n">
        <x:f>IF(AND(ISNUMBER(L80),L80&gt;0),ROUND(C80*D80*E80/8192/L80*100,1)/100,"")</x:f>
        <x:v>0.488</x:v>
      </x:c>
      <x:c r="N80" s="62" t="n">
        <x:f>IF(OR(F80="",G80="",H80=""),"",((I80+J80)*1024)/(F80*G80*H80/8192))</x:f>
        <x:v>128</x:v>
      </x:c>
      <x:c r="O80" s="62" t="n">
        <x:f>IF(OR(F80="",G80="",H80=""),"",(F80*G80*4)/(F80*G80*H80/8192))</x:f>
        <x:v>128</x:v>
      </x:c>
      <x:c r="P80" s="61" t="n">
        <x:f>IF(AND(ISNUMBER(N80),N80&gt;0),MIN(1,128/N80),"")</x:f>
        <x:v>1</x:v>
      </x:c>
      <x:c r="Q80" s="61" t="n">
        <x:f>IF(AND(ISNUMBER(O80),O80&gt;0),MIN(1,512/O80),"")</x:f>
        <x:v>1</x:v>
      </x:c>
      <x:c r="R80" s="61" t="n">
        <x:f>IF(AND(ISNUMBER(P80),ISNUMBER(Q80)),MIN(P80,Q80),"")</x:f>
        <x:v>1</x:v>
      </x:c>
      <x:c r="S80" s="62" t="n">
        <x:f>IF(AND(ISNUMBER(M80),ISNUMBER(R80)),(M80-R80)*100,"")</x:f>
        <x:v>-51.2</x:v>
      </x:c>
      <x:c r="T80" s="59" t="str">
        <x:v>PASS</x:v>
      </x:c>
      <x:c r="U80" s="63" t="str">
        <x:v>matmul_shared_lowp（FP8）；本轮 model-main 9b3a4405（6参数含SoC）2026-09-21</x:v>
      </x:c>
    </x:row>
    <x:row r="81" ht="19" customHeight="1">
      <x:c r="A81" s="59" t="str">
        <x:v>S2</x:v>
      </x:c>
      <x:c r="B81" s="59" t="str">
        <x:v>FP8</x:v>
      </x:c>
      <x:c r="C81" s="60" t="n">
        <x:v>128</x:v>
      </x:c>
      <x:c r="D81" s="60" t="n">
        <x:v>256</x:v>
      </x:c>
      <x:c r="E81" s="60" t="n">
        <x:v>7168</x:v>
      </x:c>
      <x:c r="F81" s="60" t="n">
        <x:v>128</x:v>
      </x:c>
      <x:c r="G81" s="60" t="n">
        <x:v>128</x:v>
      </x:c>
      <x:c r="H81" s="60" t="n">
        <x:v>512</x:v>
      </x:c>
      <x:c r="I81" s="60" t="n">
        <x:v>64</x:v>
      </x:c>
      <x:c r="J81" s="60" t="n">
        <x:v>64</x:v>
      </x:c>
      <x:c r="K81" s="60" t="n">
        <x:v>128</x:v>
      </x:c>
      <x:c r="L81" s="60" t="n">
        <x:v>59649</x:v>
      </x:c>
      <x:c r="M81" s="61" t="n">
        <x:f>IF(AND(ISNUMBER(L81),L81&gt;0),ROUND(C81*D81*E81/8192/L81*100,1)/100,"")</x:f>
        <x:v>0.48100000000000004</x:v>
      </x:c>
      <x:c r="N81" s="62" t="n">
        <x:f>IF(OR(F81="",G81="",H81=""),"",((I81+J81)*1024)/(F81*G81*H81/8192))</x:f>
        <x:v>128</x:v>
      </x:c>
      <x:c r="O81" s="62" t="n">
        <x:f>IF(OR(F81="",G81="",H81=""),"",(F81*G81*4)/(F81*G81*H81/8192))</x:f>
        <x:v>64</x:v>
      </x:c>
      <x:c r="P81" s="61" t="n">
        <x:f>IF(AND(ISNUMBER(N81),N81&gt;0),MIN(1,128/N81),"")</x:f>
        <x:v>1</x:v>
      </x:c>
      <x:c r="Q81" s="61" t="n">
        <x:f>IF(AND(ISNUMBER(O81),O81&gt;0),MIN(1,512/O81),"")</x:f>
        <x:v>1</x:v>
      </x:c>
      <x:c r="R81" s="61" t="n">
        <x:f>IF(AND(ISNUMBER(P81),ISNUMBER(Q81)),MIN(P81,Q81),"")</x:f>
        <x:v>1</x:v>
      </x:c>
      <x:c r="S81" s="62" t="n">
        <x:f>IF(AND(ISNUMBER(M81),ISNUMBER(R81)),(M81-R81)*100,"")</x:f>
        <x:v>-51.89999999999999</x:v>
      </x:c>
      <x:c r="T81" s="59" t="str">
        <x:v>PASS</x:v>
      </x:c>
      <x:c r="U81" s="63" t="str">
        <x:v>matmul_shared_lowp（FP8）；本轮 model-main 9b3a4405（6参数含SoC）2026-09-21</x:v>
      </x:c>
    </x:row>
    <x:row r="82" ht="19" customHeight="1">
      <x:c r="A82" s="59" t="str">
        <x:v>S2</x:v>
      </x:c>
      <x:c r="B82" s="59" t="str">
        <x:v>FP8</x:v>
      </x:c>
      <x:c r="C82" s="60" t="n">
        <x:v>128</x:v>
      </x:c>
      <x:c r="D82" s="60" t="n">
        <x:v>256</x:v>
      </x:c>
      <x:c r="E82" s="60" t="n">
        <x:v>7168</x:v>
      </x:c>
      <x:c r="F82" s="60" t="n">
        <x:v>128</x:v>
      </x:c>
      <x:c r="G82" s="60" t="n">
        <x:v>128</x:v>
      </x:c>
      <x:c r="H82" s="60" t="n">
        <x:v>1024</x:v>
      </x:c>
      <x:c r="I82" s="60" t="n">
        <x:v>128</x:v>
      </x:c>
      <x:c r="J82" s="60" t="n">
        <x:v>128</x:v>
      </x:c>
      <x:c r="K82" s="60" t="n">
        <x:v>256</x:v>
      </x:c>
      <x:c r="L82" s="60" t="n">
        <x:v>61609</x:v>
      </x:c>
      <x:c r="M82" s="61" t="n">
        <x:f>IF(AND(ISNUMBER(L82),L82&gt;0),ROUND(C82*D82*E82/8192/L82*100,1)/100,"")</x:f>
        <x:v>0.465</x:v>
      </x:c>
      <x:c r="N82" s="62" t="n">
        <x:f>IF(OR(F82="",G82="",H82=""),"",((I82+J82)*1024)/(F82*G82*H82/8192))</x:f>
        <x:v>128</x:v>
      </x:c>
      <x:c r="O82" s="62" t="n">
        <x:f>IF(OR(F82="",G82="",H82=""),"",(F82*G82*4)/(F82*G82*H82/8192))</x:f>
        <x:v>32</x:v>
      </x:c>
      <x:c r="P82" s="61" t="n">
        <x:f>IF(AND(ISNUMBER(N82),N82&gt;0),MIN(1,128/N82),"")</x:f>
        <x:v>1</x:v>
      </x:c>
      <x:c r="Q82" s="61" t="n">
        <x:f>IF(AND(ISNUMBER(O82),O82&gt;0),MIN(1,512/O82),"")</x:f>
        <x:v>1</x:v>
      </x:c>
      <x:c r="R82" s="61" t="n">
        <x:f>IF(AND(ISNUMBER(P82),ISNUMBER(Q82)),MIN(P82,Q82),"")</x:f>
        <x:v>1</x:v>
      </x:c>
      <x:c r="S82" s="62" t="n">
        <x:f>IF(AND(ISNUMBER(M82),ISNUMBER(R82)),(M82-R82)*100,"")</x:f>
        <x:v>-53.49999999999999</x:v>
      </x:c>
      <x:c r="T82" s="59" t="str">
        <x:v>PASS</x:v>
      </x:c>
      <x:c r="U82" s="63" t="str">
        <x:v>matmul_shared_lowp（FP8）；本轮 model-main 9b3a4405（6参数含SoC）2026-09-21</x:v>
      </x:c>
    </x:row>
    <x:row r="83" ht="19" customHeight="1">
      <x:c r="A83" s="53" t="str">
        <x:v>S2</x:v>
      </x:c>
      <x:c r="B83" s="54" t="str">
        <x:v>FP8</x:v>
      </x:c>
      <x:c r="C83" s="55" t="n">
        <x:v>128</x:v>
      </x:c>
      <x:c r="D83" s="55" t="n">
        <x:v>256</x:v>
      </x:c>
      <x:c r="E83" s="55" t="n">
        <x:v>7168</x:v>
      </x:c>
      <x:c r="F83" s="55" t="n">
        <x:v>128</x:v>
      </x:c>
      <x:c r="G83" s="55" t="n">
        <x:v>256</x:v>
      </x:c>
      <x:c r="H83" s="55" t="n">
        <x:v>256</x:v>
      </x:c>
      <x:c r="I83" s="55" t="n">
        <x:v>32</x:v>
      </x:c>
      <x:c r="J83" s="55" t="n">
        <x:v>64</x:v>
      </x:c>
      <x:c r="K83" s="55" t="n">
        <x:v>96</x:v>
      </x:c>
      <x:c r="L83" s="55" t="n">
        <x:v>40552</x:v>
      </x:c>
      <x:c r="M83" s="56" t="n">
        <x:f>IF(AND(ISNUMBER(L83),L83&gt;0),ROUND(C83*D83*E83/8192/L83*100,1)/100,"")</x:f>
        <x:v>0.7070000000000001</x:v>
      </x:c>
      <x:c r="N83" s="57" t="n">
        <x:f>IF(OR(F83="",G83="",H83=""),"",((I83+J83)*1024)/(F83*G83*H83/8192))</x:f>
        <x:v>96</x:v>
      </x:c>
      <x:c r="O83" s="57" t="n">
        <x:f>IF(OR(F83="",G83="",H83=""),"",(F83*G83*4)/(F83*G83*H83/8192))</x:f>
        <x:v>128</x:v>
      </x:c>
      <x:c r="P83" s="56" t="n">
        <x:f>IF(AND(ISNUMBER(N83),N83&gt;0),MIN(1,128/N83),"")</x:f>
        <x:v>1</x:v>
      </x:c>
      <x:c r="Q83" s="56" t="n">
        <x:f>IF(AND(ISNUMBER(O83),O83&gt;0),MIN(1,512/O83),"")</x:f>
        <x:v>1</x:v>
      </x:c>
      <x:c r="R83" s="56" t="n">
        <x:f>IF(AND(ISNUMBER(P83),ISNUMBER(Q83)),MIN(P83,Q83),"")</x:f>
        <x:v>1</x:v>
      </x:c>
      <x:c r="S83" s="57" t="n">
        <x:f>IF(AND(ISNUMBER(M83),ISNUMBER(R83)),(M83-R83)*100,"")</x:f>
        <x:v>-29.299999999999994</x:v>
      </x:c>
      <x:c r="T83" s="54" t="str">
        <x:v>PASS</x:v>
      </x:c>
      <x:c r="U83" s="58" t="str">
        <x:v>matmul_shared_lowp（FP8）；本轮 model-main 9b3a4405（6参数含SoC）2026-09-21</x:v>
      </x:c>
    </x:row>
    <x:row r="84" ht="19" customHeight="1">
      <x:c r="A84" s="59" t="str">
        <x:v>S2</x:v>
      </x:c>
      <x:c r="B84" s="59" t="str">
        <x:v>FP8</x:v>
      </x:c>
      <x:c r="C84" s="60" t="n">
        <x:v>128</x:v>
      </x:c>
      <x:c r="D84" s="60" t="n">
        <x:v>256</x:v>
      </x:c>
      <x:c r="E84" s="60" t="n">
        <x:v>7168</x:v>
      </x:c>
      <x:c r="F84" s="60" t="n">
        <x:v>128</x:v>
      </x:c>
      <x:c r="G84" s="60" t="n">
        <x:v>256</x:v>
      </x:c>
      <x:c r="H84" s="60" t="n">
        <x:v>512</x:v>
      </x:c>
      <x:c r="I84" s="60" t="n">
        <x:v>64</x:v>
      </x:c>
      <x:c r="J84" s="60" t="n">
        <x:v>128</x:v>
      </x:c>
      <x:c r="K84" s="60" t="n">
        <x:v>192</x:v>
      </x:c>
      <x:c r="L84" s="60" t="n">
        <x:v>41785</x:v>
      </x:c>
      <x:c r="M84" s="61" t="n">
        <x:f>IF(AND(ISNUMBER(L84),L84&gt;0),ROUND(C84*D84*E84/8192/L84*100,1)/100,"")</x:f>
        <x:v>0.6859999999999999</x:v>
      </x:c>
      <x:c r="N84" s="62" t="n">
        <x:f>IF(OR(F84="",G84="",H84=""),"",((I84+J84)*1024)/(F84*G84*H84/8192))</x:f>
        <x:v>96</x:v>
      </x:c>
      <x:c r="O84" s="62" t="n">
        <x:f>IF(OR(F84="",G84="",H84=""),"",(F84*G84*4)/(F84*G84*H84/8192))</x:f>
        <x:v>64</x:v>
      </x:c>
      <x:c r="P84" s="61" t="n">
        <x:f>IF(AND(ISNUMBER(N84),N84&gt;0),MIN(1,128/N84),"")</x:f>
        <x:v>1</x:v>
      </x:c>
      <x:c r="Q84" s="61" t="n">
        <x:f>IF(AND(ISNUMBER(O84),O84&gt;0),MIN(1,512/O84),"")</x:f>
        <x:v>1</x:v>
      </x:c>
      <x:c r="R84" s="61" t="n">
        <x:f>IF(AND(ISNUMBER(P84),ISNUMBER(Q84)),MIN(P84,Q84),"")</x:f>
        <x:v>1</x:v>
      </x:c>
      <x:c r="S84" s="62" t="n">
        <x:f>IF(AND(ISNUMBER(M84),ISNUMBER(R84)),(M84-R84)*100,"")</x:f>
        <x:v>-31.400000000000006</x:v>
      </x:c>
      <x:c r="T84" s="59" t="str">
        <x:v>PASS</x:v>
      </x:c>
      <x:c r="U84" s="63" t="str">
        <x:v>matmul_shared_lowp（FP8）；本轮 model-main 9b3a4405（6参数含SoC）2026-09-21</x:v>
      </x:c>
    </x:row>
    <x:row r="85" ht="19" customHeight="1">
      <x:c r="A85" s="59" t="str">
        <x:v>S2</x:v>
      </x:c>
      <x:c r="B85" s="59" t="str">
        <x:v>MXFP8</x:v>
      </x:c>
      <x:c r="C85" s="60" t="n">
        <x:v>128</x:v>
      </x:c>
      <x:c r="D85" s="60" t="n">
        <x:v>256</x:v>
      </x:c>
      <x:c r="E85" s="60" t="n">
        <x:v>7168</x:v>
      </x:c>
      <x:c r="F85" s="60" t="n">
        <x:v>128</x:v>
      </x:c>
      <x:c r="G85" s="60" t="n">
        <x:v>64</x:v>
      </x:c>
      <x:c r="H85" s="60" t="n">
        <x:v>256</x:v>
      </x:c>
      <x:c r="I85" s="60" t="n">
        <x:v>32</x:v>
      </x:c>
      <x:c r="J85" s="60" t="n">
        <x:v>16</x:v>
      </x:c>
      <x:c r="K85" s="60" t="n">
        <x:v>48</x:v>
      </x:c>
      <x:c r="L85" s="60" t="n">
        <x:v>148053</x:v>
      </x:c>
      <x:c r="M85" s="61" t="n">
        <x:f>IF(AND(ISNUMBER(L85),L85&gt;0),ROUND(C85*D85*E85/8192/L85*100,1)/100,"")</x:f>
        <x:v>0.19399999999999998</x:v>
      </x:c>
      <x:c r="N85" s="62" t="n">
        <x:f>IF(OR(F85="",G85="",H85=""),"",((I85+J85)*1024)/(F85*G85*H85/8192))</x:f>
        <x:v>192</x:v>
      </x:c>
      <x:c r="O85" s="62" t="n">
        <x:f>IF(OR(F85="",G85="",H85=""),"",(F85*G85*4)/(F85*G85*H85/8192))</x:f>
        <x:v>128</x:v>
      </x:c>
      <x:c r="P85" s="61" t="n">
        <x:f>IF(AND(ISNUMBER(N85),N85&gt;0),MIN(1,128/N85),"")</x:f>
        <x:v>0.6666666666666666</x:v>
      </x:c>
      <x:c r="Q85" s="61" t="n">
        <x:f>IF(AND(ISNUMBER(O85),O85&gt;0),MIN(1,512/O85),"")</x:f>
        <x:v>1</x:v>
      </x:c>
      <x:c r="R85" s="61" t="n">
        <x:f>IF(AND(ISNUMBER(P85),ISNUMBER(Q85)),MIN(P85,Q85),"")</x:f>
        <x:v>0.6666666666666666</x:v>
      </x:c>
      <x:c r="S85" s="62" t="n">
        <x:f>IF(AND(ISNUMBER(M85),ISNUMBER(R85)),(M85-R85)*100,"")</x:f>
        <x:v>-47.266666666666666</x:v>
      </x:c>
      <x:c r="T85" s="59" t="str">
        <x:v>PASS</x:v>
      </x:c>
      <x:c r="U85" s="63" t="str">
        <x:v>matmul_shared_lowp（MXFP8）；本轮 model-main 9b3a4405（6参数含SoC）2026-09-21</x:v>
      </x:c>
    </x:row>
    <x:row r="86" ht="19" customHeight="1">
      <x:c r="A86" s="59" t="str">
        <x:v>S2</x:v>
      </x:c>
      <x:c r="B86" s="59" t="str">
        <x:v>MXFP8</x:v>
      </x:c>
      <x:c r="C86" s="60" t="n">
        <x:v>128</x:v>
      </x:c>
      <x:c r="D86" s="60" t="n">
        <x:v>256</x:v>
      </x:c>
      <x:c r="E86" s="60" t="n">
        <x:v>7168</x:v>
      </x:c>
      <x:c r="F86" s="60" t="n">
        <x:v>128</x:v>
      </x:c>
      <x:c r="G86" s="60" t="n">
        <x:v>64</x:v>
      </x:c>
      <x:c r="H86" s="60" t="n">
        <x:v>512</x:v>
      </x:c>
      <x:c r="I86" s="60" t="n">
        <x:v>64</x:v>
      </x:c>
      <x:c r="J86" s="60" t="n">
        <x:v>32</x:v>
      </x:c>
      <x:c r="K86" s="60" t="n">
        <x:v>96</x:v>
      </x:c>
      <x:c r="L86" s="60" t="n">
        <x:v>133724</x:v>
      </x:c>
      <x:c r="M86" s="61" t="n">
        <x:f>IF(AND(ISNUMBER(L86),L86&gt;0),ROUND(C86*D86*E86/8192/L86*100,1)/100,"")</x:f>
        <x:v>0.214</x:v>
      </x:c>
      <x:c r="N86" s="62" t="n">
        <x:f>IF(OR(F86="",G86="",H86=""),"",((I86+J86)*1024)/(F86*G86*H86/8192))</x:f>
        <x:v>192</x:v>
      </x:c>
      <x:c r="O86" s="62" t="n">
        <x:f>IF(OR(F86="",G86="",H86=""),"",(F86*G86*4)/(F86*G86*H86/8192))</x:f>
        <x:v>64</x:v>
      </x:c>
      <x:c r="P86" s="61" t="n">
        <x:f>IF(AND(ISNUMBER(N86),N86&gt;0),MIN(1,128/N86),"")</x:f>
        <x:v>0.6666666666666666</x:v>
      </x:c>
      <x:c r="Q86" s="61" t="n">
        <x:f>IF(AND(ISNUMBER(O86),O86&gt;0),MIN(1,512/O86),"")</x:f>
        <x:v>1</x:v>
      </x:c>
      <x:c r="R86" s="61" t="n">
        <x:f>IF(AND(ISNUMBER(P86),ISNUMBER(Q86)),MIN(P86,Q86),"")</x:f>
        <x:v>0.6666666666666666</x:v>
      </x:c>
      <x:c r="S86" s="62" t="n">
        <x:f>IF(AND(ISNUMBER(M86),ISNUMBER(R86)),(M86-R86)*100,"")</x:f>
        <x:v>-45.266666666666666</x:v>
      </x:c>
      <x:c r="T86" s="59" t="str">
        <x:v>PASS</x:v>
      </x:c>
      <x:c r="U86" s="63" t="str">
        <x:v>matmul_shared_lowp（MXFP8）；本轮 model-main 9b3a4405（6参数含SoC）2026-09-21</x:v>
      </x:c>
    </x:row>
    <x:row r="87" ht="19" customHeight="1">
      <x:c r="A87" s="59" t="str">
        <x:v>S2</x:v>
      </x:c>
      <x:c r="B87" s="59" t="str">
        <x:v>MXFP8</x:v>
      </x:c>
      <x:c r="C87" s="60" t="n">
        <x:v>128</x:v>
      </x:c>
      <x:c r="D87" s="60" t="n">
        <x:v>256</x:v>
      </x:c>
      <x:c r="E87" s="60" t="n">
        <x:v>7168</x:v>
      </x:c>
      <x:c r="F87" s="60" t="n">
        <x:v>128</x:v>
      </x:c>
      <x:c r="G87" s="60" t="n">
        <x:v>64</x:v>
      </x:c>
      <x:c r="H87" s="60" t="n">
        <x:v>1024</x:v>
      </x:c>
      <x:c r="I87" s="60" t="n">
        <x:v>132</x:v>
      </x:c>
      <x:c r="J87" s="60" t="n">
        <x:v>66</x:v>
      </x:c>
      <x:c r="K87" s="60" t="n">
        <x:v>198</x:v>
      </x:c>
      <x:c r="L87" s="60" t="n">
        <x:v>132693</x:v>
      </x:c>
      <x:c r="M87" s="61" t="n">
        <x:f>IF(AND(ISNUMBER(L87),L87&gt;0),ROUND(C87*D87*E87/8192/L87*100,1)/100,"")</x:f>
        <x:v>0.21600000000000003</x:v>
      </x:c>
      <x:c r="N87" s="62" t="n">
        <x:f>IF(OR(F87="",G87="",H87=""),"",((I87+J87)*1024)/(F87*G87*H87/8192))</x:f>
        <x:v>198</x:v>
      </x:c>
      <x:c r="O87" s="62" t="n">
        <x:f>IF(OR(F87="",G87="",H87=""),"",(F87*G87*4)/(F87*G87*H87/8192))</x:f>
        <x:v>32</x:v>
      </x:c>
      <x:c r="P87" s="61" t="n">
        <x:f>IF(AND(ISNUMBER(N87),N87&gt;0),MIN(1,128/N87),"")</x:f>
        <x:v>0.6464646464646465</x:v>
      </x:c>
      <x:c r="Q87" s="61" t="n">
        <x:f>IF(AND(ISNUMBER(O87),O87&gt;0),MIN(1,512/O87),"")</x:f>
        <x:v>1</x:v>
      </x:c>
      <x:c r="R87" s="61" t="n">
        <x:f>IF(AND(ISNUMBER(P87),ISNUMBER(Q87)),MIN(P87,Q87),"")</x:f>
        <x:v>0.6464646464646465</x:v>
      </x:c>
      <x:c r="S87" s="62" t="n">
        <x:f>IF(AND(ISNUMBER(M87),ISNUMBER(R87)),(M87-R87)*100,"")</x:f>
        <x:v>-43.04646464646465</x:v>
      </x:c>
      <x:c r="T87" s="59" t="str">
        <x:v>PASS</x:v>
      </x:c>
      <x:c r="U87" s="63" t="str">
        <x:v>matmul_shared_lowp（MXFP8）；本轮 model-main 9b3a4405（6参数含SoC）2026-09-21</x:v>
      </x:c>
    </x:row>
    <x:row r="88" ht="19" customHeight="1">
      <x:c r="A88" s="59" t="str">
        <x:v>S2</x:v>
      </x:c>
      <x:c r="B88" s="59" t="str">
        <x:v>MXFP8</x:v>
      </x:c>
      <x:c r="C88" s="60" t="n">
        <x:v>128</x:v>
      </x:c>
      <x:c r="D88" s="60" t="n">
        <x:v>256</x:v>
      </x:c>
      <x:c r="E88" s="60" t="n">
        <x:v>7168</x:v>
      </x:c>
      <x:c r="F88" s="60" t="n">
        <x:v>128</x:v>
      </x:c>
      <x:c r="G88" s="60" t="n">
        <x:v>128</x:v>
      </x:c>
      <x:c r="H88" s="60" t="n">
        <x:v>256</x:v>
      </x:c>
      <x:c r="I88" s="60" t="n">
        <x:v>32</x:v>
      </x:c>
      <x:c r="J88" s="60" t="n">
        <x:v>32</x:v>
      </x:c>
      <x:c r="K88" s="60" t="n">
        <x:v>64</x:v>
      </x:c>
      <x:c r="L88" s="60" t="n">
        <x:v>75382</x:v>
      </x:c>
      <x:c r="M88" s="61" t="n">
        <x:f>IF(AND(ISNUMBER(L88),L88&gt;0),ROUND(C88*D88*E88/8192/L88*100,1)/100,"")</x:f>
        <x:v>0.38</x:v>
      </x:c>
      <x:c r="N88" s="62" t="n">
        <x:f>IF(OR(F88="",G88="",H88=""),"",((I88+J88)*1024)/(F88*G88*H88/8192))</x:f>
        <x:v>128</x:v>
      </x:c>
      <x:c r="O88" s="62" t="n">
        <x:f>IF(OR(F88="",G88="",H88=""),"",(F88*G88*4)/(F88*G88*H88/8192))</x:f>
        <x:v>128</x:v>
      </x:c>
      <x:c r="P88" s="61" t="n">
        <x:f>IF(AND(ISNUMBER(N88),N88&gt;0),MIN(1,128/N88),"")</x:f>
        <x:v>1</x:v>
      </x:c>
      <x:c r="Q88" s="61" t="n">
        <x:f>IF(AND(ISNUMBER(O88),O88&gt;0),MIN(1,512/O88),"")</x:f>
        <x:v>1</x:v>
      </x:c>
      <x:c r="R88" s="61" t="n">
        <x:f>IF(AND(ISNUMBER(P88),ISNUMBER(Q88)),MIN(P88,Q88),"")</x:f>
        <x:v>1</x:v>
      </x:c>
      <x:c r="S88" s="62" t="n">
        <x:f>IF(AND(ISNUMBER(M88),ISNUMBER(R88)),(M88-R88)*100,"")</x:f>
        <x:v>-62</x:v>
      </x:c>
      <x:c r="T88" s="59" t="str">
        <x:v>PASS</x:v>
      </x:c>
      <x:c r="U88" s="63" t="str">
        <x:v>matmul_shared_lowp（MXFP8）；本轮 model-main 9b3a4405（6参数含SoC）2026-09-21</x:v>
      </x:c>
    </x:row>
    <x:row r="89" ht="19" customHeight="1">
      <x:c r="A89" s="59" t="str">
        <x:v>S2</x:v>
      </x:c>
      <x:c r="B89" s="59" t="str">
        <x:v>MXFP8</x:v>
      </x:c>
      <x:c r="C89" s="60" t="n">
        <x:v>128</x:v>
      </x:c>
      <x:c r="D89" s="60" t="n">
        <x:v>256</x:v>
      </x:c>
      <x:c r="E89" s="60" t="n">
        <x:v>7168</x:v>
      </x:c>
      <x:c r="F89" s="60" t="n">
        <x:v>128</x:v>
      </x:c>
      <x:c r="G89" s="60" t="n">
        <x:v>128</x:v>
      </x:c>
      <x:c r="H89" s="60" t="n">
        <x:v>512</x:v>
      </x:c>
      <x:c r="I89" s="60" t="n">
        <x:v>64</x:v>
      </x:c>
      <x:c r="J89" s="60" t="n">
        <x:v>64</x:v>
      </x:c>
      <x:c r="K89" s="60" t="n">
        <x:v>128</x:v>
      </x:c>
      <x:c r="L89" s="60" t="n">
        <x:v>69946</x:v>
      </x:c>
      <x:c r="M89" s="61" t="n">
        <x:f>IF(AND(ISNUMBER(L89),L89&gt;0),ROUND(C89*D89*E89/8192/L89*100,1)/100,"")</x:f>
        <x:v>0.41</x:v>
      </x:c>
      <x:c r="N89" s="62" t="n">
        <x:f>IF(OR(F89="",G89="",H89=""),"",((I89+J89)*1024)/(F89*G89*H89/8192))</x:f>
        <x:v>128</x:v>
      </x:c>
      <x:c r="O89" s="62" t="n">
        <x:f>IF(OR(F89="",G89="",H89=""),"",(F89*G89*4)/(F89*G89*H89/8192))</x:f>
        <x:v>64</x:v>
      </x:c>
      <x:c r="P89" s="61" t="n">
        <x:f>IF(AND(ISNUMBER(N89),N89&gt;0),MIN(1,128/N89),"")</x:f>
        <x:v>1</x:v>
      </x:c>
      <x:c r="Q89" s="61" t="n">
        <x:f>IF(AND(ISNUMBER(O89),O89&gt;0),MIN(1,512/O89),"")</x:f>
        <x:v>1</x:v>
      </x:c>
      <x:c r="R89" s="61" t="n">
        <x:f>IF(AND(ISNUMBER(P89),ISNUMBER(Q89)),MIN(P89,Q89),"")</x:f>
        <x:v>1</x:v>
      </x:c>
      <x:c r="S89" s="62" t="n">
        <x:f>IF(AND(ISNUMBER(M89),ISNUMBER(R89)),(M89-R89)*100,"")</x:f>
        <x:v>-59.00000000000001</x:v>
      </x:c>
      <x:c r="T89" s="59" t="str">
        <x:v>PASS</x:v>
      </x:c>
      <x:c r="U89" s="63" t="str">
        <x:v>matmul_shared_lowp（MXFP8）；本轮 model-main 9b3a4405（6参数含SoC）2026-09-21</x:v>
      </x:c>
    </x:row>
    <x:row r="90" ht="19" customHeight="1">
      <x:c r="A90" s="59" t="str">
        <x:v>S2</x:v>
      </x:c>
      <x:c r="B90" s="59" t="str">
        <x:v>MXFP8</x:v>
      </x:c>
      <x:c r="C90" s="60" t="n">
        <x:v>128</x:v>
      </x:c>
      <x:c r="D90" s="60" t="n">
        <x:v>256</x:v>
      </x:c>
      <x:c r="E90" s="60" t="n">
        <x:v>7168</x:v>
      </x:c>
      <x:c r="F90" s="60" t="n">
        <x:v>128</x:v>
      </x:c>
      <x:c r="G90" s="60" t="n">
        <x:v>256</x:v>
      </x:c>
      <x:c r="H90" s="60" t="n">
        <x:v>256</x:v>
      </x:c>
      <x:c r="I90" s="60" t="n">
        <x:v>32</x:v>
      </x:c>
      <x:c r="J90" s="60" t="n">
        <x:v>64</x:v>
      </x:c>
      <x:c r="K90" s="60" t="n">
        <x:v>96</x:v>
      </x:c>
      <x:c r="L90" s="60" t="n">
        <x:v>47976</x:v>
      </x:c>
      <x:c r="M90" s="61" t="n">
        <x:f>IF(AND(ISNUMBER(L90),L90&gt;0),ROUND(C90*D90*E90/8192/L90*100,1)/100,"")</x:f>
        <x:v>0.598</x:v>
      </x:c>
      <x:c r="N90" s="62" t="n">
        <x:f>IF(OR(F90="",G90="",H90=""),"",((I90+J90)*1024)/(F90*G90*H90/8192))</x:f>
        <x:v>96</x:v>
      </x:c>
      <x:c r="O90" s="62" t="n">
        <x:f>IF(OR(F90="",G90="",H90=""),"",(F90*G90*4)/(F90*G90*H90/8192))</x:f>
        <x:v>128</x:v>
      </x:c>
      <x:c r="P90" s="61" t="n">
        <x:f>IF(AND(ISNUMBER(N90),N90&gt;0),MIN(1,128/N90),"")</x:f>
        <x:v>1</x:v>
      </x:c>
      <x:c r="Q90" s="61" t="n">
        <x:f>IF(AND(ISNUMBER(O90),O90&gt;0),MIN(1,512/O90),"")</x:f>
        <x:v>1</x:v>
      </x:c>
      <x:c r="R90" s="61" t="n">
        <x:f>IF(AND(ISNUMBER(P90),ISNUMBER(Q90)),MIN(P90,Q90),"")</x:f>
        <x:v>1</x:v>
      </x:c>
      <x:c r="S90" s="62" t="n">
        <x:f>IF(AND(ISNUMBER(M90),ISNUMBER(R90)),(M90-R90)*100,"")</x:f>
        <x:v>-40.2</x:v>
      </x:c>
      <x:c r="T90" s="59" t="str">
        <x:v>PASS</x:v>
      </x:c>
      <x:c r="U90" s="63" t="str">
        <x:v>matmul_shared_lowp（MXFP8）；本轮 model-main 9b3a4405（6参数含SoC）2026-09-21</x:v>
      </x:c>
    </x:row>
    <x:row r="91" ht="19" customHeight="1">
      <x:c r="A91" s="53" t="str">
        <x:v>S2</x:v>
      </x:c>
      <x:c r="B91" s="54" t="str">
        <x:v>MXFP8</x:v>
      </x:c>
      <x:c r="C91" s="55" t="n">
        <x:v>128</x:v>
      </x:c>
      <x:c r="D91" s="55" t="n">
        <x:v>256</x:v>
      </x:c>
      <x:c r="E91" s="55" t="n">
        <x:v>7168</x:v>
      </x:c>
      <x:c r="F91" s="55" t="n">
        <x:v>128</x:v>
      </x:c>
      <x:c r="G91" s="55" t="n">
        <x:v>256</x:v>
      </x:c>
      <x:c r="H91" s="55" t="n">
        <x:v>512</x:v>
      </x:c>
      <x:c r="I91" s="55" t="n">
        <x:v>64</x:v>
      </x:c>
      <x:c r="J91" s="55" t="n">
        <x:v>128</x:v>
      </x:c>
      <x:c r="K91" s="55" t="n">
        <x:v>192</x:v>
      </x:c>
      <x:c r="L91" s="55" t="n">
        <x:v>45829</x:v>
      </x:c>
      <x:c r="M91" s="56" t="n">
        <x:f>IF(AND(ISNUMBER(L91),L91&gt;0),ROUND(C91*D91*E91/8192/L91*100,1)/100,"")</x:f>
        <x:v>0.626</x:v>
      </x:c>
      <x:c r="N91" s="57" t="n">
        <x:f>IF(OR(F91="",G91="",H91=""),"",((I91+J91)*1024)/(F91*G91*H91/8192))</x:f>
        <x:v>96</x:v>
      </x:c>
      <x:c r="O91" s="57" t="n">
        <x:f>IF(OR(F91="",G91="",H91=""),"",(F91*G91*4)/(F91*G91*H91/8192))</x:f>
        <x:v>64</x:v>
      </x:c>
      <x:c r="P91" s="56" t="n">
        <x:f>IF(AND(ISNUMBER(N91),N91&gt;0),MIN(1,128/N91),"")</x:f>
        <x:v>1</x:v>
      </x:c>
      <x:c r="Q91" s="56" t="n">
        <x:f>IF(AND(ISNUMBER(O91),O91&gt;0),MIN(1,512/O91),"")</x:f>
        <x:v>1</x:v>
      </x:c>
      <x:c r="R91" s="56" t="n">
        <x:f>IF(AND(ISNUMBER(P91),ISNUMBER(Q91)),MIN(P91,Q91),"")</x:f>
        <x:v>1</x:v>
      </x:c>
      <x:c r="S91" s="57" t="n">
        <x:f>IF(AND(ISNUMBER(M91),ISNUMBER(R91)),(M91-R91)*100,"")</x:f>
        <x:v>-37.4</x:v>
      </x:c>
      <x:c r="T91" s="54" t="str">
        <x:v>PASS</x:v>
      </x:c>
      <x:c r="U91" s="58" t="str">
        <x:v>matmul_shared_lowp（MXFP8）；本轮 model-main 9b3a4405（6参数含SoC）2026-09-21</x:v>
      </x:c>
    </x:row>
    <x:row r="92" ht="19" customHeight="1">
      <x:c r="A92" s="59" t="str">
        <x:v>S2</x:v>
      </x:c>
      <x:c r="B92" s="59" t="str">
        <x:v>MXFP4</x:v>
      </x:c>
      <x:c r="C92" s="60" t="n">
        <x:v>128</x:v>
      </x:c>
      <x:c r="D92" s="60" t="n">
        <x:v>256</x:v>
      </x:c>
      <x:c r="E92" s="60" t="n">
        <x:v>7168</x:v>
      </x:c>
      <x:c r="F92" s="60" t="n">
        <x:v>128</x:v>
      </x:c>
      <x:c r="G92" s="60" t="n">
        <x:v>64</x:v>
      </x:c>
      <x:c r="H92" s="60" t="n">
        <x:v>256</x:v>
      </x:c>
      <x:c r="I92" s="60" t="n">
        <x:v>32</x:v>
      </x:c>
      <x:c r="J92" s="60" t="n">
        <x:v>16</x:v>
      </x:c>
      <x:c r="K92" s="60" t="n">
        <x:v>48</x:v>
      </x:c>
      <x:c r="L92" s="60" t="n">
        <x:v>149166</x:v>
      </x:c>
      <x:c r="M92" s="61" t="n">
        <x:f>IF(AND(ISNUMBER(L92),L92&gt;0),ROUND(C92*D92*E92/16384/L92*100,1)/100,"")</x:f>
        <x:v>0.096</x:v>
      </x:c>
      <x:c r="N92" s="62" t="n">
        <x:f>IF(OR(F92="",G92="",H92=""),"",((I92+J92)*1024)/(F92*G92*H92/16384))</x:f>
        <x:v>384</x:v>
      </x:c>
      <x:c r="O92" s="62" t="n">
        <x:f>IF(OR(F92="",G92="",H92=""),"",(F92*G92*4)/(F92*G92*H92/16384))</x:f>
        <x:v>256</x:v>
      </x:c>
      <x:c r="P92" s="61" t="n">
        <x:f>IF(AND(ISNUMBER(N92),N92&gt;0),MIN(1,128/N92),"")</x:f>
        <x:v>0.3333333333333333</x:v>
      </x:c>
      <x:c r="Q92" s="61" t="n">
        <x:f>IF(AND(ISNUMBER(O92),O92&gt;0),MIN(1,512/O92),"")</x:f>
        <x:v>1</x:v>
      </x:c>
      <x:c r="R92" s="61" t="n">
        <x:f>IF(AND(ISNUMBER(P92),ISNUMBER(Q92)),MIN(P92,Q92),"")</x:f>
        <x:v>0.3333333333333333</x:v>
      </x:c>
      <x:c r="S92" s="62" t="n">
        <x:f>IF(AND(ISNUMBER(M92),ISNUMBER(R92)),(M92-R92)*100,"")</x:f>
        <x:v>-23.73333333333333</x:v>
      </x:c>
      <x:c r="T92" s="59" t="str">
        <x:v>PASS</x:v>
      </x:c>
      <x:c r="U92" s="63" t="str">
        <x:v>matmul_shared_lowp（MXFP4）；本轮 model-main 9b3a4405（6参数含SoC）2026-09-21</x:v>
      </x:c>
    </x:row>
    <x:row r="93" ht="19" customHeight="1">
      <x:c r="A93" s="59" t="str">
        <x:v>S2</x:v>
      </x:c>
      <x:c r="B93" s="59" t="str">
        <x:v>MXFP4</x:v>
      </x:c>
      <x:c r="C93" s="60" t="n">
        <x:v>128</x:v>
      </x:c>
      <x:c r="D93" s="60" t="n">
        <x:v>256</x:v>
      </x:c>
      <x:c r="E93" s="60" t="n">
        <x:v>7168</x:v>
      </x:c>
      <x:c r="F93" s="60" t="n">
        <x:v>128</x:v>
      </x:c>
      <x:c r="G93" s="60" t="n">
        <x:v>64</x:v>
      </x:c>
      <x:c r="H93" s="60" t="n">
        <x:v>512</x:v>
      </x:c>
      <x:c r="I93" s="60" t="n">
        <x:v>64</x:v>
      </x:c>
      <x:c r="J93" s="60" t="n">
        <x:v>32</x:v>
      </x:c>
      <x:c r="K93" s="60" t="n">
        <x:v>96</x:v>
      </x:c>
      <x:c r="L93" s="60" t="n">
        <x:v>132380</x:v>
      </x:c>
      <x:c r="M93" s="61" t="n">
        <x:f>IF(AND(ISNUMBER(L93),L93&gt;0),ROUND(C93*D93*E93/16384/L93*100,1)/100,"")</x:f>
        <x:v>0.10800000000000001</x:v>
      </x:c>
      <x:c r="N93" s="62" t="n">
        <x:f>IF(OR(F93="",G93="",H93=""),"",((I93+J93)*1024)/(F93*G93*H93/16384))</x:f>
        <x:v>384</x:v>
      </x:c>
      <x:c r="O93" s="62" t="n">
        <x:f>IF(OR(F93="",G93="",H93=""),"",(F93*G93*4)/(F93*G93*H93/16384))</x:f>
        <x:v>128</x:v>
      </x:c>
      <x:c r="P93" s="61" t="n">
        <x:f>IF(AND(ISNUMBER(N93),N93&gt;0),MIN(1,128/N93),"")</x:f>
        <x:v>0.3333333333333333</x:v>
      </x:c>
      <x:c r="Q93" s="61" t="n">
        <x:f>IF(AND(ISNUMBER(O93),O93&gt;0),MIN(1,512/O93),"")</x:f>
        <x:v>1</x:v>
      </x:c>
      <x:c r="R93" s="61" t="n">
        <x:f>IF(AND(ISNUMBER(P93),ISNUMBER(Q93)),MIN(P93,Q93),"")</x:f>
        <x:v>0.3333333333333333</x:v>
      </x:c>
      <x:c r="S93" s="62" t="n">
        <x:f>IF(AND(ISNUMBER(M93),ISNUMBER(R93)),(M93-R93)*100,"")</x:f>
        <x:v>-22.53333333333333</x:v>
      </x:c>
      <x:c r="T93" s="59" t="str">
        <x:v>PASS</x:v>
      </x:c>
      <x:c r="U93" s="63" t="str">
        <x:v>matmul_shared_lowp（MXFP4）；本轮 model-main 9b3a4405（6参数含SoC）2026-09-21</x:v>
      </x:c>
    </x:row>
    <x:row r="94" ht="19" customHeight="1">
      <x:c r="A94" s="59" t="str">
        <x:v>S2</x:v>
      </x:c>
      <x:c r="B94" s="59" t="str">
        <x:v>MXFP4</x:v>
      </x:c>
      <x:c r="C94" s="60" t="n">
        <x:v>128</x:v>
      </x:c>
      <x:c r="D94" s="60" t="n">
        <x:v>256</x:v>
      </x:c>
      <x:c r="E94" s="60" t="n">
        <x:v>7168</x:v>
      </x:c>
      <x:c r="F94" s="60" t="n">
        <x:v>128</x:v>
      </x:c>
      <x:c r="G94" s="60" t="n">
        <x:v>64</x:v>
      </x:c>
      <x:c r="H94" s="60" t="n">
        <x:v>1024</x:v>
      </x:c>
      <x:c r="I94" s="60" t="n">
        <x:v>132</x:v>
      </x:c>
      <x:c r="J94" s="60" t="n">
        <x:v>66</x:v>
      </x:c>
      <x:c r="K94" s="60" t="n">
        <x:v>198</x:v>
      </x:c>
      <x:c r="L94" s="60" t="n">
        <x:v>131176</x:v>
      </x:c>
      <x:c r="M94" s="61" t="n">
        <x:f>IF(AND(ISNUMBER(L94),L94&gt;0),ROUND(C94*D94*E94/16384/L94*100,1)/100,"")</x:f>
        <x:v>0.109</x:v>
      </x:c>
      <x:c r="N94" s="62" t="n">
        <x:f>IF(OR(F94="",G94="",H94=""),"",((I94+J94)*1024)/(F94*G94*H94/16384))</x:f>
        <x:v>396</x:v>
      </x:c>
      <x:c r="O94" s="62" t="n">
        <x:f>IF(OR(F94="",G94="",H94=""),"",(F94*G94*4)/(F94*G94*H94/16384))</x:f>
        <x:v>64</x:v>
      </x:c>
      <x:c r="P94" s="61" t="n">
        <x:f>IF(AND(ISNUMBER(N94),N94&gt;0),MIN(1,128/N94),"")</x:f>
        <x:v>0.32323232323232326</x:v>
      </x:c>
      <x:c r="Q94" s="61" t="n">
        <x:f>IF(AND(ISNUMBER(O94),O94&gt;0),MIN(1,512/O94),"")</x:f>
        <x:v>1</x:v>
      </x:c>
      <x:c r="R94" s="61" t="n">
        <x:f>IF(AND(ISNUMBER(P94),ISNUMBER(Q94)),MIN(P94,Q94),"")</x:f>
        <x:v>0.32323232323232326</x:v>
      </x:c>
      <x:c r="S94" s="62" t="n">
        <x:f>IF(AND(ISNUMBER(M94),ISNUMBER(R94)),(M94-R94)*100,"")</x:f>
        <x:v>-21.423232323232327</x:v>
      </x:c>
      <x:c r="T94" s="59" t="str">
        <x:v>PASS</x:v>
      </x:c>
      <x:c r="U94" s="63" t="str">
        <x:v>matmul_shared_lowp（MXFP4）；本轮 model-main 9b3a4405（6参数含SoC）2026-09-21</x:v>
      </x:c>
    </x:row>
    <x:row r="95" ht="19" customHeight="1">
      <x:c r="A95" s="59" t="str">
        <x:v>S2</x:v>
      </x:c>
      <x:c r="B95" s="59" t="str">
        <x:v>MXFP4</x:v>
      </x:c>
      <x:c r="C95" s="60" t="n">
        <x:v>128</x:v>
      </x:c>
      <x:c r="D95" s="60" t="n">
        <x:v>256</x:v>
      </x:c>
      <x:c r="E95" s="60" t="n">
        <x:v>7168</x:v>
      </x:c>
      <x:c r="F95" s="60" t="n">
        <x:v>128</x:v>
      </x:c>
      <x:c r="G95" s="60" t="n">
        <x:v>128</x:v>
      </x:c>
      <x:c r="H95" s="60" t="n">
        <x:v>256</x:v>
      </x:c>
      <x:c r="I95" s="60" t="n">
        <x:v>32</x:v>
      </x:c>
      <x:c r="J95" s="60" t="n">
        <x:v>32</x:v>
      </x:c>
      <x:c r="K95" s="60" t="n">
        <x:v>64</x:v>
      </x:c>
      <x:c r="L95" s="60" t="n">
        <x:v>75434</x:v>
      </x:c>
      <x:c r="M95" s="61" t="n">
        <x:f>IF(AND(ISNUMBER(L95),L95&gt;0),ROUND(C95*D95*E95/16384/L95*100,1)/100,"")</x:f>
        <x:v>0.19</x:v>
      </x:c>
      <x:c r="N95" s="62" t="n">
        <x:f>IF(OR(F95="",G95="",H95=""),"",((I95+J95)*1024)/(F95*G95*H95/16384))</x:f>
        <x:v>256</x:v>
      </x:c>
      <x:c r="O95" s="62" t="n">
        <x:f>IF(OR(F95="",G95="",H95=""),"",(F95*G95*4)/(F95*G95*H95/16384))</x:f>
        <x:v>256</x:v>
      </x:c>
      <x:c r="P95" s="61" t="n">
        <x:f>IF(AND(ISNUMBER(N95),N95&gt;0),MIN(1,128/N95),"")</x:f>
        <x:v>0.5</x:v>
      </x:c>
      <x:c r="Q95" s="61" t="n">
        <x:f>IF(AND(ISNUMBER(O95),O95&gt;0),MIN(1,512/O95),"")</x:f>
        <x:v>1</x:v>
      </x:c>
      <x:c r="R95" s="61" t="n">
        <x:f>IF(AND(ISNUMBER(P95),ISNUMBER(Q95)),MIN(P95,Q95),"")</x:f>
        <x:v>0.5</x:v>
      </x:c>
      <x:c r="S95" s="62" t="n">
        <x:f>IF(AND(ISNUMBER(M95),ISNUMBER(R95)),(M95-R95)*100,"")</x:f>
        <x:v>-31</x:v>
      </x:c>
      <x:c r="T95" s="59" t="str">
        <x:v>PASS</x:v>
      </x:c>
      <x:c r="U95" s="63" t="str">
        <x:v>matmul_shared_lowp（MXFP4）；本轮 model-main 9b3a4405（6参数含SoC）2026-09-21</x:v>
      </x:c>
    </x:row>
    <x:row r="96" ht="19" customHeight="1">
      <x:c r="A96" s="59" t="str">
        <x:v>S2</x:v>
      </x:c>
      <x:c r="B96" s="59" t="str">
        <x:v>MXFP4</x:v>
      </x:c>
      <x:c r="C96" s="60" t="n">
        <x:v>128</x:v>
      </x:c>
      <x:c r="D96" s="60" t="n">
        <x:v>256</x:v>
      </x:c>
      <x:c r="E96" s="60" t="n">
        <x:v>7168</x:v>
      </x:c>
      <x:c r="F96" s="60" t="n">
        <x:v>128</x:v>
      </x:c>
      <x:c r="G96" s="60" t="n">
        <x:v>128</x:v>
      </x:c>
      <x:c r="H96" s="60" t="n">
        <x:v>512</x:v>
      </x:c>
      <x:c r="I96" s="60" t="n">
        <x:v>64</x:v>
      </x:c>
      <x:c r="J96" s="60" t="n">
        <x:v>64</x:v>
      </x:c>
      <x:c r="K96" s="60" t="n">
        <x:v>128</x:v>
      </x:c>
      <x:c r="L96" s="60" t="n">
        <x:v>69109</x:v>
      </x:c>
      <x:c r="M96" s="61" t="n">
        <x:f>IF(AND(ISNUMBER(L96),L96&gt;0),ROUND(C96*D96*E96/16384/L96*100,1)/100,"")</x:f>
        <x:v>0.207</x:v>
      </x:c>
      <x:c r="N96" s="62" t="n">
        <x:f>IF(OR(F96="",G96="",H96=""),"",((I96+J96)*1024)/(F96*G96*H96/16384))</x:f>
        <x:v>256</x:v>
      </x:c>
      <x:c r="O96" s="62" t="n">
        <x:f>IF(OR(F96="",G96="",H96=""),"",(F96*G96*4)/(F96*G96*H96/16384))</x:f>
        <x:v>128</x:v>
      </x:c>
      <x:c r="P96" s="61" t="n">
        <x:f>IF(AND(ISNUMBER(N96),N96&gt;0),MIN(1,128/N96),"")</x:f>
        <x:v>0.5</x:v>
      </x:c>
      <x:c r="Q96" s="61" t="n">
        <x:f>IF(AND(ISNUMBER(O96),O96&gt;0),MIN(1,512/O96),"")</x:f>
        <x:v>1</x:v>
      </x:c>
      <x:c r="R96" s="61" t="n">
        <x:f>IF(AND(ISNUMBER(P96),ISNUMBER(Q96)),MIN(P96,Q96),"")</x:f>
        <x:v>0.5</x:v>
      </x:c>
      <x:c r="S96" s="62" t="n">
        <x:f>IF(AND(ISNUMBER(M96),ISNUMBER(R96)),(M96-R96)*100,"")</x:f>
        <x:v>-29.300000000000004</x:v>
      </x:c>
      <x:c r="T96" s="59" t="str">
        <x:v>PASS</x:v>
      </x:c>
      <x:c r="U96" s="63" t="str">
        <x:v>matmul_shared_lowp（MXFP4）；本轮 model-main 9b3a4405（6参数含SoC）2026-09-21</x:v>
      </x:c>
    </x:row>
    <x:row r="97" ht="19" customHeight="1">
      <x:c r="A97" s="59" t="str">
        <x:v>S2</x:v>
      </x:c>
      <x:c r="B97" s="59" t="str">
        <x:v>MXFP4</x:v>
      </x:c>
      <x:c r="C97" s="60" t="n">
        <x:v>128</x:v>
      </x:c>
      <x:c r="D97" s="60" t="n">
        <x:v>256</x:v>
      </x:c>
      <x:c r="E97" s="60" t="n">
        <x:v>7168</x:v>
      </x:c>
      <x:c r="F97" s="60" t="n">
        <x:v>128</x:v>
      </x:c>
      <x:c r="G97" s="60" t="n">
        <x:v>256</x:v>
      </x:c>
      <x:c r="H97" s="60" t="n">
        <x:v>256</x:v>
      </x:c>
      <x:c r="I97" s="60" t="n">
        <x:v>32</x:v>
      </x:c>
      <x:c r="J97" s="60" t="n">
        <x:v>64</x:v>
      </x:c>
      <x:c r="K97" s="60" t="n">
        <x:v>96</x:v>
      </x:c>
      <x:c r="L97" s="60" t="n">
        <x:v>46559</x:v>
      </x:c>
      <x:c r="M97" s="61" t="n">
        <x:f>IF(AND(ISNUMBER(L97),L97&gt;0),ROUND(C97*D97*E97/16384/L97*100,1)/100,"")</x:f>
        <x:v>0.308</x:v>
      </x:c>
      <x:c r="N97" s="62" t="n">
        <x:f>IF(OR(F97="",G97="",H97=""),"",((I97+J97)*1024)/(F97*G97*H97/16384))</x:f>
        <x:v>192</x:v>
      </x:c>
      <x:c r="O97" s="62" t="n">
        <x:f>IF(OR(F97="",G97="",H97=""),"",(F97*G97*4)/(F97*G97*H97/16384))</x:f>
        <x:v>256</x:v>
      </x:c>
      <x:c r="P97" s="61" t="n">
        <x:f>IF(AND(ISNUMBER(N97),N97&gt;0),MIN(1,128/N97),"")</x:f>
        <x:v>0.6666666666666666</x:v>
      </x:c>
      <x:c r="Q97" s="61" t="n">
        <x:f>IF(AND(ISNUMBER(O97),O97&gt;0),MIN(1,512/O97),"")</x:f>
        <x:v>1</x:v>
      </x:c>
      <x:c r="R97" s="61" t="n">
        <x:f>IF(AND(ISNUMBER(P97),ISNUMBER(Q97)),MIN(P97,Q97),"")</x:f>
        <x:v>0.6666666666666666</x:v>
      </x:c>
      <x:c r="S97" s="62" t="n">
        <x:f>IF(AND(ISNUMBER(M97),ISNUMBER(R97)),(M97-R97)*100,"")</x:f>
        <x:v>-35.86666666666666</x:v>
      </x:c>
      <x:c r="T97" s="59" t="str">
        <x:v>PASS</x:v>
      </x:c>
      <x:c r="U97" s="63" t="str">
        <x:v>matmul_shared_lowp（MXFP4）；本轮 model-main 9b3a4405（6参数含SoC）2026-09-21</x:v>
      </x:c>
    </x:row>
    <x:row r="98" ht="19" customHeight="1">
      <x:c r="A98" s="53" t="str">
        <x:v>S2</x:v>
      </x:c>
      <x:c r="B98" s="54" t="str">
        <x:v>MXFP4</x:v>
      </x:c>
      <x:c r="C98" s="55" t="n">
        <x:v>128</x:v>
      </x:c>
      <x:c r="D98" s="55" t="n">
        <x:v>256</x:v>
      </x:c>
      <x:c r="E98" s="55" t="n">
        <x:v>7168</x:v>
      </x:c>
      <x:c r="F98" s="55" t="n">
        <x:v>128</x:v>
      </x:c>
      <x:c r="G98" s="55" t="n">
        <x:v>256</x:v>
      </x:c>
      <x:c r="H98" s="55" t="n">
        <x:v>512</x:v>
      </x:c>
      <x:c r="I98" s="55" t="n">
        <x:v>64</x:v>
      </x:c>
      <x:c r="J98" s="55" t="n">
        <x:v>128</x:v>
      </x:c>
      <x:c r="K98" s="55" t="n">
        <x:v>192</x:v>
      </x:c>
      <x:c r="L98" s="55" t="n">
        <x:v>44993</x:v>
      </x:c>
      <x:c r="M98" s="56" t="n">
        <x:f>IF(AND(ISNUMBER(L98),L98&gt;0),ROUND(C98*D98*E98/16384/L98*100,1)/100,"")</x:f>
        <x:v>0.319</x:v>
      </x:c>
      <x:c r="N98" s="57" t="n">
        <x:f>IF(OR(F98="",G98="",H98=""),"",((I98+J98)*1024)/(F98*G98*H98/16384))</x:f>
        <x:v>192</x:v>
      </x:c>
      <x:c r="O98" s="57" t="n">
        <x:f>IF(OR(F98="",G98="",H98=""),"",(F98*G98*4)/(F98*G98*H98/16384))</x:f>
        <x:v>128</x:v>
      </x:c>
      <x:c r="P98" s="56" t="n">
        <x:f>IF(AND(ISNUMBER(N98),N98&gt;0),MIN(1,128/N98),"")</x:f>
        <x:v>0.6666666666666666</x:v>
      </x:c>
      <x:c r="Q98" s="56" t="n">
        <x:f>IF(AND(ISNUMBER(O98),O98&gt;0),MIN(1,512/O98),"")</x:f>
        <x:v>1</x:v>
      </x:c>
      <x:c r="R98" s="56" t="n">
        <x:f>IF(AND(ISNUMBER(P98),ISNUMBER(Q98)),MIN(P98,Q98),"")</x:f>
        <x:v>0.6666666666666666</x:v>
      </x:c>
      <x:c r="S98" s="57" t="n">
        <x:f>IF(AND(ISNUMBER(M98),ISNUMBER(R98)),(M98-R98)*100,"")</x:f>
        <x:v>-34.766666666666666</x:v>
      </x:c>
      <x:c r="T98" s="54" t="str">
        <x:v>PASS</x:v>
      </x:c>
      <x:c r="U98" s="58" t="str">
        <x:v>matmul_shared_lowp（MXFP4）；本轮 model-main 9b3a4405（6参数含SoC）2026-09-21</x:v>
      </x:c>
    </x:row>
    <x:row r="99" ht="19" customHeight="1">
      <x:c r="A99" s="64" t="str">
        <x:v>S3</x:v>
      </x:c>
      <x:c r="B99" s="64" t="str">
        <x:v>FP32</x:v>
      </x:c>
      <x:c r="C99" s="65" t="n">
        <x:v>256</x:v>
      </x:c>
      <x:c r="D99" s="65" t="n">
        <x:v>128</x:v>
      </x:c>
      <x:c r="E99" s="65" t="n">
        <x:v>7168</x:v>
      </x:c>
      <x:c r="F99" s="65" t="n">
        <x:v>128</x:v>
      </x:c>
      <x:c r="G99" s="65" t="n">
        <x:v>64</x:v>
      </x:c>
      <x:c r="H99" s="65" t="n">
        <x:v>64</x:v>
      </x:c>
      <x:c r="I99" s="65" t="n">
        <x:v>32</x:v>
      </x:c>
      <x:c r="J99" s="65" t="n">
        <x:v>16</x:v>
      </x:c>
      <x:c r="K99" s="65" t="n">
        <x:v>48</x:v>
      </x:c>
      <x:c r="L99" s="65" t="str">
        <x:v>—</x:v>
      </x:c>
      <x:c r="M99" s="66" t="str">
        <x:f>IF(AND(ISNUMBER(L99),L99&gt;0),ROUND(C99*D99*E99/2048/L99*100,1)/100,"")</x:f>
      </x:c>
      <x:c r="N99" s="67" t="n">
        <x:f>IF(OR(F99="",G99="",H99=""),"",((I99+J99)*1024)/(F99*G99*H99/2048))</x:f>
        <x:v>192</x:v>
      </x:c>
      <x:c r="O99" s="67" t="n">
        <x:f>IF(OR(F99="",G99="",H99=""),"",(F99*G99*4)/(F99*G99*H99/2048))</x:f>
        <x:v>128</x:v>
      </x:c>
      <x:c r="P99" s="66" t="n">
        <x:f>IF(AND(ISNUMBER(N99),N99&gt;0),MIN(1,128/N99),"")</x:f>
        <x:v>0.6666666666666666</x:v>
      </x:c>
      <x:c r="Q99" s="66" t="n">
        <x:f>IF(AND(ISNUMBER(O99),O99&gt;0),MIN(1,512/O99),"")</x:f>
        <x:v>1</x:v>
      </x:c>
      <x:c r="R99" s="66" t="n">
        <x:f>IF(AND(ISNUMBER(P99),ISNUMBER(Q99)),MIN(P99,Q99),"")</x:f>
        <x:v>0.6666666666666666</x:v>
      </x:c>
      <x:c r="S99" s="67" t="str">
        <x:f>IF(AND(ISNUMBER(M99),ISNUMBER(R99)),(M99-R99)*100,"")</x:f>
      </x:c>
      <x:c r="T99" s="64" t="str">
        <x:v>DEADLOCK</x:v>
      </x:c>
      <x:c r="U99" s="68" t="str">
        <x:v>gfsim 死锁：无新 block 提交；本轮 model-main 9b3a4405（6参数含SoC）2026-09-22</x:v>
      </x:c>
    </x:row>
    <x:row r="100" ht="19" customHeight="1">
      <x:c r="A100" s="64" t="str">
        <x:v>S3</x:v>
      </x:c>
      <x:c r="B100" s="64" t="str">
        <x:v>FP32</x:v>
      </x:c>
      <x:c r="C100" s="65" t="n">
        <x:v>256</x:v>
      </x:c>
      <x:c r="D100" s="65" t="n">
        <x:v>128</x:v>
      </x:c>
      <x:c r="E100" s="65" t="n">
        <x:v>7168</x:v>
      </x:c>
      <x:c r="F100" s="65" t="n">
        <x:v>128</x:v>
      </x:c>
      <x:c r="G100" s="65" t="n">
        <x:v>64</x:v>
      </x:c>
      <x:c r="H100" s="65" t="n">
        <x:v>128</x:v>
      </x:c>
      <x:c r="I100" s="65" t="n">
        <x:v>64</x:v>
      </x:c>
      <x:c r="J100" s="65" t="n">
        <x:v>32</x:v>
      </x:c>
      <x:c r="K100" s="65" t="n">
        <x:v>96</x:v>
      </x:c>
      <x:c r="L100" s="65" t="n">
        <x:v>299769</x:v>
      </x:c>
      <x:c r="M100" s="66" t="n">
        <x:f>IF(AND(ISNUMBER(L100),L100&gt;0),ROUND(C100*D100*E100/2048/L100*100,1)/100,"")</x:f>
        <x:v>0.38299999999999995</x:v>
      </x:c>
      <x:c r="N100" s="67" t="n">
        <x:f>IF(OR(F100="",G100="",H100=""),"",((I100+J100)*1024)/(F100*G100*H100/2048))</x:f>
        <x:v>192</x:v>
      </x:c>
      <x:c r="O100" s="67" t="n">
        <x:f>IF(OR(F100="",G100="",H100=""),"",(F100*G100*4)/(F100*G100*H100/2048))</x:f>
        <x:v>64</x:v>
      </x:c>
      <x:c r="P100" s="66" t="n">
        <x:f>IF(AND(ISNUMBER(N100),N100&gt;0),MIN(1,128/N100),"")</x:f>
        <x:v>0.6666666666666666</x:v>
      </x:c>
      <x:c r="Q100" s="66" t="n">
        <x:f>IF(AND(ISNUMBER(O100),O100&gt;0),MIN(1,512/O100),"")</x:f>
        <x:v>1</x:v>
      </x:c>
      <x:c r="R100" s="66" t="n">
        <x:f>IF(AND(ISNUMBER(P100),ISNUMBER(Q100)),MIN(P100,Q100),"")</x:f>
        <x:v>0.6666666666666666</x:v>
      </x:c>
      <x:c r="S100" s="67" t="n">
        <x:f>IF(AND(ISNUMBER(M100),ISNUMBER(R100)),(M100-R100)*100,"")</x:f>
        <x:v>-28.366666666666667</x:v>
      </x:c>
      <x:c r="T100" s="64" t="str">
        <x:v>PASS</x:v>
      </x:c>
      <x:c r="U100" s="68" t="str">
        <x:v>本轮 model-main 9b3a4405（6参数含SoC）2026-09-22</x:v>
      </x:c>
    </x:row>
    <x:row r="101" ht="19" customHeight="1">
      <x:c r="A101" s="64" t="str">
        <x:v>S3</x:v>
      </x:c>
      <x:c r="B101" s="64" t="str">
        <x:v>FP32</x:v>
      </x:c>
      <x:c r="C101" s="65" t="n">
        <x:v>256</x:v>
      </x:c>
      <x:c r="D101" s="65" t="n">
        <x:v>128</x:v>
      </x:c>
      <x:c r="E101" s="65" t="n">
        <x:v>7168</x:v>
      </x:c>
      <x:c r="F101" s="65" t="n">
        <x:v>128</x:v>
      </x:c>
      <x:c r="G101" s="65" t="n">
        <x:v>64</x:v>
      </x:c>
      <x:c r="H101" s="65" t="n">
        <x:v>256</x:v>
      </x:c>
      <x:c r="I101" s="65" t="n">
        <x:v>128</x:v>
      </x:c>
      <x:c r="J101" s="65" t="n">
        <x:v>64</x:v>
      </x:c>
      <x:c r="K101" s="65" t="n">
        <x:v>192</x:v>
      </x:c>
      <x:c r="L101" s="65" t="n">
        <x:v>300649</x:v>
      </x:c>
      <x:c r="M101" s="66" t="n">
        <x:f>IF(AND(ISNUMBER(L101),L101&gt;0),ROUND(C101*D101*E101/2048/L101*100,1)/100,"")</x:f>
        <x:v>0.381</x:v>
      </x:c>
      <x:c r="N101" s="67" t="n">
        <x:f>IF(OR(F101="",G101="",H101=""),"",((I101+J101)*1024)/(F101*G101*H101/2048))</x:f>
        <x:v>192</x:v>
      </x:c>
      <x:c r="O101" s="67" t="n">
        <x:f>IF(OR(F101="",G101="",H101=""),"",(F101*G101*4)/(F101*G101*H101/2048))</x:f>
        <x:v>32</x:v>
      </x:c>
      <x:c r="P101" s="66" t="n">
        <x:f>IF(AND(ISNUMBER(N101),N101&gt;0),MIN(1,128/N101),"")</x:f>
        <x:v>0.6666666666666666</x:v>
      </x:c>
      <x:c r="Q101" s="66" t="n">
        <x:f>IF(AND(ISNUMBER(O101),O101&gt;0),MIN(1,512/O101),"")</x:f>
        <x:v>1</x:v>
      </x:c>
      <x:c r="R101" s="66" t="n">
        <x:f>IF(AND(ISNUMBER(P101),ISNUMBER(Q101)),MIN(P101,Q101),"")</x:f>
        <x:v>0.6666666666666666</x:v>
      </x:c>
      <x:c r="S101" s="67" t="n">
        <x:f>IF(AND(ISNUMBER(M101),ISNUMBER(R101)),(M101-R101)*100,"")</x:f>
        <x:v>-28.566666666666663</x:v>
      </x:c>
      <x:c r="T101" s="64" t="str">
        <x:v>PASS</x:v>
      </x:c>
      <x:c r="U101" s="68" t="str">
        <x:v>本轮 model-main 9b3a4405（6参数含SoC）2026-09-22</x:v>
      </x:c>
    </x:row>
    <x:row r="102" ht="19" customHeight="1">
      <x:c r="A102" s="53" t="str">
        <x:v>S3</x:v>
      </x:c>
      <x:c r="B102" s="54" t="str">
        <x:v>FP32</x:v>
      </x:c>
      <x:c r="C102" s="55" t="n">
        <x:v>256</x:v>
      </x:c>
      <x:c r="D102" s="55" t="n">
        <x:v>128</x:v>
      </x:c>
      <x:c r="E102" s="55" t="n">
        <x:v>7168</x:v>
      </x:c>
      <x:c r="F102" s="55" t="n">
        <x:v>128</x:v>
      </x:c>
      <x:c r="G102" s="55" t="n">
        <x:v>128</x:v>
      </x:c>
      <x:c r="H102" s="55" t="n">
        <x:v>64</x:v>
      </x:c>
      <x:c r="I102" s="55" t="n">
        <x:v>32</x:v>
      </x:c>
      <x:c r="J102" s="55" t="n">
        <x:v>32</x:v>
      </x:c>
      <x:c r="K102" s="55" t="n">
        <x:v>64</x:v>
      </x:c>
      <x:c r="L102" s="55" t="n">
        <x:v>200381</x:v>
      </x:c>
      <x:c r="M102" s="56" t="n">
        <x:f>IF(AND(ISNUMBER(L102),L102&gt;0),ROUND(C102*D102*E102/2048/L102*100,1)/100,"")</x:f>
        <x:v>0.5720000000000001</x:v>
      </x:c>
      <x:c r="N102" s="57" t="n">
        <x:f>IF(OR(F102="",G102="",H102=""),"",((I102+J102)*1024)/(F102*G102*H102/2048))</x:f>
        <x:v>128</x:v>
      </x:c>
      <x:c r="O102" s="57" t="n">
        <x:f>IF(OR(F102="",G102="",H102=""),"",(F102*G102*4)/(F102*G102*H102/2048))</x:f>
        <x:v>128</x:v>
      </x:c>
      <x:c r="P102" s="56" t="n">
        <x:f>IF(AND(ISNUMBER(N102),N102&gt;0),MIN(1,128/N102),"")</x:f>
        <x:v>1</x:v>
      </x:c>
      <x:c r="Q102" s="56" t="n">
        <x:f>IF(AND(ISNUMBER(O102),O102&gt;0),MIN(1,512/O102),"")</x:f>
        <x:v>1</x:v>
      </x:c>
      <x:c r="R102" s="56" t="n">
        <x:f>IF(AND(ISNUMBER(P102),ISNUMBER(Q102)),MIN(P102,Q102),"")</x:f>
        <x:v>1</x:v>
      </x:c>
      <x:c r="S102" s="57" t="n">
        <x:f>IF(AND(ISNUMBER(M102),ISNUMBER(R102)),(M102-R102)*100,"")</x:f>
        <x:v>-42.8</x:v>
      </x:c>
      <x:c r="T102" s="54" t="str">
        <x:v>PASS</x:v>
      </x:c>
      <x:c r="U102" s="58" t="str">
        <x:v>本轮 model-main 9b3a4405（6参数含SoC）2026-09-22</x:v>
      </x:c>
    </x:row>
    <x:row r="103" ht="19" customHeight="1">
      <x:c r="A103" s="64" t="str">
        <x:v>S3</x:v>
      </x:c>
      <x:c r="B103" s="64" t="str">
        <x:v>FP32</x:v>
      </x:c>
      <x:c r="C103" s="65" t="n">
        <x:v>256</x:v>
      </x:c>
      <x:c r="D103" s="65" t="n">
        <x:v>128</x:v>
      </x:c>
      <x:c r="E103" s="65" t="n">
        <x:v>7168</x:v>
      </x:c>
      <x:c r="F103" s="65" t="n">
        <x:v>128</x:v>
      </x:c>
      <x:c r="G103" s="65" t="n">
        <x:v>128</x:v>
      </x:c>
      <x:c r="H103" s="65" t="n">
        <x:v>128</x:v>
      </x:c>
      <x:c r="I103" s="65" t="n">
        <x:v>64</x:v>
      </x:c>
      <x:c r="J103" s="65" t="n">
        <x:v>64</x:v>
      </x:c>
      <x:c r="K103" s="65" t="n">
        <x:v>128</x:v>
      </x:c>
      <x:c r="L103" s="65" t="n">
        <x:v>200970</x:v>
      </x:c>
      <x:c r="M103" s="66" t="n">
        <x:f>IF(AND(ISNUMBER(L103),L103&gt;0),ROUND(C103*D103*E103/2048/L103*100,1)/100,"")</x:f>
        <x:v>0.5710000000000001</x:v>
      </x:c>
      <x:c r="N103" s="67" t="n">
        <x:f>IF(OR(F103="",G103="",H103=""),"",((I103+J103)*1024)/(F103*G103*H103/2048))</x:f>
        <x:v>128</x:v>
      </x:c>
      <x:c r="O103" s="67" t="n">
        <x:f>IF(OR(F103="",G103="",H103=""),"",(F103*G103*4)/(F103*G103*H103/2048))</x:f>
        <x:v>64</x:v>
      </x:c>
      <x:c r="P103" s="66" t="n">
        <x:f>IF(AND(ISNUMBER(N103),N103&gt;0),MIN(1,128/N103),"")</x:f>
        <x:v>1</x:v>
      </x:c>
      <x:c r="Q103" s="66" t="n">
        <x:f>IF(AND(ISNUMBER(O103),O103&gt;0),MIN(1,512/O103),"")</x:f>
        <x:v>1</x:v>
      </x:c>
      <x:c r="R103" s="66" t="n">
        <x:f>IF(AND(ISNUMBER(P103),ISNUMBER(Q103)),MIN(P103,Q103),"")</x:f>
        <x:v>1</x:v>
      </x:c>
      <x:c r="S103" s="67" t="n">
        <x:f>IF(AND(ISNUMBER(M103),ISNUMBER(R103)),(M103-R103)*100,"")</x:f>
        <x:v>-42.89999999999999</x:v>
      </x:c>
      <x:c r="T103" s="64" t="str">
        <x:v>PASS</x:v>
      </x:c>
      <x:c r="U103" s="68" t="str">
        <x:v>本轮 model-main 9b3a4405（6参数含SoC）2026-09-22</x:v>
      </x:c>
    </x:row>
    <x:row r="104" ht="19" customHeight="1">
      <x:c r="A104" s="64" t="str">
        <x:v>S3</x:v>
      </x:c>
      <x:c r="B104" s="64" t="str">
        <x:v>FP32</x:v>
      </x:c>
      <x:c r="C104" s="65" t="n">
        <x:v>256</x:v>
      </x:c>
      <x:c r="D104" s="65" t="n">
        <x:v>128</x:v>
      </x:c>
      <x:c r="E104" s="65" t="n">
        <x:v>7168</x:v>
      </x:c>
      <x:c r="F104" s="65" t="n">
        <x:v>128</x:v>
      </x:c>
      <x:c r="G104" s="65" t="n">
        <x:v>128</x:v>
      </x:c>
      <x:c r="H104" s="65" t="n">
        <x:v>256</x:v>
      </x:c>
      <x:c r="I104" s="65" t="n">
        <x:v>128</x:v>
      </x:c>
      <x:c r="J104" s="65" t="n">
        <x:v>128</x:v>
      </x:c>
      <x:c r="K104" s="65" t="n">
        <x:v>256</x:v>
      </x:c>
      <x:c r="L104" s="65" t="n">
        <x:v>202521</x:v>
      </x:c>
      <x:c r="M104" s="66" t="n">
        <x:f>IF(AND(ISNUMBER(L104),L104&gt;0),ROUND(C104*D104*E104/2048/L104*100,1)/100,"")</x:f>
        <x:v>0.5660000000000001</x:v>
      </x:c>
      <x:c r="N104" s="67" t="n">
        <x:f>IF(OR(F104="",G104="",H104=""),"",((I104+J104)*1024)/(F104*G104*H104/2048))</x:f>
        <x:v>128</x:v>
      </x:c>
      <x:c r="O104" s="67" t="n">
        <x:f>IF(OR(F104="",G104="",H104=""),"",(F104*G104*4)/(F104*G104*H104/2048))</x:f>
        <x:v>32</x:v>
      </x:c>
      <x:c r="P104" s="66" t="n">
        <x:f>IF(AND(ISNUMBER(N104),N104&gt;0),MIN(1,128/N104),"")</x:f>
        <x:v>1</x:v>
      </x:c>
      <x:c r="Q104" s="66" t="n">
        <x:f>IF(AND(ISNUMBER(O104),O104&gt;0),MIN(1,512/O104),"")</x:f>
        <x:v>1</x:v>
      </x:c>
      <x:c r="R104" s="66" t="n">
        <x:f>IF(AND(ISNUMBER(P104),ISNUMBER(Q104)),MIN(P104,Q104),"")</x:f>
        <x:v>1</x:v>
      </x:c>
      <x:c r="S104" s="67" t="n">
        <x:f>IF(AND(ISNUMBER(M104),ISNUMBER(R104)),(M104-R104)*100,"")</x:f>
        <x:v>-43.39999999999999</x:v>
      </x:c>
      <x:c r="T104" s="64" t="str">
        <x:v>PASS</x:v>
      </x:c>
      <x:c r="U104" s="68" t="str">
        <x:v>本轮 model-main 9b3a4405（6参数含SoC）2026-09-22</x:v>
      </x:c>
    </x:row>
    <x:row r="105" ht="19" customHeight="1">
      <x:c r="A105" s="64" t="str">
        <x:v>S3</x:v>
      </x:c>
      <x:c r="B105" s="64" t="str">
        <x:v>BF16</x:v>
      </x:c>
      <x:c r="C105" s="65" t="n">
        <x:v>256</x:v>
      </x:c>
      <x:c r="D105" s="65" t="n">
        <x:v>128</x:v>
      </x:c>
      <x:c r="E105" s="65" t="n">
        <x:v>7168</x:v>
      </x:c>
      <x:c r="F105" s="65" t="n">
        <x:v>128</x:v>
      </x:c>
      <x:c r="G105" s="65" t="n">
        <x:v>64</x:v>
      </x:c>
      <x:c r="H105" s="65" t="n">
        <x:v>64</x:v>
      </x:c>
      <x:c r="I105" s="65" t="n">
        <x:v>16</x:v>
      </x:c>
      <x:c r="J105" s="65" t="n">
        <x:v>8</x:v>
      </x:c>
      <x:c r="K105" s="65" t="n">
        <x:v>24</x:v>
      </x:c>
      <x:c r="L105" s="65" t="str">
        <x:v>—</x:v>
      </x:c>
      <x:c r="M105" s="66" t="str">
        <x:f>IF(AND(ISNUMBER(L105),L105&gt;0),ROUND(C105*D105*E105/4096/L105*100,1)/100,"")</x:f>
      </x:c>
      <x:c r="N105" s="67" t="n">
        <x:f>IF(OR(F105="",G105="",H105=""),"",((I105+J105)*1024)/(F105*G105*H105/4096))</x:f>
        <x:v>192</x:v>
      </x:c>
      <x:c r="O105" s="67" t="n">
        <x:f>IF(OR(F105="",G105="",H105=""),"",(F105*G105*4)/(F105*G105*H105/4096))</x:f>
        <x:v>256</x:v>
      </x:c>
      <x:c r="P105" s="66" t="n">
        <x:f>IF(AND(ISNUMBER(N105),N105&gt;0),MIN(1,128/N105),"")</x:f>
        <x:v>0.6666666666666666</x:v>
      </x:c>
      <x:c r="Q105" s="66" t="n">
        <x:f>IF(AND(ISNUMBER(O105),O105&gt;0),MIN(1,512/O105),"")</x:f>
        <x:v>1</x:v>
      </x:c>
      <x:c r="R105" s="66" t="n">
        <x:f>IF(AND(ISNUMBER(P105),ISNUMBER(Q105)),MIN(P105,Q105),"")</x:f>
        <x:v>0.6666666666666666</x:v>
      </x:c>
      <x:c r="S105" s="67" t="str">
        <x:f>IF(AND(ISNUMBER(M105),ISNUMBER(R105)),(M105-R105)*100,"")</x:f>
      </x:c>
      <x:c r="T105" s="64" t="str">
        <x:v>DEADLOCK</x:v>
      </x:c>
      <x:c r="U105" s="68" t="str">
        <x:v>gfsim 死锁：无新 block 提交；本轮 model-main 9b3a4405（6参数含SoC）2026-09-22</x:v>
      </x:c>
    </x:row>
    <x:row r="106" ht="19" customHeight="1">
      <x:c r="A106" s="64" t="str">
        <x:v>S3</x:v>
      </x:c>
      <x:c r="B106" s="64" t="str">
        <x:v>BF16</x:v>
      </x:c>
      <x:c r="C106" s="65" t="n">
        <x:v>256</x:v>
      </x:c>
      <x:c r="D106" s="65" t="n">
        <x:v>128</x:v>
      </x:c>
      <x:c r="E106" s="65" t="n">
        <x:v>7168</x:v>
      </x:c>
      <x:c r="F106" s="65" t="n">
        <x:v>128</x:v>
      </x:c>
      <x:c r="G106" s="65" t="n">
        <x:v>64</x:v>
      </x:c>
      <x:c r="H106" s="65" t="n">
        <x:v>128</x:v>
      </x:c>
      <x:c r="I106" s="65" t="n">
        <x:v>32</x:v>
      </x:c>
      <x:c r="J106" s="65" t="n">
        <x:v>16</x:v>
      </x:c>
      <x:c r="K106" s="65" t="n">
        <x:v>48</x:v>
      </x:c>
      <x:c r="L106" s="65" t="n">
        <x:v>160958</x:v>
      </x:c>
      <x:c r="M106" s="66" t="n">
        <x:f>IF(AND(ISNUMBER(L106),L106&gt;0),ROUND(C106*D106*E106/4096/L106*100,1)/100,"")</x:f>
        <x:v>0.35600000000000004</x:v>
      </x:c>
      <x:c r="N106" s="67" t="n">
        <x:f>IF(OR(F106="",G106="",H106=""),"",((I106+J106)*1024)/(F106*G106*H106/4096))</x:f>
        <x:v>192</x:v>
      </x:c>
      <x:c r="O106" s="67" t="n">
        <x:f>IF(OR(F106="",G106="",H106=""),"",(F106*G106*4)/(F106*G106*H106/4096))</x:f>
        <x:v>128</x:v>
      </x:c>
      <x:c r="P106" s="66" t="n">
        <x:f>IF(AND(ISNUMBER(N106),N106&gt;0),MIN(1,128/N106),"")</x:f>
        <x:v>0.6666666666666666</x:v>
      </x:c>
      <x:c r="Q106" s="66" t="n">
        <x:f>IF(AND(ISNUMBER(O106),O106&gt;0),MIN(1,512/O106),"")</x:f>
        <x:v>1</x:v>
      </x:c>
      <x:c r="R106" s="66" t="n">
        <x:f>IF(AND(ISNUMBER(P106),ISNUMBER(Q106)),MIN(P106,Q106),"")</x:f>
        <x:v>0.6666666666666666</x:v>
      </x:c>
      <x:c r="S106" s="67" t="n">
        <x:f>IF(AND(ISNUMBER(M106),ISNUMBER(R106)),(M106-R106)*100,"")</x:f>
        <x:v>-31.06666666666666</x:v>
      </x:c>
      <x:c r="T106" s="64" t="str">
        <x:v>PASS</x:v>
      </x:c>
      <x:c r="U106" s="68" t="str">
        <x:v>本轮 model-main 9b3a4405（6参数含SoC）2026-09-22</x:v>
      </x:c>
    </x:row>
    <x:row r="107" ht="19" customHeight="1">
      <x:c r="A107" s="64" t="str">
        <x:v>S3</x:v>
      </x:c>
      <x:c r="B107" s="64" t="str">
        <x:v>BF16</x:v>
      </x:c>
      <x:c r="C107" s="65" t="n">
        <x:v>256</x:v>
      </x:c>
      <x:c r="D107" s="65" t="n">
        <x:v>128</x:v>
      </x:c>
      <x:c r="E107" s="65" t="n">
        <x:v>7168</x:v>
      </x:c>
      <x:c r="F107" s="65" t="n">
        <x:v>128</x:v>
      </x:c>
      <x:c r="G107" s="65" t="n">
        <x:v>64</x:v>
      </x:c>
      <x:c r="H107" s="65" t="n">
        <x:v>256</x:v>
      </x:c>
      <x:c r="I107" s="65" t="n">
        <x:v>64</x:v>
      </x:c>
      <x:c r="J107" s="65" t="n">
        <x:v>32</x:v>
      </x:c>
      <x:c r="K107" s="65" t="n">
        <x:v>96</x:v>
      </x:c>
      <x:c r="L107" s="65" t="n">
        <x:v>162773</x:v>
      </x:c>
      <x:c r="M107" s="66" t="n">
        <x:f>IF(AND(ISNUMBER(L107),L107&gt;0),ROUND(C107*D107*E107/4096/L107*100,1)/100,"")</x:f>
        <x:v>0.35200000000000004</x:v>
      </x:c>
      <x:c r="N107" s="67" t="n">
        <x:f>IF(OR(F107="",G107="",H107=""),"",((I107+J107)*1024)/(F107*G107*H107/4096))</x:f>
        <x:v>192</x:v>
      </x:c>
      <x:c r="O107" s="67" t="n">
        <x:f>IF(OR(F107="",G107="",H107=""),"",(F107*G107*4)/(F107*G107*H107/4096))</x:f>
        <x:v>64</x:v>
      </x:c>
      <x:c r="P107" s="66" t="n">
        <x:f>IF(AND(ISNUMBER(N107),N107&gt;0),MIN(1,128/N107),"")</x:f>
        <x:v>0.6666666666666666</x:v>
      </x:c>
      <x:c r="Q107" s="66" t="n">
        <x:f>IF(AND(ISNUMBER(O107),O107&gt;0),MIN(1,512/O107),"")</x:f>
        <x:v>1</x:v>
      </x:c>
      <x:c r="R107" s="66" t="n">
        <x:f>IF(AND(ISNUMBER(P107),ISNUMBER(Q107)),MIN(P107,Q107),"")</x:f>
        <x:v>0.6666666666666666</x:v>
      </x:c>
      <x:c r="S107" s="67" t="n">
        <x:f>IF(AND(ISNUMBER(M107),ISNUMBER(R107)),(M107-R107)*100,"")</x:f>
        <x:v>-31.466666666666658</x:v>
      </x:c>
      <x:c r="T107" s="64" t="str">
        <x:v>PASS</x:v>
      </x:c>
      <x:c r="U107" s="68" t="str">
        <x:v>本轮 model-main 9b3a4405（6参数含SoC）2026-09-22</x:v>
      </x:c>
    </x:row>
    <x:row r="108" ht="19" customHeight="1">
      <x:c r="A108" s="64" t="str">
        <x:v>S3</x:v>
      </x:c>
      <x:c r="B108" s="64" t="str">
        <x:v>BF16</x:v>
      </x:c>
      <x:c r="C108" s="65" t="n">
        <x:v>256</x:v>
      </x:c>
      <x:c r="D108" s="65" t="n">
        <x:v>128</x:v>
      </x:c>
      <x:c r="E108" s="65" t="n">
        <x:v>7168</x:v>
      </x:c>
      <x:c r="F108" s="65" t="n">
        <x:v>128</x:v>
      </x:c>
      <x:c r="G108" s="65" t="n">
        <x:v>64</x:v>
      </x:c>
      <x:c r="H108" s="65" t="n">
        <x:v>512</x:v>
      </x:c>
      <x:c r="I108" s="65" t="n">
        <x:v>128</x:v>
      </x:c>
      <x:c r="J108" s="65" t="n">
        <x:v>64</x:v>
      </x:c>
      <x:c r="K108" s="65" t="n">
        <x:v>192</x:v>
      </x:c>
      <x:c r="L108" s="65" t="n">
        <x:v>165549</x:v>
      </x:c>
      <x:c r="M108" s="66" t="n">
        <x:f>IF(AND(ISNUMBER(L108),L108&gt;0),ROUND(C108*D108*E108/4096/L108*100,1)/100,"")</x:f>
        <x:v>0.34600000000000003</x:v>
      </x:c>
      <x:c r="N108" s="67" t="n">
        <x:f>IF(OR(F108="",G108="",H108=""),"",((I108+J108)*1024)/(F108*G108*H108/4096))</x:f>
        <x:v>192</x:v>
      </x:c>
      <x:c r="O108" s="67" t="n">
        <x:f>IF(OR(F108="",G108="",H108=""),"",(F108*G108*4)/(F108*G108*H108/4096))</x:f>
        <x:v>32</x:v>
      </x:c>
      <x:c r="P108" s="66" t="n">
        <x:f>IF(AND(ISNUMBER(N108),N108&gt;0),MIN(1,128/N108),"")</x:f>
        <x:v>0.6666666666666666</x:v>
      </x:c>
      <x:c r="Q108" s="66" t="n">
        <x:f>IF(AND(ISNUMBER(O108),O108&gt;0),MIN(1,512/O108),"")</x:f>
        <x:v>1</x:v>
      </x:c>
      <x:c r="R108" s="66" t="n">
        <x:f>IF(AND(ISNUMBER(P108),ISNUMBER(Q108)),MIN(P108,Q108),"")</x:f>
        <x:v>0.6666666666666666</x:v>
      </x:c>
      <x:c r="S108" s="67" t="n">
        <x:f>IF(AND(ISNUMBER(M108),ISNUMBER(R108)),(M108-R108)*100,"")</x:f>
        <x:v>-32.06666666666666</x:v>
      </x:c>
      <x:c r="T108" s="64" t="str">
        <x:v>PASS</x:v>
      </x:c>
      <x:c r="U108" s="68" t="str">
        <x:v>本轮 model-main 9b3a4405（6参数含SoC）2026-09-22</x:v>
      </x:c>
    </x:row>
    <x:row r="109" ht="19" customHeight="1">
      <x:c r="A109" s="64" t="str">
        <x:v>S3</x:v>
      </x:c>
      <x:c r="B109" s="64" t="str">
        <x:v>BF16</x:v>
      </x:c>
      <x:c r="C109" s="65" t="n">
        <x:v>256</x:v>
      </x:c>
      <x:c r="D109" s="65" t="n">
        <x:v>128</x:v>
      </x:c>
      <x:c r="E109" s="65" t="n">
        <x:v>7168</x:v>
      </x:c>
      <x:c r="F109" s="65" t="n">
        <x:v>128</x:v>
      </x:c>
      <x:c r="G109" s="65" t="n">
        <x:v>128</x:v>
      </x:c>
      <x:c r="H109" s="65" t="n">
        <x:v>64</x:v>
      </x:c>
      <x:c r="I109" s="65" t="n">
        <x:v>16</x:v>
      </x:c>
      <x:c r="J109" s="65" t="n">
        <x:v>16</x:v>
      </x:c>
      <x:c r="K109" s="65" t="n">
        <x:v>32</x:v>
      </x:c>
      <x:c r="L109" s="65" t="n">
        <x:v>105739</x:v>
      </x:c>
      <x:c r="M109" s="66" t="n">
        <x:f>IF(AND(ISNUMBER(L109),L109&gt;0),ROUND(C109*D109*E109/4096/L109*100,1)/100,"")</x:f>
        <x:v>0.542</x:v>
      </x:c>
      <x:c r="N109" s="67" t="n">
        <x:f>IF(OR(F109="",G109="",H109=""),"",((I109+J109)*1024)/(F109*G109*H109/4096))</x:f>
        <x:v>128</x:v>
      </x:c>
      <x:c r="O109" s="67" t="n">
        <x:f>IF(OR(F109="",G109="",H109=""),"",(F109*G109*4)/(F109*G109*H109/4096))</x:f>
        <x:v>256</x:v>
      </x:c>
      <x:c r="P109" s="66" t="n">
        <x:f>IF(AND(ISNUMBER(N109),N109&gt;0),MIN(1,128/N109),"")</x:f>
        <x:v>1</x:v>
      </x:c>
      <x:c r="Q109" s="66" t="n">
        <x:f>IF(AND(ISNUMBER(O109),O109&gt;0),MIN(1,512/O109),"")</x:f>
        <x:v>1</x:v>
      </x:c>
      <x:c r="R109" s="66" t="n">
        <x:f>IF(AND(ISNUMBER(P109),ISNUMBER(Q109)),MIN(P109,Q109),"")</x:f>
        <x:v>1</x:v>
      </x:c>
      <x:c r="S109" s="67" t="n">
        <x:f>IF(AND(ISNUMBER(M109),ISNUMBER(R109)),(M109-R109)*100,"")</x:f>
        <x:v>-45.8</x:v>
      </x:c>
      <x:c r="T109" s="64" t="str">
        <x:v>PASS</x:v>
      </x:c>
      <x:c r="U109" s="68" t="str">
        <x:v>本轮 model-main 9b3a4405（6参数含SoC）2026-09-22</x:v>
      </x:c>
    </x:row>
    <x:row r="110" ht="19" customHeight="1">
      <x:c r="A110" s="53" t="str">
        <x:v>S3</x:v>
      </x:c>
      <x:c r="B110" s="54" t="str">
        <x:v>BF16</x:v>
      </x:c>
      <x:c r="C110" s="55" t="n">
        <x:v>256</x:v>
      </x:c>
      <x:c r="D110" s="55" t="n">
        <x:v>128</x:v>
      </x:c>
      <x:c r="E110" s="55" t="n">
        <x:v>7168</x:v>
      </x:c>
      <x:c r="F110" s="55" t="n">
        <x:v>128</x:v>
      </x:c>
      <x:c r="G110" s="55" t="n">
        <x:v>128</x:v>
      </x:c>
      <x:c r="H110" s="55" t="n">
        <x:v>128</x:v>
      </x:c>
      <x:c r="I110" s="55" t="n">
        <x:v>32</x:v>
      </x:c>
      <x:c r="J110" s="55" t="n">
        <x:v>32</x:v>
      </x:c>
      <x:c r="K110" s="55" t="n">
        <x:v>64</x:v>
      </x:c>
      <x:c r="L110" s="55" t="n">
        <x:v>101761</x:v>
      </x:c>
      <x:c r="M110" s="56" t="n">
        <x:f>IF(AND(ISNUMBER(L110),L110&gt;0),ROUND(C110*D110*E110/4096/L110*100,1)/100,"")</x:f>
        <x:v>0.564</x:v>
      </x:c>
      <x:c r="N110" s="57" t="n">
        <x:f>IF(OR(F110="",G110="",H110=""),"",((I110+J110)*1024)/(F110*G110*H110/4096))</x:f>
        <x:v>128</x:v>
      </x:c>
      <x:c r="O110" s="57" t="n">
        <x:f>IF(OR(F110="",G110="",H110=""),"",(F110*G110*4)/(F110*G110*H110/4096))</x:f>
        <x:v>128</x:v>
      </x:c>
      <x:c r="P110" s="56" t="n">
        <x:f>IF(AND(ISNUMBER(N110),N110&gt;0),MIN(1,128/N110),"")</x:f>
        <x:v>1</x:v>
      </x:c>
      <x:c r="Q110" s="56" t="n">
        <x:f>IF(AND(ISNUMBER(O110),O110&gt;0),MIN(1,512/O110),"")</x:f>
        <x:v>1</x:v>
      </x:c>
      <x:c r="R110" s="56" t="n">
        <x:f>IF(AND(ISNUMBER(P110),ISNUMBER(Q110)),MIN(P110,Q110),"")</x:f>
        <x:v>1</x:v>
      </x:c>
      <x:c r="S110" s="57" t="n">
        <x:f>IF(AND(ISNUMBER(M110),ISNUMBER(R110)),(M110-R110)*100,"")</x:f>
        <x:v>-43.60000000000001</x:v>
      </x:c>
      <x:c r="T110" s="54" t="str">
        <x:v>PASS</x:v>
      </x:c>
      <x:c r="U110" s="58" t="str">
        <x:v>本轮 model-main 9b3a4405（6参数含SoC）2026-09-22</x:v>
      </x:c>
    </x:row>
    <x:row r="111" ht="19" customHeight="1">
      <x:c r="A111" s="64" t="str">
        <x:v>S3</x:v>
      </x:c>
      <x:c r="B111" s="64" t="str">
        <x:v>BF16</x:v>
      </x:c>
      <x:c r="C111" s="65" t="n">
        <x:v>256</x:v>
      </x:c>
      <x:c r="D111" s="65" t="n">
        <x:v>128</x:v>
      </x:c>
      <x:c r="E111" s="65" t="n">
        <x:v>7168</x:v>
      </x:c>
      <x:c r="F111" s="65" t="n">
        <x:v>128</x:v>
      </x:c>
      <x:c r="G111" s="65" t="n">
        <x:v>128</x:v>
      </x:c>
      <x:c r="H111" s="65" t="n">
        <x:v>256</x:v>
      </x:c>
      <x:c r="I111" s="65" t="n">
        <x:v>64</x:v>
      </x:c>
      <x:c r="J111" s="65" t="n">
        <x:v>64</x:v>
      </x:c>
      <x:c r="K111" s="65" t="n">
        <x:v>128</x:v>
      </x:c>
      <x:c r="L111" s="65" t="n">
        <x:v>102436</x:v>
      </x:c>
      <x:c r="M111" s="66" t="n">
        <x:f>IF(AND(ISNUMBER(L111),L111&gt;0),ROUND(C111*D111*E111/4096/L111*100,1)/100,"")</x:f>
        <x:v>0.56</x:v>
      </x:c>
      <x:c r="N111" s="67" t="n">
        <x:f>IF(OR(F111="",G111="",H111=""),"",((I111+J111)*1024)/(F111*G111*H111/4096))</x:f>
        <x:v>128</x:v>
      </x:c>
      <x:c r="O111" s="67" t="n">
        <x:f>IF(OR(F111="",G111="",H111=""),"",(F111*G111*4)/(F111*G111*H111/4096))</x:f>
        <x:v>64</x:v>
      </x:c>
      <x:c r="P111" s="66" t="n">
        <x:f>IF(AND(ISNUMBER(N111),N111&gt;0),MIN(1,128/N111),"")</x:f>
        <x:v>1</x:v>
      </x:c>
      <x:c r="Q111" s="66" t="n">
        <x:f>IF(AND(ISNUMBER(O111),O111&gt;0),MIN(1,512/O111),"")</x:f>
        <x:v>1</x:v>
      </x:c>
      <x:c r="R111" s="66" t="n">
        <x:f>IF(AND(ISNUMBER(P111),ISNUMBER(Q111)),MIN(P111,Q111),"")</x:f>
        <x:v>1</x:v>
      </x:c>
      <x:c r="S111" s="67" t="n">
        <x:f>IF(AND(ISNUMBER(M111),ISNUMBER(R111)),(M111-R111)*100,"")</x:f>
        <x:v>-43.99999999999999</x:v>
      </x:c>
      <x:c r="T111" s="64" t="str">
        <x:v>PASS</x:v>
      </x:c>
      <x:c r="U111" s="68" t="str">
        <x:v>本轮 model-main 9b3a4405（6参数含SoC）2026-09-22</x:v>
      </x:c>
    </x:row>
    <x:row r="112" ht="19" customHeight="1">
      <x:c r="A112" s="64" t="str">
        <x:v>S3</x:v>
      </x:c>
      <x:c r="B112" s="64" t="str">
        <x:v>BF16</x:v>
      </x:c>
      <x:c r="C112" s="65" t="n">
        <x:v>256</x:v>
      </x:c>
      <x:c r="D112" s="65" t="n">
        <x:v>128</x:v>
      </x:c>
      <x:c r="E112" s="65" t="n">
        <x:v>7168</x:v>
      </x:c>
      <x:c r="F112" s="65" t="n">
        <x:v>128</x:v>
      </x:c>
      <x:c r="G112" s="65" t="n">
        <x:v>128</x:v>
      </x:c>
      <x:c r="H112" s="65" t="n">
        <x:v>512</x:v>
      </x:c>
      <x:c r="I112" s="65" t="n">
        <x:v>128</x:v>
      </x:c>
      <x:c r="J112" s="65" t="n">
        <x:v>128</x:v>
      </x:c>
      <x:c r="K112" s="65" t="n">
        <x:v>256</x:v>
      </x:c>
      <x:c r="L112" s="65" t="n">
        <x:v>104065</x:v>
      </x:c>
      <x:c r="M112" s="66" t="n">
        <x:f>IF(AND(ISNUMBER(L112),L112&gt;0),ROUND(C112*D112*E112/4096/L112*100,1)/100,"")</x:f>
        <x:v>0.551</x:v>
      </x:c>
      <x:c r="N112" s="67" t="n">
        <x:f>IF(OR(F112="",G112="",H112=""),"",((I112+J112)*1024)/(F112*G112*H112/4096))</x:f>
        <x:v>128</x:v>
      </x:c>
      <x:c r="O112" s="67" t="n">
        <x:f>IF(OR(F112="",G112="",H112=""),"",(F112*G112*4)/(F112*G112*H112/4096))</x:f>
        <x:v>32</x:v>
      </x:c>
      <x:c r="P112" s="66" t="n">
        <x:f>IF(AND(ISNUMBER(N112),N112&gt;0),MIN(1,128/N112),"")</x:f>
        <x:v>1</x:v>
      </x:c>
      <x:c r="Q112" s="66" t="n">
        <x:f>IF(AND(ISNUMBER(O112),O112&gt;0),MIN(1,512/O112),"")</x:f>
        <x:v>1</x:v>
      </x:c>
      <x:c r="R112" s="66" t="n">
        <x:f>IF(AND(ISNUMBER(P112),ISNUMBER(Q112)),MIN(P112,Q112),"")</x:f>
        <x:v>1</x:v>
      </x:c>
      <x:c r="S112" s="67" t="n">
        <x:f>IF(AND(ISNUMBER(M112),ISNUMBER(R112)),(M112-R112)*100,"")</x:f>
        <x:v>-44.9</x:v>
      </x:c>
      <x:c r="T112" s="64" t="str">
        <x:v>PASS</x:v>
      </x:c>
      <x:c r="U112" s="68" t="str">
        <x:v>本轮 model-main 9b3a4405（6参数含SoC）2026-09-22</x:v>
      </x:c>
    </x:row>
    <x:row r="113" ht="19" customHeight="1">
      <x:c r="A113" s="64" t="str">
        <x:v>S3</x:v>
      </x:c>
      <x:c r="B113" s="64" t="str">
        <x:v>FP16</x:v>
      </x:c>
      <x:c r="C113" s="65" t="n">
        <x:v>256</x:v>
      </x:c>
      <x:c r="D113" s="65" t="n">
        <x:v>128</x:v>
      </x:c>
      <x:c r="E113" s="65" t="n">
        <x:v>7168</x:v>
      </x:c>
      <x:c r="F113" s="65" t="n">
        <x:v>128</x:v>
      </x:c>
      <x:c r="G113" s="65" t="n">
        <x:v>64</x:v>
      </x:c>
      <x:c r="H113" s="65" t="n">
        <x:v>64</x:v>
      </x:c>
      <x:c r="I113" s="65" t="n">
        <x:v>16</x:v>
      </x:c>
      <x:c r="J113" s="65" t="n">
        <x:v>8</x:v>
      </x:c>
      <x:c r="K113" s="65" t="n">
        <x:v>24</x:v>
      </x:c>
      <x:c r="L113" s="65" t="str">
        <x:v>—</x:v>
      </x:c>
      <x:c r="M113" s="66" t="str">
        <x:f>IF(AND(ISNUMBER(L113),L113&gt;0),ROUND(C113*D113*E113/4096/L113*100,1)/100,"")</x:f>
      </x:c>
      <x:c r="N113" s="67" t="n">
        <x:f>IF(OR(F113="",G113="",H113=""),"",((I113+J113)*1024)/(F113*G113*H113/4096))</x:f>
        <x:v>192</x:v>
      </x:c>
      <x:c r="O113" s="67" t="n">
        <x:f>IF(OR(F113="",G113="",H113=""),"",(F113*G113*4)/(F113*G113*H113/4096))</x:f>
        <x:v>256</x:v>
      </x:c>
      <x:c r="P113" s="66" t="n">
        <x:f>IF(AND(ISNUMBER(N113),N113&gt;0),MIN(1,128/N113),"")</x:f>
        <x:v>0.6666666666666666</x:v>
      </x:c>
      <x:c r="Q113" s="66" t="n">
        <x:f>IF(AND(ISNUMBER(O113),O113&gt;0),MIN(1,512/O113),"")</x:f>
        <x:v>1</x:v>
      </x:c>
      <x:c r="R113" s="66" t="n">
        <x:f>IF(AND(ISNUMBER(P113),ISNUMBER(Q113)),MIN(P113,Q113),"")</x:f>
        <x:v>0.6666666666666666</x:v>
      </x:c>
      <x:c r="S113" s="67" t="str">
        <x:f>IF(AND(ISNUMBER(M113),ISNUMBER(R113)),(M113-R113)*100,"")</x:f>
      </x:c>
      <x:c r="T113" s="64" t="str">
        <x:v>DEADLOCK</x:v>
      </x:c>
      <x:c r="U113" s="68" t="str">
        <x:v>gfsim 死锁：无新 block 提交；本轮 model-main 9b3a4405（6参数含SoC）2026-09-22</x:v>
      </x:c>
    </x:row>
    <x:row r="114" ht="19" customHeight="1">
      <x:c r="A114" s="64" t="str">
        <x:v>S3</x:v>
      </x:c>
      <x:c r="B114" s="64" t="str">
        <x:v>FP16</x:v>
      </x:c>
      <x:c r="C114" s="65" t="n">
        <x:v>256</x:v>
      </x:c>
      <x:c r="D114" s="65" t="n">
        <x:v>128</x:v>
      </x:c>
      <x:c r="E114" s="65" t="n">
        <x:v>7168</x:v>
      </x:c>
      <x:c r="F114" s="65" t="n">
        <x:v>128</x:v>
      </x:c>
      <x:c r="G114" s="65" t="n">
        <x:v>64</x:v>
      </x:c>
      <x:c r="H114" s="65" t="n">
        <x:v>128</x:v>
      </x:c>
      <x:c r="I114" s="65" t="n">
        <x:v>32</x:v>
      </x:c>
      <x:c r="J114" s="65" t="n">
        <x:v>16</x:v>
      </x:c>
      <x:c r="K114" s="65" t="n">
        <x:v>48</x:v>
      </x:c>
      <x:c r="L114" s="65" t="n">
        <x:v>160958</x:v>
      </x:c>
      <x:c r="M114" s="66" t="n">
        <x:f>IF(AND(ISNUMBER(L114),L114&gt;0),ROUND(C114*D114*E114/4096/L114*100,1)/100,"")</x:f>
        <x:v>0.35600000000000004</x:v>
      </x:c>
      <x:c r="N114" s="67" t="n">
        <x:f>IF(OR(F114="",G114="",H114=""),"",((I114+J114)*1024)/(F114*G114*H114/4096))</x:f>
        <x:v>192</x:v>
      </x:c>
      <x:c r="O114" s="67" t="n">
        <x:f>IF(OR(F114="",G114="",H114=""),"",(F114*G114*4)/(F114*G114*H114/4096))</x:f>
        <x:v>128</x:v>
      </x:c>
      <x:c r="P114" s="66" t="n">
        <x:f>IF(AND(ISNUMBER(N114),N114&gt;0),MIN(1,128/N114),"")</x:f>
        <x:v>0.6666666666666666</x:v>
      </x:c>
      <x:c r="Q114" s="66" t="n">
        <x:f>IF(AND(ISNUMBER(O114),O114&gt;0),MIN(1,512/O114),"")</x:f>
        <x:v>1</x:v>
      </x:c>
      <x:c r="R114" s="66" t="n">
        <x:f>IF(AND(ISNUMBER(P114),ISNUMBER(Q114)),MIN(P114,Q114),"")</x:f>
        <x:v>0.6666666666666666</x:v>
      </x:c>
      <x:c r="S114" s="67" t="n">
        <x:f>IF(AND(ISNUMBER(M114),ISNUMBER(R114)),(M114-R114)*100,"")</x:f>
        <x:v>-31.06666666666666</x:v>
      </x:c>
      <x:c r="T114" s="64" t="str">
        <x:v>PASS</x:v>
      </x:c>
      <x:c r="U114" s="68" t="str">
        <x:v>本轮 model-main 9b3a4405（6参数含SoC）2026-09-22</x:v>
      </x:c>
    </x:row>
    <x:row r="115" ht="19" customHeight="1">
      <x:c r="A115" s="64" t="str">
        <x:v>S3</x:v>
      </x:c>
      <x:c r="B115" s="64" t="str">
        <x:v>FP16</x:v>
      </x:c>
      <x:c r="C115" s="65" t="n">
        <x:v>256</x:v>
      </x:c>
      <x:c r="D115" s="65" t="n">
        <x:v>128</x:v>
      </x:c>
      <x:c r="E115" s="65" t="n">
        <x:v>7168</x:v>
      </x:c>
      <x:c r="F115" s="65" t="n">
        <x:v>128</x:v>
      </x:c>
      <x:c r="G115" s="65" t="n">
        <x:v>64</x:v>
      </x:c>
      <x:c r="H115" s="65" t="n">
        <x:v>256</x:v>
      </x:c>
      <x:c r="I115" s="65" t="n">
        <x:v>64</x:v>
      </x:c>
      <x:c r="J115" s="65" t="n">
        <x:v>32</x:v>
      </x:c>
      <x:c r="K115" s="65" t="n">
        <x:v>96</x:v>
      </x:c>
      <x:c r="L115" s="65" t="n">
        <x:v>162773</x:v>
      </x:c>
      <x:c r="M115" s="66" t="n">
        <x:f>IF(AND(ISNUMBER(L115),L115&gt;0),ROUND(C115*D115*E115/4096/L115*100,1)/100,"")</x:f>
        <x:v>0.35200000000000004</x:v>
      </x:c>
      <x:c r="N115" s="67" t="n">
        <x:f>IF(OR(F115="",G115="",H115=""),"",((I115+J115)*1024)/(F115*G115*H115/4096))</x:f>
        <x:v>192</x:v>
      </x:c>
      <x:c r="O115" s="67" t="n">
        <x:f>IF(OR(F115="",G115="",H115=""),"",(F115*G115*4)/(F115*G115*H115/4096))</x:f>
        <x:v>64</x:v>
      </x:c>
      <x:c r="P115" s="66" t="n">
        <x:f>IF(AND(ISNUMBER(N115),N115&gt;0),MIN(1,128/N115),"")</x:f>
        <x:v>0.6666666666666666</x:v>
      </x:c>
      <x:c r="Q115" s="66" t="n">
        <x:f>IF(AND(ISNUMBER(O115),O115&gt;0),MIN(1,512/O115),"")</x:f>
        <x:v>1</x:v>
      </x:c>
      <x:c r="R115" s="66" t="n">
        <x:f>IF(AND(ISNUMBER(P115),ISNUMBER(Q115)),MIN(P115,Q115),"")</x:f>
        <x:v>0.6666666666666666</x:v>
      </x:c>
      <x:c r="S115" s="67" t="n">
        <x:f>IF(AND(ISNUMBER(M115),ISNUMBER(R115)),(M115-R115)*100,"")</x:f>
        <x:v>-31.466666666666658</x:v>
      </x:c>
      <x:c r="T115" s="64" t="str">
        <x:v>PASS</x:v>
      </x:c>
      <x:c r="U115" s="68" t="str">
        <x:v>本轮 model-main 9b3a4405（6参数含SoC）2026-09-22</x:v>
      </x:c>
    </x:row>
    <x:row r="116" ht="19" customHeight="1">
      <x:c r="A116" s="64" t="str">
        <x:v>S3</x:v>
      </x:c>
      <x:c r="B116" s="64" t="str">
        <x:v>FP16</x:v>
      </x:c>
      <x:c r="C116" s="65" t="n">
        <x:v>256</x:v>
      </x:c>
      <x:c r="D116" s="65" t="n">
        <x:v>128</x:v>
      </x:c>
      <x:c r="E116" s="65" t="n">
        <x:v>7168</x:v>
      </x:c>
      <x:c r="F116" s="65" t="n">
        <x:v>128</x:v>
      </x:c>
      <x:c r="G116" s="65" t="n">
        <x:v>64</x:v>
      </x:c>
      <x:c r="H116" s="65" t="n">
        <x:v>512</x:v>
      </x:c>
      <x:c r="I116" s="65" t="n">
        <x:v>128</x:v>
      </x:c>
      <x:c r="J116" s="65" t="n">
        <x:v>64</x:v>
      </x:c>
      <x:c r="K116" s="65" t="n">
        <x:v>192</x:v>
      </x:c>
      <x:c r="L116" s="65" t="n">
        <x:v>165549</x:v>
      </x:c>
      <x:c r="M116" s="66" t="n">
        <x:f>IF(AND(ISNUMBER(L116),L116&gt;0),ROUND(C116*D116*E116/4096/L116*100,1)/100,"")</x:f>
        <x:v>0.34600000000000003</x:v>
      </x:c>
      <x:c r="N116" s="67" t="n">
        <x:f>IF(OR(F116="",G116="",H116=""),"",((I116+J116)*1024)/(F116*G116*H116/4096))</x:f>
        <x:v>192</x:v>
      </x:c>
      <x:c r="O116" s="67" t="n">
        <x:f>IF(OR(F116="",G116="",H116=""),"",(F116*G116*4)/(F116*G116*H116/4096))</x:f>
        <x:v>32</x:v>
      </x:c>
      <x:c r="P116" s="66" t="n">
        <x:f>IF(AND(ISNUMBER(N116),N116&gt;0),MIN(1,128/N116),"")</x:f>
        <x:v>0.6666666666666666</x:v>
      </x:c>
      <x:c r="Q116" s="66" t="n">
        <x:f>IF(AND(ISNUMBER(O116),O116&gt;0),MIN(1,512/O116),"")</x:f>
        <x:v>1</x:v>
      </x:c>
      <x:c r="R116" s="66" t="n">
        <x:f>IF(AND(ISNUMBER(P116),ISNUMBER(Q116)),MIN(P116,Q116),"")</x:f>
        <x:v>0.6666666666666666</x:v>
      </x:c>
      <x:c r="S116" s="67" t="n">
        <x:f>IF(AND(ISNUMBER(M116),ISNUMBER(R116)),(M116-R116)*100,"")</x:f>
        <x:v>-32.06666666666666</x:v>
      </x:c>
      <x:c r="T116" s="64" t="str">
        <x:v>PASS</x:v>
      </x:c>
      <x:c r="U116" s="68" t="str">
        <x:v>本轮 model-main 9b3a4405（6参数含SoC）2026-09-22</x:v>
      </x:c>
    </x:row>
    <x:row r="117" ht="19" customHeight="1">
      <x:c r="A117" s="64" t="str">
        <x:v>S3</x:v>
      </x:c>
      <x:c r="B117" s="64" t="str">
        <x:v>FP16</x:v>
      </x:c>
      <x:c r="C117" s="65" t="n">
        <x:v>256</x:v>
      </x:c>
      <x:c r="D117" s="65" t="n">
        <x:v>128</x:v>
      </x:c>
      <x:c r="E117" s="65" t="n">
        <x:v>7168</x:v>
      </x:c>
      <x:c r="F117" s="65" t="n">
        <x:v>128</x:v>
      </x:c>
      <x:c r="G117" s="65" t="n">
        <x:v>128</x:v>
      </x:c>
      <x:c r="H117" s="65" t="n">
        <x:v>64</x:v>
      </x:c>
      <x:c r="I117" s="65" t="n">
        <x:v>16</x:v>
      </x:c>
      <x:c r="J117" s="65" t="n">
        <x:v>16</x:v>
      </x:c>
      <x:c r="K117" s="65" t="n">
        <x:v>32</x:v>
      </x:c>
      <x:c r="L117" s="65" t="n">
        <x:v>105739</x:v>
      </x:c>
      <x:c r="M117" s="66" t="n">
        <x:f>IF(AND(ISNUMBER(L117),L117&gt;0),ROUND(C117*D117*E117/4096/L117*100,1)/100,"")</x:f>
        <x:v>0.542</x:v>
      </x:c>
      <x:c r="N117" s="67" t="n">
        <x:f>IF(OR(F117="",G117="",H117=""),"",((I117+J117)*1024)/(F117*G117*H117/4096))</x:f>
        <x:v>128</x:v>
      </x:c>
      <x:c r="O117" s="67" t="n">
        <x:f>IF(OR(F117="",G117="",H117=""),"",(F117*G117*4)/(F117*G117*H117/4096))</x:f>
        <x:v>256</x:v>
      </x:c>
      <x:c r="P117" s="66" t="n">
        <x:f>IF(AND(ISNUMBER(N117),N117&gt;0),MIN(1,128/N117),"")</x:f>
        <x:v>1</x:v>
      </x:c>
      <x:c r="Q117" s="66" t="n">
        <x:f>IF(AND(ISNUMBER(O117),O117&gt;0),MIN(1,512/O117),"")</x:f>
        <x:v>1</x:v>
      </x:c>
      <x:c r="R117" s="66" t="n">
        <x:f>IF(AND(ISNUMBER(P117),ISNUMBER(Q117)),MIN(P117,Q117),"")</x:f>
        <x:v>1</x:v>
      </x:c>
      <x:c r="S117" s="67" t="n">
        <x:f>IF(AND(ISNUMBER(M117),ISNUMBER(R117)),(M117-R117)*100,"")</x:f>
        <x:v>-45.8</x:v>
      </x:c>
      <x:c r="T117" s="64" t="str">
        <x:v>PASS</x:v>
      </x:c>
      <x:c r="U117" s="68" t="str">
        <x:v>本轮 model-main 9b3a4405（6参数含SoC）2026-09-22</x:v>
      </x:c>
    </x:row>
    <x:row r="118" ht="19" customHeight="1">
      <x:c r="A118" s="53" t="str">
        <x:v>S3</x:v>
      </x:c>
      <x:c r="B118" s="54" t="str">
        <x:v>FP16</x:v>
      </x:c>
      <x:c r="C118" s="55" t="n">
        <x:v>256</x:v>
      </x:c>
      <x:c r="D118" s="55" t="n">
        <x:v>128</x:v>
      </x:c>
      <x:c r="E118" s="55" t="n">
        <x:v>7168</x:v>
      </x:c>
      <x:c r="F118" s="55" t="n">
        <x:v>128</x:v>
      </x:c>
      <x:c r="G118" s="55" t="n">
        <x:v>128</x:v>
      </x:c>
      <x:c r="H118" s="55" t="n">
        <x:v>128</x:v>
      </x:c>
      <x:c r="I118" s="55" t="n">
        <x:v>32</x:v>
      </x:c>
      <x:c r="J118" s="55" t="n">
        <x:v>32</x:v>
      </x:c>
      <x:c r="K118" s="55" t="n">
        <x:v>64</x:v>
      </x:c>
      <x:c r="L118" s="55" t="n">
        <x:v>101761</x:v>
      </x:c>
      <x:c r="M118" s="56" t="n">
        <x:f>IF(AND(ISNUMBER(L118),L118&gt;0),ROUND(C118*D118*E118/4096/L118*100,1)/100,"")</x:f>
        <x:v>0.564</x:v>
      </x:c>
      <x:c r="N118" s="57" t="n">
        <x:f>IF(OR(F118="",G118="",H118=""),"",((I118+J118)*1024)/(F118*G118*H118/4096))</x:f>
        <x:v>128</x:v>
      </x:c>
      <x:c r="O118" s="57" t="n">
        <x:f>IF(OR(F118="",G118="",H118=""),"",(F118*G118*4)/(F118*G118*H118/4096))</x:f>
        <x:v>128</x:v>
      </x:c>
      <x:c r="P118" s="56" t="n">
        <x:f>IF(AND(ISNUMBER(N118),N118&gt;0),MIN(1,128/N118),"")</x:f>
        <x:v>1</x:v>
      </x:c>
      <x:c r="Q118" s="56" t="n">
        <x:f>IF(AND(ISNUMBER(O118),O118&gt;0),MIN(1,512/O118),"")</x:f>
        <x:v>1</x:v>
      </x:c>
      <x:c r="R118" s="56" t="n">
        <x:f>IF(AND(ISNUMBER(P118),ISNUMBER(Q118)),MIN(P118,Q118),"")</x:f>
        <x:v>1</x:v>
      </x:c>
      <x:c r="S118" s="57" t="n">
        <x:f>IF(AND(ISNUMBER(M118),ISNUMBER(R118)),(M118-R118)*100,"")</x:f>
        <x:v>-43.60000000000001</x:v>
      </x:c>
      <x:c r="T118" s="54" t="str">
        <x:v>PASS</x:v>
      </x:c>
      <x:c r="U118" s="58" t="str">
        <x:v>本轮 model-main 9b3a4405（6参数含SoC）2026-09-22</x:v>
      </x:c>
    </x:row>
    <x:row r="119" ht="19" customHeight="1">
      <x:c r="A119" s="64" t="str">
        <x:v>S3</x:v>
      </x:c>
      <x:c r="B119" s="64" t="str">
        <x:v>FP16</x:v>
      </x:c>
      <x:c r="C119" s="65" t="n">
        <x:v>256</x:v>
      </x:c>
      <x:c r="D119" s="65" t="n">
        <x:v>128</x:v>
      </x:c>
      <x:c r="E119" s="65" t="n">
        <x:v>7168</x:v>
      </x:c>
      <x:c r="F119" s="65" t="n">
        <x:v>128</x:v>
      </x:c>
      <x:c r="G119" s="65" t="n">
        <x:v>128</x:v>
      </x:c>
      <x:c r="H119" s="65" t="n">
        <x:v>256</x:v>
      </x:c>
      <x:c r="I119" s="65" t="n">
        <x:v>64</x:v>
      </x:c>
      <x:c r="J119" s="65" t="n">
        <x:v>64</x:v>
      </x:c>
      <x:c r="K119" s="65" t="n">
        <x:v>128</x:v>
      </x:c>
      <x:c r="L119" s="65" t="n">
        <x:v>102436</x:v>
      </x:c>
      <x:c r="M119" s="66" t="n">
        <x:f>IF(AND(ISNUMBER(L119),L119&gt;0),ROUND(C119*D119*E119/4096/L119*100,1)/100,"")</x:f>
        <x:v>0.56</x:v>
      </x:c>
      <x:c r="N119" s="67" t="n">
        <x:f>IF(OR(F119="",G119="",H119=""),"",((I119+J119)*1024)/(F119*G119*H119/4096))</x:f>
        <x:v>128</x:v>
      </x:c>
      <x:c r="O119" s="67" t="n">
        <x:f>IF(OR(F119="",G119="",H119=""),"",(F119*G119*4)/(F119*G119*H119/4096))</x:f>
        <x:v>64</x:v>
      </x:c>
      <x:c r="P119" s="66" t="n">
        <x:f>IF(AND(ISNUMBER(N119),N119&gt;0),MIN(1,128/N119),"")</x:f>
        <x:v>1</x:v>
      </x:c>
      <x:c r="Q119" s="66" t="n">
        <x:f>IF(AND(ISNUMBER(O119),O119&gt;0),MIN(1,512/O119),"")</x:f>
        <x:v>1</x:v>
      </x:c>
      <x:c r="R119" s="66" t="n">
        <x:f>IF(AND(ISNUMBER(P119),ISNUMBER(Q119)),MIN(P119,Q119),"")</x:f>
        <x:v>1</x:v>
      </x:c>
      <x:c r="S119" s="67" t="n">
        <x:f>IF(AND(ISNUMBER(M119),ISNUMBER(R119)),(M119-R119)*100,"")</x:f>
        <x:v>-43.99999999999999</x:v>
      </x:c>
      <x:c r="T119" s="64" t="str">
        <x:v>PASS</x:v>
      </x:c>
      <x:c r="U119" s="68" t="str">
        <x:v>本轮 model-main 9b3a4405（6参数含SoC）2026-09-22</x:v>
      </x:c>
    </x:row>
    <x:row r="120" ht="19" customHeight="1">
      <x:c r="A120" s="64" t="str">
        <x:v>S3</x:v>
      </x:c>
      <x:c r="B120" s="64" t="str">
        <x:v>FP16</x:v>
      </x:c>
      <x:c r="C120" s="65" t="n">
        <x:v>256</x:v>
      </x:c>
      <x:c r="D120" s="65" t="n">
        <x:v>128</x:v>
      </x:c>
      <x:c r="E120" s="65" t="n">
        <x:v>7168</x:v>
      </x:c>
      <x:c r="F120" s="65" t="n">
        <x:v>128</x:v>
      </x:c>
      <x:c r="G120" s="65" t="n">
        <x:v>128</x:v>
      </x:c>
      <x:c r="H120" s="65" t="n">
        <x:v>512</x:v>
      </x:c>
      <x:c r="I120" s="65" t="n">
        <x:v>128</x:v>
      </x:c>
      <x:c r="J120" s="65" t="n">
        <x:v>128</x:v>
      </x:c>
      <x:c r="K120" s="65" t="n">
        <x:v>256</x:v>
      </x:c>
      <x:c r="L120" s="65" t="n">
        <x:v>104065</x:v>
      </x:c>
      <x:c r="M120" s="66" t="n">
        <x:f>IF(AND(ISNUMBER(L120),L120&gt;0),ROUND(C120*D120*E120/4096/L120*100,1)/100,"")</x:f>
        <x:v>0.551</x:v>
      </x:c>
      <x:c r="N120" s="67" t="n">
        <x:f>IF(OR(F120="",G120="",H120=""),"",((I120+J120)*1024)/(F120*G120*H120/4096))</x:f>
        <x:v>128</x:v>
      </x:c>
      <x:c r="O120" s="67" t="n">
        <x:f>IF(OR(F120="",G120="",H120=""),"",(F120*G120*4)/(F120*G120*H120/4096))</x:f>
        <x:v>32</x:v>
      </x:c>
      <x:c r="P120" s="66" t="n">
        <x:f>IF(AND(ISNUMBER(N120),N120&gt;0),MIN(1,128/N120),"")</x:f>
        <x:v>1</x:v>
      </x:c>
      <x:c r="Q120" s="66" t="n">
        <x:f>IF(AND(ISNUMBER(O120),O120&gt;0),MIN(1,512/O120),"")</x:f>
        <x:v>1</x:v>
      </x:c>
      <x:c r="R120" s="66" t="n">
        <x:f>IF(AND(ISNUMBER(P120),ISNUMBER(Q120)),MIN(P120,Q120),"")</x:f>
        <x:v>1</x:v>
      </x:c>
      <x:c r="S120" s="67" t="n">
        <x:f>IF(AND(ISNUMBER(M120),ISNUMBER(R120)),(M120-R120)*100,"")</x:f>
        <x:v>-44.9</x:v>
      </x:c>
      <x:c r="T120" s="64" t="str">
        <x:v>PASS</x:v>
      </x:c>
      <x:c r="U120" s="68" t="str">
        <x:v>本轮 model-main 9b3a4405（6参数含SoC）2026-09-22</x:v>
      </x:c>
    </x:row>
    <x:row r="121" ht="19" customHeight="1">
      <x:c r="A121" s="64" t="str">
        <x:v>S3</x:v>
      </x:c>
      <x:c r="B121" s="64" t="str">
        <x:v>FP8</x:v>
      </x:c>
      <x:c r="C121" s="65" t="n">
        <x:v>256</x:v>
      </x:c>
      <x:c r="D121" s="65" t="n">
        <x:v>128</x:v>
      </x:c>
      <x:c r="E121" s="65" t="n">
        <x:v>7168</x:v>
      </x:c>
      <x:c r="F121" s="65" t="n">
        <x:v>128</x:v>
      </x:c>
      <x:c r="G121" s="65" t="n">
        <x:v>64</x:v>
      </x:c>
      <x:c r="H121" s="65" t="n">
        <x:v>256</x:v>
      </x:c>
      <x:c r="I121" s="65" t="n">
        <x:v>32</x:v>
      </x:c>
      <x:c r="J121" s="65" t="n">
        <x:v>16</x:v>
      </x:c>
      <x:c r="K121" s="65" t="n">
        <x:v>48</x:v>
      </x:c>
      <x:c r="L121" s="65" t="n">
        <x:v>82000</x:v>
      </x:c>
      <x:c r="M121" s="66" t="n">
        <x:f>IF(AND(ISNUMBER(L121),L121&gt;0),ROUND(C121*D121*E121/8192/L121*100,1)/100,"")</x:f>
        <x:v>0.35</x:v>
      </x:c>
      <x:c r="N121" s="67" t="n">
        <x:f>IF(OR(F121="",G121="",H121=""),"",((I121+J121)*1024)/(F121*G121*H121/8192))</x:f>
        <x:v>192</x:v>
      </x:c>
      <x:c r="O121" s="67" t="n">
        <x:f>IF(OR(F121="",G121="",H121=""),"",(F121*G121*4)/(F121*G121*H121/8192))</x:f>
        <x:v>128</x:v>
      </x:c>
      <x:c r="P121" s="66" t="n">
        <x:f>IF(AND(ISNUMBER(N121),N121&gt;0),MIN(1,128/N121),"")</x:f>
        <x:v>0.6666666666666666</x:v>
      </x:c>
      <x:c r="Q121" s="66" t="n">
        <x:f>IF(AND(ISNUMBER(O121),O121&gt;0),MIN(1,512/O121),"")</x:f>
        <x:v>1</x:v>
      </x:c>
      <x:c r="R121" s="66" t="n">
        <x:f>IF(AND(ISNUMBER(P121),ISNUMBER(Q121)),MIN(P121,Q121),"")</x:f>
        <x:v>0.6666666666666666</x:v>
      </x:c>
      <x:c r="S121" s="67" t="n">
        <x:f>IF(AND(ISNUMBER(M121),ISNUMBER(R121)),(M121-R121)*100,"")</x:f>
        <x:v>-31.666666666666664</x:v>
      </x:c>
      <x:c r="T121" s="64" t="str">
        <x:v>PASS</x:v>
      </x:c>
      <x:c r="U121" s="68" t="str">
        <x:v>matmul_shared_lowp（FP8）；本轮 model-main 9b3a4405（6参数含SoC）2026-09-22</x:v>
      </x:c>
    </x:row>
    <x:row r="122" ht="19" customHeight="1">
      <x:c r="A122" s="64" t="str">
        <x:v>S3</x:v>
      </x:c>
      <x:c r="B122" s="64" t="str">
        <x:v>FP8</x:v>
      </x:c>
      <x:c r="C122" s="65" t="n">
        <x:v>256</x:v>
      </x:c>
      <x:c r="D122" s="65" t="n">
        <x:v>128</x:v>
      </x:c>
      <x:c r="E122" s="65" t="n">
        <x:v>7168</x:v>
      </x:c>
      <x:c r="F122" s="65" t="n">
        <x:v>128</x:v>
      </x:c>
      <x:c r="G122" s="65" t="n">
        <x:v>64</x:v>
      </x:c>
      <x:c r="H122" s="65" t="n">
        <x:v>512</x:v>
      </x:c>
      <x:c r="I122" s="65" t="n">
        <x:v>64</x:v>
      </x:c>
      <x:c r="J122" s="65" t="n">
        <x:v>32</x:v>
      </x:c>
      <x:c r="K122" s="65" t="n">
        <x:v>96</x:v>
      </x:c>
      <x:c r="L122" s="65" t="n">
        <x:v>83339</x:v>
      </x:c>
      <x:c r="M122" s="66" t="n">
        <x:f>IF(AND(ISNUMBER(L122),L122&gt;0),ROUND(C122*D122*E122/8192/L122*100,1)/100,"")</x:f>
        <x:v>0.344</x:v>
      </x:c>
      <x:c r="N122" s="67" t="n">
        <x:f>IF(OR(F122="",G122="",H122=""),"",((I122+J122)*1024)/(F122*G122*H122/8192))</x:f>
        <x:v>192</x:v>
      </x:c>
      <x:c r="O122" s="67" t="n">
        <x:f>IF(OR(F122="",G122="",H122=""),"",(F122*G122*4)/(F122*G122*H122/8192))</x:f>
        <x:v>64</x:v>
      </x:c>
      <x:c r="P122" s="66" t="n">
        <x:f>IF(AND(ISNUMBER(N122),N122&gt;0),MIN(1,128/N122),"")</x:f>
        <x:v>0.6666666666666666</x:v>
      </x:c>
      <x:c r="Q122" s="66" t="n">
        <x:f>IF(AND(ISNUMBER(O122),O122&gt;0),MIN(1,512/O122),"")</x:f>
        <x:v>1</x:v>
      </x:c>
      <x:c r="R122" s="66" t="n">
        <x:f>IF(AND(ISNUMBER(P122),ISNUMBER(Q122)),MIN(P122,Q122),"")</x:f>
        <x:v>0.6666666666666666</x:v>
      </x:c>
      <x:c r="S122" s="67" t="n">
        <x:f>IF(AND(ISNUMBER(M122),ISNUMBER(R122)),(M122-R122)*100,"")</x:f>
        <x:v>-32.266666666666666</x:v>
      </x:c>
      <x:c r="T122" s="64" t="str">
        <x:v>PASS</x:v>
      </x:c>
      <x:c r="U122" s="68" t="str">
        <x:v>matmul_shared_lowp（FP8）；本轮 model-main 9b3a4405（6参数含SoC）2026-09-22</x:v>
      </x:c>
    </x:row>
    <x:row r="123" ht="19" customHeight="1">
      <x:c r="A123" s="64" t="str">
        <x:v>S3</x:v>
      </x:c>
      <x:c r="B123" s="64" t="str">
        <x:v>FP8</x:v>
      </x:c>
      <x:c r="C123" s="65" t="n">
        <x:v>256</x:v>
      </x:c>
      <x:c r="D123" s="65" t="n">
        <x:v>128</x:v>
      </x:c>
      <x:c r="E123" s="65" t="n">
        <x:v>7168</x:v>
      </x:c>
      <x:c r="F123" s="65" t="n">
        <x:v>128</x:v>
      </x:c>
      <x:c r="G123" s="65" t="n">
        <x:v>64</x:v>
      </x:c>
      <x:c r="H123" s="65" t="n">
        <x:v>1024</x:v>
      </x:c>
      <x:c r="I123" s="65" t="n">
        <x:v>128</x:v>
      </x:c>
      <x:c r="J123" s="65" t="n">
        <x:v>64</x:v>
      </x:c>
      <x:c r="K123" s="65" t="n">
        <x:v>192</x:v>
      </x:c>
      <x:c r="L123" s="65" t="n">
        <x:v>84926</x:v>
      </x:c>
      <x:c r="M123" s="66" t="n">
        <x:f>IF(AND(ISNUMBER(L123),L123&gt;0),ROUND(C123*D123*E123/8192/L123*100,1)/100,"")</x:f>
        <x:v>0.33799999999999997</x:v>
      </x:c>
      <x:c r="N123" s="67" t="n">
        <x:f>IF(OR(F123="",G123="",H123=""),"",((I123+J123)*1024)/(F123*G123*H123/8192))</x:f>
        <x:v>192</x:v>
      </x:c>
      <x:c r="O123" s="67" t="n">
        <x:f>IF(OR(F123="",G123="",H123=""),"",(F123*G123*4)/(F123*G123*H123/8192))</x:f>
        <x:v>32</x:v>
      </x:c>
      <x:c r="P123" s="66" t="n">
        <x:f>IF(AND(ISNUMBER(N123),N123&gt;0),MIN(1,128/N123),"")</x:f>
        <x:v>0.6666666666666666</x:v>
      </x:c>
      <x:c r="Q123" s="66" t="n">
        <x:f>IF(AND(ISNUMBER(O123),O123&gt;0),MIN(1,512/O123),"")</x:f>
        <x:v>1</x:v>
      </x:c>
      <x:c r="R123" s="66" t="n">
        <x:f>IF(AND(ISNUMBER(P123),ISNUMBER(Q123)),MIN(P123,Q123),"")</x:f>
        <x:v>0.6666666666666666</x:v>
      </x:c>
      <x:c r="S123" s="67" t="n">
        <x:f>IF(AND(ISNUMBER(M123),ISNUMBER(R123)),(M123-R123)*100,"")</x:f>
        <x:v>-32.86666666666667</x:v>
      </x:c>
      <x:c r="T123" s="64" t="str">
        <x:v>PASS</x:v>
      </x:c>
      <x:c r="U123" s="68" t="str">
        <x:v>matmul_shared_lowp（FP8）；本轮 model-main 9b3a4405（6参数含SoC）2026-09-22</x:v>
      </x:c>
    </x:row>
    <x:row r="124" ht="19" customHeight="1">
      <x:c r="A124" s="53" t="str">
        <x:v>S3</x:v>
      </x:c>
      <x:c r="B124" s="54" t="str">
        <x:v>FP8</x:v>
      </x:c>
      <x:c r="C124" s="55" t="n">
        <x:v>256</x:v>
      </x:c>
      <x:c r="D124" s="55" t="n">
        <x:v>128</x:v>
      </x:c>
      <x:c r="E124" s="55" t="n">
        <x:v>7168</x:v>
      </x:c>
      <x:c r="F124" s="55" t="n">
        <x:v>128</x:v>
      </x:c>
      <x:c r="G124" s="55" t="n">
        <x:v>128</x:v>
      </x:c>
      <x:c r="H124" s="55" t="n">
        <x:v>256</x:v>
      </x:c>
      <x:c r="I124" s="55" t="n">
        <x:v>32</x:v>
      </x:c>
      <x:c r="J124" s="55" t="n">
        <x:v>32</x:v>
      </x:c>
      <x:c r="K124" s="55" t="n">
        <x:v>64</x:v>
      </x:c>
      <x:c r="L124" s="55" t="n">
        <x:v>52511</x:v>
      </x:c>
      <x:c r="M124" s="56" t="n">
        <x:f>IF(AND(ISNUMBER(L124),L124&gt;0),ROUND(C124*D124*E124/8192/L124*100,1)/100,"")</x:f>
        <x:v>0.546</x:v>
      </x:c>
      <x:c r="N124" s="57" t="n">
        <x:f>IF(OR(F124="",G124="",H124=""),"",((I124+J124)*1024)/(F124*G124*H124/8192))</x:f>
        <x:v>128</x:v>
      </x:c>
      <x:c r="O124" s="57" t="n">
        <x:f>IF(OR(F124="",G124="",H124=""),"",(F124*G124*4)/(F124*G124*H124/8192))</x:f>
        <x:v>128</x:v>
      </x:c>
      <x:c r="P124" s="56" t="n">
        <x:f>IF(AND(ISNUMBER(N124),N124&gt;0),MIN(1,128/N124),"")</x:f>
        <x:v>1</x:v>
      </x:c>
      <x:c r="Q124" s="56" t="n">
        <x:f>IF(AND(ISNUMBER(O124),O124&gt;0),MIN(1,512/O124),"")</x:f>
        <x:v>1</x:v>
      </x:c>
      <x:c r="R124" s="56" t="n">
        <x:f>IF(AND(ISNUMBER(P124),ISNUMBER(Q124)),MIN(P124,Q124),"")</x:f>
        <x:v>1</x:v>
      </x:c>
      <x:c r="S124" s="57" t="n">
        <x:f>IF(AND(ISNUMBER(M124),ISNUMBER(R124)),(M124-R124)*100,"")</x:f>
        <x:v>-45.4</x:v>
      </x:c>
      <x:c r="T124" s="54" t="str">
        <x:v>PASS</x:v>
      </x:c>
      <x:c r="U124" s="58" t="str">
        <x:v>matmul_shared_lowp（FP8）；本轮 model-main 9b3a4405（6参数含SoC）2026-09-22</x:v>
      </x:c>
    </x:row>
    <x:row r="125" ht="19" customHeight="1">
      <x:c r="A125" s="64" t="str">
        <x:v>S3</x:v>
      </x:c>
      <x:c r="B125" s="64" t="str">
        <x:v>FP8</x:v>
      </x:c>
      <x:c r="C125" s="65" t="n">
        <x:v>256</x:v>
      </x:c>
      <x:c r="D125" s="65" t="n">
        <x:v>128</x:v>
      </x:c>
      <x:c r="E125" s="65" t="n">
        <x:v>7168</x:v>
      </x:c>
      <x:c r="F125" s="65" t="n">
        <x:v>128</x:v>
      </x:c>
      <x:c r="G125" s="65" t="n">
        <x:v>128</x:v>
      </x:c>
      <x:c r="H125" s="65" t="n">
        <x:v>512</x:v>
      </x:c>
      <x:c r="I125" s="65" t="n">
        <x:v>64</x:v>
      </x:c>
      <x:c r="J125" s="65" t="n">
        <x:v>64</x:v>
      </x:c>
      <x:c r="K125" s="65" t="n">
        <x:v>128</x:v>
      </x:c>
      <x:c r="L125" s="65" t="n">
        <x:v>53156</x:v>
      </x:c>
      <x:c r="M125" s="66" t="n">
        <x:f>IF(AND(ISNUMBER(L125),L125&gt;0),ROUND(C125*D125*E125/8192/L125*100,1)/100,"")</x:f>
        <x:v>0.539</x:v>
      </x:c>
      <x:c r="N125" s="67" t="n">
        <x:f>IF(OR(F125="",G125="",H125=""),"",((I125+J125)*1024)/(F125*G125*H125/8192))</x:f>
        <x:v>128</x:v>
      </x:c>
      <x:c r="O125" s="67" t="n">
        <x:f>IF(OR(F125="",G125="",H125=""),"",(F125*G125*4)/(F125*G125*H125/8192))</x:f>
        <x:v>64</x:v>
      </x:c>
      <x:c r="P125" s="66" t="n">
        <x:f>IF(AND(ISNUMBER(N125),N125&gt;0),MIN(1,128/N125),"")</x:f>
        <x:v>1</x:v>
      </x:c>
      <x:c r="Q125" s="66" t="n">
        <x:f>IF(AND(ISNUMBER(O125),O125&gt;0),MIN(1,512/O125),"")</x:f>
        <x:v>1</x:v>
      </x:c>
      <x:c r="R125" s="66" t="n">
        <x:f>IF(AND(ISNUMBER(P125),ISNUMBER(Q125)),MIN(P125,Q125),"")</x:f>
        <x:v>1</x:v>
      </x:c>
      <x:c r="S125" s="67" t="n">
        <x:f>IF(AND(ISNUMBER(M125),ISNUMBER(R125)),(M125-R125)*100,"")</x:f>
        <x:v>-46.099999999999994</x:v>
      </x:c>
      <x:c r="T125" s="64" t="str">
        <x:v>PASS</x:v>
      </x:c>
      <x:c r="U125" s="68" t="str">
        <x:v>matmul_shared_lowp（FP8）；本轮 model-main 9b3a4405（6参数含SoC）2026-09-22</x:v>
      </x:c>
    </x:row>
    <x:row r="126" ht="19" customHeight="1">
      <x:c r="A126" s="64" t="str">
        <x:v>S3</x:v>
      </x:c>
      <x:c r="B126" s="64" t="str">
        <x:v>FP8</x:v>
      </x:c>
      <x:c r="C126" s="65" t="n">
        <x:v>256</x:v>
      </x:c>
      <x:c r="D126" s="65" t="n">
        <x:v>128</x:v>
      </x:c>
      <x:c r="E126" s="65" t="n">
        <x:v>7168</x:v>
      </x:c>
      <x:c r="F126" s="65" t="n">
        <x:v>128</x:v>
      </x:c>
      <x:c r="G126" s="65" t="n">
        <x:v>128</x:v>
      </x:c>
      <x:c r="H126" s="65" t="n">
        <x:v>1024</x:v>
      </x:c>
      <x:c r="I126" s="65" t="n">
        <x:v>128</x:v>
      </x:c>
      <x:c r="J126" s="65" t="n">
        <x:v>128</x:v>
      </x:c>
      <x:c r="K126" s="65" t="n">
        <x:v>256</x:v>
      </x:c>
      <x:c r="L126" s="65" t="n">
        <x:v>54464</x:v>
      </x:c>
      <x:c r="M126" s="66" t="n">
        <x:f>IF(AND(ISNUMBER(L126),L126&gt;0),ROUND(C126*D126*E126/8192/L126*100,1)/100,"")</x:f>
        <x:v>0.526</x:v>
      </x:c>
      <x:c r="N126" s="67" t="n">
        <x:f>IF(OR(F126="",G126="",H126=""),"",((I126+J126)*1024)/(F126*G126*H126/8192))</x:f>
        <x:v>128</x:v>
      </x:c>
      <x:c r="O126" s="67" t="n">
        <x:f>IF(OR(F126="",G126="",H126=""),"",(F126*G126*4)/(F126*G126*H126/8192))</x:f>
        <x:v>32</x:v>
      </x:c>
      <x:c r="P126" s="66" t="n">
        <x:f>IF(AND(ISNUMBER(N126),N126&gt;0),MIN(1,128/N126),"")</x:f>
        <x:v>1</x:v>
      </x:c>
      <x:c r="Q126" s="66" t="n">
        <x:f>IF(AND(ISNUMBER(O126),O126&gt;0),MIN(1,512/O126),"")</x:f>
        <x:v>1</x:v>
      </x:c>
      <x:c r="R126" s="66" t="n">
        <x:f>IF(AND(ISNUMBER(P126),ISNUMBER(Q126)),MIN(P126,Q126),"")</x:f>
        <x:v>1</x:v>
      </x:c>
      <x:c r="S126" s="67" t="n">
        <x:f>IF(AND(ISNUMBER(M126),ISNUMBER(R126)),(M126-R126)*100,"")</x:f>
        <x:v>-47.4</x:v>
      </x:c>
      <x:c r="T126" s="64" t="str">
        <x:v>PASS</x:v>
      </x:c>
      <x:c r="U126" s="68" t="str">
        <x:v>matmul_shared_lowp（FP8）；本轮 model-main 9b3a4405（6参数含SoC）2026-09-22</x:v>
      </x:c>
    </x:row>
    <x:row r="127" ht="19" customHeight="1">
      <x:c r="A127" s="64" t="str">
        <x:v>S3</x:v>
      </x:c>
      <x:c r="B127" s="64" t="str">
        <x:v>MXFP8</x:v>
      </x:c>
      <x:c r="C127" s="65" t="n">
        <x:v>256</x:v>
      </x:c>
      <x:c r="D127" s="65" t="n">
        <x:v>128</x:v>
      </x:c>
      <x:c r="E127" s="65" t="n">
        <x:v>7168</x:v>
      </x:c>
      <x:c r="F127" s="65" t="n">
        <x:v>128</x:v>
      </x:c>
      <x:c r="G127" s="65" t="n">
        <x:v>64</x:v>
      </x:c>
      <x:c r="H127" s="65" t="n">
        <x:v>256</x:v>
      </x:c>
      <x:c r="I127" s="65" t="n">
        <x:v>32</x:v>
      </x:c>
      <x:c r="J127" s="65" t="n">
        <x:v>16</x:v>
      </x:c>
      <x:c r="K127" s="65" t="n">
        <x:v>48</x:v>
      </x:c>
      <x:c r="L127" s="65" t="n">
        <x:v>95648</x:v>
      </x:c>
      <x:c r="M127" s="66" t="n">
        <x:f>IF(AND(ISNUMBER(L127),L127&gt;0),ROUND(C127*D127*E127/8192/L127*100,1)/100,"")</x:f>
        <x:v>0.3</x:v>
      </x:c>
      <x:c r="N127" s="67" t="n">
        <x:f>IF(OR(F127="",G127="",H127=""),"",((I127+J127)*1024)/(F127*G127*H127/8192))</x:f>
        <x:v>192</x:v>
      </x:c>
      <x:c r="O127" s="67" t="n">
        <x:f>IF(OR(F127="",G127="",H127=""),"",(F127*G127*4)/(F127*G127*H127/8192))</x:f>
        <x:v>128</x:v>
      </x:c>
      <x:c r="P127" s="66" t="n">
        <x:f>IF(AND(ISNUMBER(N127),N127&gt;0),MIN(1,128/N127),"")</x:f>
        <x:v>0.6666666666666666</x:v>
      </x:c>
      <x:c r="Q127" s="66" t="n">
        <x:f>IF(AND(ISNUMBER(O127),O127&gt;0),MIN(1,512/O127),"")</x:f>
        <x:v>1</x:v>
      </x:c>
      <x:c r="R127" s="66" t="n">
        <x:f>IF(AND(ISNUMBER(P127),ISNUMBER(Q127)),MIN(P127,Q127),"")</x:f>
        <x:v>0.6666666666666666</x:v>
      </x:c>
      <x:c r="S127" s="67" t="n">
        <x:f>IF(AND(ISNUMBER(M127),ISNUMBER(R127)),(M127-R127)*100,"")</x:f>
        <x:v>-36.666666666666664</x:v>
      </x:c>
      <x:c r="T127" s="64" t="str">
        <x:v>PASS</x:v>
      </x:c>
      <x:c r="U127" s="68" t="str">
        <x:v>matmul_shared_lowp（MXFP8）；本轮 model-main 9b3a4405（6参数含SoC）2026-09-22</x:v>
      </x:c>
    </x:row>
    <x:row r="128" ht="19" customHeight="1">
      <x:c r="A128" s="64" t="str">
        <x:v>S3</x:v>
      </x:c>
      <x:c r="B128" s="64" t="str">
        <x:v>MXFP8</x:v>
      </x:c>
      <x:c r="C128" s="65" t="n">
        <x:v>256</x:v>
      </x:c>
      <x:c r="D128" s="65" t="n">
        <x:v>128</x:v>
      </x:c>
      <x:c r="E128" s="65" t="n">
        <x:v>7168</x:v>
      </x:c>
      <x:c r="F128" s="65" t="n">
        <x:v>128</x:v>
      </x:c>
      <x:c r="G128" s="65" t="n">
        <x:v>64</x:v>
      </x:c>
      <x:c r="H128" s="65" t="n">
        <x:v>512</x:v>
      </x:c>
      <x:c r="I128" s="65" t="n">
        <x:v>64</x:v>
      </x:c>
      <x:c r="J128" s="65" t="n">
        <x:v>32</x:v>
      </x:c>
      <x:c r="K128" s="65" t="n">
        <x:v>96</x:v>
      </x:c>
      <x:c r="L128" s="65" t="n">
        <x:v>103377</x:v>
      </x:c>
      <x:c r="M128" s="66" t="n">
        <x:f>IF(AND(ISNUMBER(L128),L128&gt;0),ROUND(C128*D128*E128/8192/L128*100,1)/100,"")</x:f>
        <x:v>0.27699999999999997</x:v>
      </x:c>
      <x:c r="N128" s="67" t="n">
        <x:f>IF(OR(F128="",G128="",H128=""),"",((I128+J128)*1024)/(F128*G128*H128/8192))</x:f>
        <x:v>192</x:v>
      </x:c>
      <x:c r="O128" s="67" t="n">
        <x:f>IF(OR(F128="",G128="",H128=""),"",(F128*G128*4)/(F128*G128*H128/8192))</x:f>
        <x:v>64</x:v>
      </x:c>
      <x:c r="P128" s="66" t="n">
        <x:f>IF(AND(ISNUMBER(N128),N128&gt;0),MIN(1,128/N128),"")</x:f>
        <x:v>0.6666666666666666</x:v>
      </x:c>
      <x:c r="Q128" s="66" t="n">
        <x:f>IF(AND(ISNUMBER(O128),O128&gt;0),MIN(1,512/O128),"")</x:f>
        <x:v>1</x:v>
      </x:c>
      <x:c r="R128" s="66" t="n">
        <x:f>IF(AND(ISNUMBER(P128),ISNUMBER(Q128)),MIN(P128,Q128),"")</x:f>
        <x:v>0.6666666666666666</x:v>
      </x:c>
      <x:c r="S128" s="67" t="n">
        <x:f>IF(AND(ISNUMBER(M128),ISNUMBER(R128)),(M128-R128)*100,"")</x:f>
        <x:v>-38.96666666666667</x:v>
      </x:c>
      <x:c r="T128" s="64" t="str">
        <x:v>PASS</x:v>
      </x:c>
      <x:c r="U128" s="68" t="str">
        <x:v>matmul_shared_lowp（MXFP8）；本轮 model-main 9b3a4405（6参数含SoC）2026-09-22</x:v>
      </x:c>
    </x:row>
    <x:row r="129" ht="19" customHeight="1">
      <x:c r="A129" s="64" t="str">
        <x:v>S3</x:v>
      </x:c>
      <x:c r="B129" s="64" t="str">
        <x:v>MXFP8</x:v>
      </x:c>
      <x:c r="C129" s="65" t="n">
        <x:v>256</x:v>
      </x:c>
      <x:c r="D129" s="65" t="n">
        <x:v>128</x:v>
      </x:c>
      <x:c r="E129" s="65" t="n">
        <x:v>7168</x:v>
      </x:c>
      <x:c r="F129" s="65" t="n">
        <x:v>128</x:v>
      </x:c>
      <x:c r="G129" s="65" t="n">
        <x:v>64</x:v>
      </x:c>
      <x:c r="H129" s="65" t="n">
        <x:v>1024</x:v>
      </x:c>
      <x:c r="I129" s="65" t="n">
        <x:v>132</x:v>
      </x:c>
      <x:c r="J129" s="65" t="n">
        <x:v>66</x:v>
      </x:c>
      <x:c r="K129" s="65" t="n">
        <x:v>198</x:v>
      </x:c>
      <x:c r="L129" s="65" t="n">
        <x:v>102672</x:v>
      </x:c>
      <x:c r="M129" s="66" t="n">
        <x:f>IF(AND(ISNUMBER(L129),L129&gt;0),ROUND(C129*D129*E129/8192/L129*100,1)/100,"")</x:f>
        <x:v>0.27899999999999997</x:v>
      </x:c>
      <x:c r="N129" s="67" t="n">
        <x:f>IF(OR(F129="",G129="",H129=""),"",((I129+J129)*1024)/(F129*G129*H129/8192))</x:f>
        <x:v>198</x:v>
      </x:c>
      <x:c r="O129" s="67" t="n">
        <x:f>IF(OR(F129="",G129="",H129=""),"",(F129*G129*4)/(F129*G129*H129/8192))</x:f>
        <x:v>32</x:v>
      </x:c>
      <x:c r="P129" s="66" t="n">
        <x:f>IF(AND(ISNUMBER(N129),N129&gt;0),MIN(1,128/N129),"")</x:f>
        <x:v>0.6464646464646465</x:v>
      </x:c>
      <x:c r="Q129" s="66" t="n">
        <x:f>IF(AND(ISNUMBER(O129),O129&gt;0),MIN(1,512/O129),"")</x:f>
        <x:v>1</x:v>
      </x:c>
      <x:c r="R129" s="66" t="n">
        <x:f>IF(AND(ISNUMBER(P129),ISNUMBER(Q129)),MIN(P129,Q129),"")</x:f>
        <x:v>0.6464646464646465</x:v>
      </x:c>
      <x:c r="S129" s="67" t="n">
        <x:f>IF(AND(ISNUMBER(M129),ISNUMBER(R129)),(M129-R129)*100,"")</x:f>
        <x:v>-36.74646464646465</x:v>
      </x:c>
      <x:c r="T129" s="64" t="str">
        <x:v>PASS</x:v>
      </x:c>
      <x:c r="U129" s="68" t="str">
        <x:v>matmul_shared_lowp（MXFP8）；本轮 model-main 9b3a4405（6参数含SoC）2026-09-22</x:v>
      </x:c>
    </x:row>
    <x:row r="130" ht="19" customHeight="1">
      <x:c r="A130" s="53" t="str">
        <x:v>S3</x:v>
      </x:c>
      <x:c r="B130" s="54" t="str">
        <x:v>MXFP8</x:v>
      </x:c>
      <x:c r="C130" s="55" t="n">
        <x:v>256</x:v>
      </x:c>
      <x:c r="D130" s="55" t="n">
        <x:v>128</x:v>
      </x:c>
      <x:c r="E130" s="55" t="n">
        <x:v>7168</x:v>
      </x:c>
      <x:c r="F130" s="55" t="n">
        <x:v>128</x:v>
      </x:c>
      <x:c r="G130" s="55" t="n">
        <x:v>128</x:v>
      </x:c>
      <x:c r="H130" s="55" t="n">
        <x:v>256</x:v>
      </x:c>
      <x:c r="I130" s="55" t="n">
        <x:v>32</x:v>
      </x:c>
      <x:c r="J130" s="55" t="n">
        <x:v>32</x:v>
      </x:c>
      <x:c r="K130" s="55" t="n">
        <x:v>64</x:v>
      </x:c>
      <x:c r="L130" s="55" t="n">
        <x:v>59922</x:v>
      </x:c>
      <x:c r="M130" s="56" t="n">
        <x:f>IF(AND(ISNUMBER(L130),L130&gt;0),ROUND(C130*D130*E130/8192/L130*100,1)/100,"")</x:f>
        <x:v>0.478</x:v>
      </x:c>
      <x:c r="N130" s="57" t="n">
        <x:f>IF(OR(F130="",G130="",H130=""),"",((I130+J130)*1024)/(F130*G130*H130/8192))</x:f>
        <x:v>128</x:v>
      </x:c>
      <x:c r="O130" s="57" t="n">
        <x:f>IF(OR(F130="",G130="",H130=""),"",(F130*G130*4)/(F130*G130*H130/8192))</x:f>
        <x:v>128</x:v>
      </x:c>
      <x:c r="P130" s="56" t="n">
        <x:f>IF(AND(ISNUMBER(N130),N130&gt;0),MIN(1,128/N130),"")</x:f>
        <x:v>1</x:v>
      </x:c>
      <x:c r="Q130" s="56" t="n">
        <x:f>IF(AND(ISNUMBER(O130),O130&gt;0),MIN(1,512/O130),"")</x:f>
        <x:v>1</x:v>
      </x:c>
      <x:c r="R130" s="56" t="n">
        <x:f>IF(AND(ISNUMBER(P130),ISNUMBER(Q130)),MIN(P130,Q130),"")</x:f>
        <x:v>1</x:v>
      </x:c>
      <x:c r="S130" s="57" t="n">
        <x:f>IF(AND(ISNUMBER(M130),ISNUMBER(R130)),(M130-R130)*100,"")</x:f>
        <x:v>-52.2</x:v>
      </x:c>
      <x:c r="T130" s="54" t="str">
        <x:v>PASS</x:v>
      </x:c>
      <x:c r="U130" s="58" t="str">
        <x:v>matmul_shared_lowp（MXFP8）；本轮 model-main 9b3a4405（6参数含SoC）2026-09-22</x:v>
      </x:c>
    </x:row>
    <x:row r="131" ht="19" customHeight="1">
      <x:c r="A131" s="64" t="str">
        <x:v>S3</x:v>
      </x:c>
      <x:c r="B131" s="64" t="str">
        <x:v>MXFP8</x:v>
      </x:c>
      <x:c r="C131" s="65" t="n">
        <x:v>256</x:v>
      </x:c>
      <x:c r="D131" s="65" t="n">
        <x:v>128</x:v>
      </x:c>
      <x:c r="E131" s="65" t="n">
        <x:v>7168</x:v>
      </x:c>
      <x:c r="F131" s="65" t="n">
        <x:v>128</x:v>
      </x:c>
      <x:c r="G131" s="65" t="n">
        <x:v>128</x:v>
      </x:c>
      <x:c r="H131" s="65" t="n">
        <x:v>512</x:v>
      </x:c>
      <x:c r="I131" s="65" t="n">
        <x:v>64</x:v>
      </x:c>
      <x:c r="J131" s="65" t="n">
        <x:v>64</x:v>
      </x:c>
      <x:c r="K131" s="65" t="n">
        <x:v>128</x:v>
      </x:c>
      <x:c r="L131" s="65" t="n">
        <x:v>62349</x:v>
      </x:c>
      <x:c r="M131" s="66" t="n">
        <x:f>IF(AND(ISNUMBER(L131),L131&gt;0),ROUND(C131*D131*E131/8192/L131*100,1)/100,"")</x:f>
        <x:v>0.46</x:v>
      </x:c>
      <x:c r="N131" s="67" t="n">
        <x:f>IF(OR(F131="",G131="",H131=""),"",((I131+J131)*1024)/(F131*G131*H131/8192))</x:f>
        <x:v>128</x:v>
      </x:c>
      <x:c r="O131" s="67" t="n">
        <x:f>IF(OR(F131="",G131="",H131=""),"",(F131*G131*4)/(F131*G131*H131/8192))</x:f>
        <x:v>64</x:v>
      </x:c>
      <x:c r="P131" s="66" t="n">
        <x:f>IF(AND(ISNUMBER(N131),N131&gt;0),MIN(1,128/N131),"")</x:f>
        <x:v>1</x:v>
      </x:c>
      <x:c r="Q131" s="66" t="n">
        <x:f>IF(AND(ISNUMBER(O131),O131&gt;0),MIN(1,512/O131),"")</x:f>
        <x:v>1</x:v>
      </x:c>
      <x:c r="R131" s="66" t="n">
        <x:f>IF(AND(ISNUMBER(P131),ISNUMBER(Q131)),MIN(P131,Q131),"")</x:f>
        <x:v>1</x:v>
      </x:c>
      <x:c r="S131" s="67" t="n">
        <x:f>IF(AND(ISNUMBER(M131),ISNUMBER(R131)),(M131-R131)*100,"")</x:f>
        <x:v>-54</x:v>
      </x:c>
      <x:c r="T131" s="64" t="str">
        <x:v>PASS</x:v>
      </x:c>
      <x:c r="U131" s="68" t="str">
        <x:v>matmul_shared_lowp（MXFP8）；本轮 model-main 9b3a4405（6参数含SoC）2026-09-22</x:v>
      </x:c>
    </x:row>
    <x:row r="132" ht="19" customHeight="1">
      <x:c r="A132" s="64" t="str">
        <x:v>S3</x:v>
      </x:c>
      <x:c r="B132" s="64" t="str">
        <x:v>MXFP4</x:v>
      </x:c>
      <x:c r="C132" s="65" t="n">
        <x:v>256</x:v>
      </x:c>
      <x:c r="D132" s="65" t="n">
        <x:v>128</x:v>
      </x:c>
      <x:c r="E132" s="65" t="n">
        <x:v>7168</x:v>
      </x:c>
      <x:c r="F132" s="65" t="n">
        <x:v>128</x:v>
      </x:c>
      <x:c r="G132" s="65" t="n">
        <x:v>64</x:v>
      </x:c>
      <x:c r="H132" s="65" t="n">
        <x:v>256</x:v>
      </x:c>
      <x:c r="I132" s="65" t="n">
        <x:v>32</x:v>
      </x:c>
      <x:c r="J132" s="65" t="n">
        <x:v>16</x:v>
      </x:c>
      <x:c r="K132" s="65" t="n">
        <x:v>48</x:v>
      </x:c>
      <x:c r="L132" s="65" t="n">
        <x:v>113277</x:v>
      </x:c>
      <x:c r="M132" s="66" t="n">
        <x:f>IF(AND(ISNUMBER(L132),L132&gt;0),ROUND(C132*D132*E132/16384/L132*100,1)/100,"")</x:f>
        <x:v>0.127</x:v>
      </x:c>
      <x:c r="N132" s="67" t="n">
        <x:f>IF(OR(F132="",G132="",H132=""),"",((I132+J132)*1024)/(F132*G132*H132/16384))</x:f>
        <x:v>384</x:v>
      </x:c>
      <x:c r="O132" s="67" t="n">
        <x:f>IF(OR(F132="",G132="",H132=""),"",(F132*G132*4)/(F132*G132*H132/16384))</x:f>
        <x:v>256</x:v>
      </x:c>
      <x:c r="P132" s="66" t="n">
        <x:f>IF(AND(ISNUMBER(N132),N132&gt;0),MIN(1,128/N132),"")</x:f>
        <x:v>0.3333333333333333</x:v>
      </x:c>
      <x:c r="Q132" s="66" t="n">
        <x:f>IF(AND(ISNUMBER(O132),O132&gt;0),MIN(1,512/O132),"")</x:f>
        <x:v>1</x:v>
      </x:c>
      <x:c r="R132" s="66" t="n">
        <x:f>IF(AND(ISNUMBER(P132),ISNUMBER(Q132)),MIN(P132,Q132),"")</x:f>
        <x:v>0.3333333333333333</x:v>
      </x:c>
      <x:c r="S132" s="67" t="n">
        <x:f>IF(AND(ISNUMBER(M132),ISNUMBER(R132)),(M132-R132)*100,"")</x:f>
        <x:v>-20.633333333333333</x:v>
      </x:c>
      <x:c r="T132" s="64" t="str">
        <x:v>PASS</x:v>
      </x:c>
      <x:c r="U132" s="68" t="str">
        <x:v>matmul_shared_lowp（MXFP4）；本轮 model-main 9b3a4405（6参数含SoC）2026-09-22</x:v>
      </x:c>
    </x:row>
    <x:row r="133" ht="19" customHeight="1">
      <x:c r="A133" s="64" t="str">
        <x:v>S3</x:v>
      </x:c>
      <x:c r="B133" s="64" t="str">
        <x:v>MXFP4</x:v>
      </x:c>
      <x:c r="C133" s="65" t="n">
        <x:v>256</x:v>
      </x:c>
      <x:c r="D133" s="65" t="n">
        <x:v>128</x:v>
      </x:c>
      <x:c r="E133" s="65" t="n">
        <x:v>7168</x:v>
      </x:c>
      <x:c r="F133" s="65" t="n">
        <x:v>128</x:v>
      </x:c>
      <x:c r="G133" s="65" t="n">
        <x:v>64</x:v>
      </x:c>
      <x:c r="H133" s="65" t="n">
        <x:v>512</x:v>
      </x:c>
      <x:c r="I133" s="65" t="n">
        <x:v>64</x:v>
      </x:c>
      <x:c r="J133" s="65" t="n">
        <x:v>32</x:v>
      </x:c>
      <x:c r="K133" s="65" t="n">
        <x:v>96</x:v>
      </x:c>
      <x:c r="L133" s="65" t="n">
        <x:v>102146</x:v>
      </x:c>
      <x:c r="M133" s="66" t="n">
        <x:f>IF(AND(ISNUMBER(L133),L133&gt;0),ROUND(C133*D133*E133/16384/L133*100,1)/100,"")</x:f>
        <x:v>0.14</x:v>
      </x:c>
      <x:c r="N133" s="67" t="n">
        <x:f>IF(OR(F133="",G133="",H133=""),"",((I133+J133)*1024)/(F133*G133*H133/16384))</x:f>
        <x:v>384</x:v>
      </x:c>
      <x:c r="O133" s="67" t="n">
        <x:f>IF(OR(F133="",G133="",H133=""),"",(F133*G133*4)/(F133*G133*H133/16384))</x:f>
        <x:v>128</x:v>
      </x:c>
      <x:c r="P133" s="66" t="n">
        <x:f>IF(AND(ISNUMBER(N133),N133&gt;0),MIN(1,128/N133),"")</x:f>
        <x:v>0.3333333333333333</x:v>
      </x:c>
      <x:c r="Q133" s="66" t="n">
        <x:f>IF(AND(ISNUMBER(O133),O133&gt;0),MIN(1,512/O133),"")</x:f>
        <x:v>1</x:v>
      </x:c>
      <x:c r="R133" s="66" t="n">
        <x:f>IF(AND(ISNUMBER(P133),ISNUMBER(Q133)),MIN(P133,Q133),"")</x:f>
        <x:v>0.3333333333333333</x:v>
      </x:c>
      <x:c r="S133" s="67" t="n">
        <x:f>IF(AND(ISNUMBER(M133),ISNUMBER(R133)),(M133-R133)*100,"")</x:f>
        <x:v>-19.33333333333333</x:v>
      </x:c>
      <x:c r="T133" s="64" t="str">
        <x:v>PASS</x:v>
      </x:c>
      <x:c r="U133" s="68" t="str">
        <x:v>matmul_shared_lowp（MXFP4）；本轮 model-main 9b3a4405（6参数含SoC）2026-09-22</x:v>
      </x:c>
    </x:row>
    <x:row r="134" ht="19" customHeight="1">
      <x:c r="A134" s="64" t="str">
        <x:v>S3</x:v>
      </x:c>
      <x:c r="B134" s="64" t="str">
        <x:v>MXFP4</x:v>
      </x:c>
      <x:c r="C134" s="65" t="n">
        <x:v>256</x:v>
      </x:c>
      <x:c r="D134" s="65" t="n">
        <x:v>128</x:v>
      </x:c>
      <x:c r="E134" s="65" t="n">
        <x:v>7168</x:v>
      </x:c>
      <x:c r="F134" s="65" t="n">
        <x:v>128</x:v>
      </x:c>
      <x:c r="G134" s="65" t="n">
        <x:v>64</x:v>
      </x:c>
      <x:c r="H134" s="65" t="n">
        <x:v>1024</x:v>
      </x:c>
      <x:c r="I134" s="65" t="n">
        <x:v>132</x:v>
      </x:c>
      <x:c r="J134" s="65" t="n">
        <x:v>66</x:v>
      </x:c>
      <x:c r="K134" s="65" t="n">
        <x:v>198</x:v>
      </x:c>
      <x:c r="L134" s="65" t="n">
        <x:v>99796</x:v>
      </x:c>
      <x:c r="M134" s="66" t="n">
        <x:f>IF(AND(ISNUMBER(L134),L134&gt;0),ROUND(C134*D134*E134/16384/L134*100,1)/100,"")</x:f>
        <x:v>0.14400000000000002</x:v>
      </x:c>
      <x:c r="N134" s="67" t="n">
        <x:f>IF(OR(F134="",G134="",H134=""),"",((I134+J134)*1024)/(F134*G134*H134/16384))</x:f>
        <x:v>396</x:v>
      </x:c>
      <x:c r="O134" s="67" t="n">
        <x:f>IF(OR(F134="",G134="",H134=""),"",(F134*G134*4)/(F134*G134*H134/16384))</x:f>
        <x:v>64</x:v>
      </x:c>
      <x:c r="P134" s="66" t="n">
        <x:f>IF(AND(ISNUMBER(N134),N134&gt;0),MIN(1,128/N134),"")</x:f>
        <x:v>0.32323232323232326</x:v>
      </x:c>
      <x:c r="Q134" s="66" t="n">
        <x:f>IF(AND(ISNUMBER(O134),O134&gt;0),MIN(1,512/O134),"")</x:f>
        <x:v>1</x:v>
      </x:c>
      <x:c r="R134" s="66" t="n">
        <x:f>IF(AND(ISNUMBER(P134),ISNUMBER(Q134)),MIN(P134,Q134),"")</x:f>
        <x:v>0.32323232323232326</x:v>
      </x:c>
      <x:c r="S134" s="67" t="n">
        <x:f>IF(AND(ISNUMBER(M134),ISNUMBER(R134)),(M134-R134)*100,"")</x:f>
        <x:v>-17.923232323232323</x:v>
      </x:c>
      <x:c r="T134" s="64" t="str">
        <x:v>PASS</x:v>
      </x:c>
      <x:c r="U134" s="68" t="str">
        <x:v>matmul_shared_lowp（MXFP4）；本轮 model-main 9b3a4405（6参数含SoC）2026-09-22</x:v>
      </x:c>
    </x:row>
    <x:row r="135" ht="19" customHeight="1">
      <x:c r="A135" s="64" t="str">
        <x:v>S3</x:v>
      </x:c>
      <x:c r="B135" s="64" t="str">
        <x:v>MXFP4</x:v>
      </x:c>
      <x:c r="C135" s="65" t="n">
        <x:v>256</x:v>
      </x:c>
      <x:c r="D135" s="65" t="n">
        <x:v>128</x:v>
      </x:c>
      <x:c r="E135" s="65" t="n">
        <x:v>7168</x:v>
      </x:c>
      <x:c r="F135" s="65" t="n">
        <x:v>128</x:v>
      </x:c>
      <x:c r="G135" s="65" t="n">
        <x:v>128</x:v>
      </x:c>
      <x:c r="H135" s="65" t="n">
        <x:v>256</x:v>
      </x:c>
      <x:c r="I135" s="65" t="n">
        <x:v>32</x:v>
      </x:c>
      <x:c r="J135" s="65" t="n">
        <x:v>32</x:v>
      </x:c>
      <x:c r="K135" s="65" t="n">
        <x:v>64</x:v>
      </x:c>
      <x:c r="L135" s="65" t="n">
        <x:v>64578</x:v>
      </x:c>
      <x:c r="M135" s="66" t="n">
        <x:f>IF(AND(ISNUMBER(L135),L135&gt;0),ROUND(C135*D135*E135/16384/L135*100,1)/100,"")</x:f>
        <x:v>0.222</x:v>
      </x:c>
      <x:c r="N135" s="67" t="n">
        <x:f>IF(OR(F135="",G135="",H135=""),"",((I135+J135)*1024)/(F135*G135*H135/16384))</x:f>
        <x:v>256</x:v>
      </x:c>
      <x:c r="O135" s="67" t="n">
        <x:f>IF(OR(F135="",G135="",H135=""),"",(F135*G135*4)/(F135*G135*H135/16384))</x:f>
        <x:v>256</x:v>
      </x:c>
      <x:c r="P135" s="66" t="n">
        <x:f>IF(AND(ISNUMBER(N135),N135&gt;0),MIN(1,128/N135),"")</x:f>
        <x:v>0.5</x:v>
      </x:c>
      <x:c r="Q135" s="66" t="n">
        <x:f>IF(AND(ISNUMBER(O135),O135&gt;0),MIN(1,512/O135),"")</x:f>
        <x:v>1</x:v>
      </x:c>
      <x:c r="R135" s="66" t="n">
        <x:f>IF(AND(ISNUMBER(P135),ISNUMBER(Q135)),MIN(P135,Q135),"")</x:f>
        <x:v>0.5</x:v>
      </x:c>
      <x:c r="S135" s="67" t="n">
        <x:f>IF(AND(ISNUMBER(M135),ISNUMBER(R135)),(M135-R135)*100,"")</x:f>
        <x:v>-27.800000000000004</x:v>
      </x:c>
      <x:c r="T135" s="64" t="str">
        <x:v>PASS</x:v>
      </x:c>
      <x:c r="U135" s="68" t="str">
        <x:v>matmul_shared_lowp（MXFP4）；本轮 model-main 9b3a4405（6参数含SoC）2026-09-22</x:v>
      </x:c>
    </x:row>
    <x:row r="136" ht="19" customHeight="1">
      <x:c r="A136" s="53" t="str">
        <x:v>S3</x:v>
      </x:c>
      <x:c r="B136" s="54" t="str">
        <x:v>MXFP4</x:v>
      </x:c>
      <x:c r="C136" s="55" t="n">
        <x:v>256</x:v>
      </x:c>
      <x:c r="D136" s="55" t="n">
        <x:v>128</x:v>
      </x:c>
      <x:c r="E136" s="55" t="n">
        <x:v>7168</x:v>
      </x:c>
      <x:c r="F136" s="55" t="n">
        <x:v>128</x:v>
      </x:c>
      <x:c r="G136" s="55" t="n">
        <x:v>128</x:v>
      </x:c>
      <x:c r="H136" s="55" t="n">
        <x:v>512</x:v>
      </x:c>
      <x:c r="I136" s="55" t="n">
        <x:v>64</x:v>
      </x:c>
      <x:c r="J136" s="55" t="n">
        <x:v>64</x:v>
      </x:c>
      <x:c r="K136" s="55" t="n">
        <x:v>128</x:v>
      </x:c>
      <x:c r="L136" s="55" t="n">
        <x:v>61599</x:v>
      </x:c>
      <x:c r="M136" s="56" t="n">
        <x:f>IF(AND(ISNUMBER(L136),L136&gt;0),ROUND(C136*D136*E136/16384/L136*100,1)/100,"")</x:f>
        <x:v>0.233</x:v>
      </x:c>
      <x:c r="N136" s="57" t="n">
        <x:f>IF(OR(F136="",G136="",H136=""),"",((I136+J136)*1024)/(F136*G136*H136/16384))</x:f>
        <x:v>256</x:v>
      </x:c>
      <x:c r="O136" s="57" t="n">
        <x:f>IF(OR(F136="",G136="",H136=""),"",(F136*G136*4)/(F136*G136*H136/16384))</x:f>
        <x:v>128</x:v>
      </x:c>
      <x:c r="P136" s="56" t="n">
        <x:f>IF(AND(ISNUMBER(N136),N136&gt;0),MIN(1,128/N136),"")</x:f>
        <x:v>0.5</x:v>
      </x:c>
      <x:c r="Q136" s="56" t="n">
        <x:f>IF(AND(ISNUMBER(O136),O136&gt;0),MIN(1,512/O136),"")</x:f>
        <x:v>1</x:v>
      </x:c>
      <x:c r="R136" s="56" t="n">
        <x:f>IF(AND(ISNUMBER(P136),ISNUMBER(Q136)),MIN(P136,Q136),"")</x:f>
        <x:v>0.5</x:v>
      </x:c>
      <x:c r="S136" s="57" t="n">
        <x:f>IF(AND(ISNUMBER(M136),ISNUMBER(R136)),(M136-R136)*100,"")</x:f>
        <x:v>-26.700000000000003</x:v>
      </x:c>
      <x:c r="T136" s="54" t="str">
        <x:v>PASS</x:v>
      </x:c>
      <x:c r="U136" s="58" t="str">
        <x:v>matmul_shared_lowp（MXFP4）；本轮 model-main 9b3a4405（6参数含SoC）2026-09-22</x:v>
      </x:c>
    </x:row>
    <x:row r="137" ht="19" customHeight="1">
      <x:c r="A137" s="69" t="str">
        <x:v>S4</x:v>
      </x:c>
      <x:c r="B137" s="69" t="str">
        <x:v>FP32</x:v>
      </x:c>
      <x:c r="C137" s="70" t="n">
        <x:v>64</x:v>
      </x:c>
      <x:c r="D137" s="70" t="n">
        <x:v>128</x:v>
      </x:c>
      <x:c r="E137" s="70" t="n">
        <x:v>7168</x:v>
      </x:c>
      <x:c r="F137" s="70" t="n">
        <x:v>128</x:v>
      </x:c>
      <x:c r="G137" s="70" t="n">
        <x:v>64</x:v>
      </x:c>
      <x:c r="H137" s="70" t="n">
        <x:v>64</x:v>
      </x:c>
      <x:c r="I137" s="70" t="n">
        <x:v>32</x:v>
      </x:c>
      <x:c r="J137" s="70" t="n">
        <x:v>16</x:v>
      </x:c>
      <x:c r="K137" s="70" t="n">
        <x:v>48</x:v>
      </x:c>
      <x:c r="L137" s="70" t="n">
        <x:v>101063</x:v>
      </x:c>
      <x:c r="M137" s="71" t="n">
        <x:f>IF(AND(ISNUMBER(L137),L137&gt;0),ROUND(C137*D137*E137/2048/L137*100,1)/100,"")</x:f>
        <x:v>0.284</x:v>
      </x:c>
      <x:c r="N137" s="72" t="n">
        <x:f>IF(OR(F137="",G137="",H137=""),"",((I137+J137)*1024)/(F137*G137*H137/2048))</x:f>
        <x:v>192</x:v>
      </x:c>
      <x:c r="O137" s="72" t="n">
        <x:f>IF(OR(F137="",G137="",H137=""),"",(F137*G137*4)/(F137*G137*H137/2048))</x:f>
        <x:v>128</x:v>
      </x:c>
      <x:c r="P137" s="71" t="n">
        <x:f>IF(AND(ISNUMBER(N137),N137&gt;0),MIN(1,128/N137),"")</x:f>
        <x:v>0.6666666666666666</x:v>
      </x:c>
      <x:c r="Q137" s="71" t="n">
        <x:f>IF(AND(ISNUMBER(O137),O137&gt;0),MIN(1,512/O137),"")</x:f>
        <x:v>1</x:v>
      </x:c>
      <x:c r="R137" s="71" t="n">
        <x:f>IF(AND(ISNUMBER(P137),ISNUMBER(Q137)),MIN(P137,Q137),"")</x:f>
        <x:v>0.6666666666666666</x:v>
      </x:c>
      <x:c r="S137" s="72" t="n">
        <x:f>IF(AND(ISNUMBER(M137),ISNUMBER(R137)),(M137-R137)*100,"")</x:f>
        <x:v>-38.266666666666666</x:v>
      </x:c>
      <x:c r="T137" s="69" t="str">
        <x:v>PASS</x:v>
      </x:c>
      <x:c r="U137" s="73" t="str">
        <x:v>本轮 model-main 9b3a4405（6参数含SoC）2026-09-22</x:v>
      </x:c>
    </x:row>
    <x:row r="138" ht="19" customHeight="1">
      <x:c r="A138" s="69" t="str">
        <x:v>S4</x:v>
      </x:c>
      <x:c r="B138" s="69" t="str">
        <x:v>FP32</x:v>
      </x:c>
      <x:c r="C138" s="70" t="n">
        <x:v>64</x:v>
      </x:c>
      <x:c r="D138" s="70" t="n">
        <x:v>128</x:v>
      </x:c>
      <x:c r="E138" s="70" t="n">
        <x:v>7168</x:v>
      </x:c>
      <x:c r="F138" s="70" t="n">
        <x:v>128</x:v>
      </x:c>
      <x:c r="G138" s="70" t="n">
        <x:v>64</x:v>
      </x:c>
      <x:c r="H138" s="70" t="n">
        <x:v>128</x:v>
      </x:c>
      <x:c r="I138" s="70" t="n">
        <x:v>64</x:v>
      </x:c>
      <x:c r="J138" s="70" t="n">
        <x:v>32</x:v>
      </x:c>
      <x:c r="K138" s="70" t="n">
        <x:v>96</x:v>
      </x:c>
      <x:c r="L138" s="70" t="n">
        <x:v>101089</x:v>
      </x:c>
      <x:c r="M138" s="71" t="n">
        <x:f>IF(AND(ISNUMBER(L138),L138&gt;0),ROUND(C138*D138*E138/2048/L138*100,1)/100,"")</x:f>
        <x:v>0.284</x:v>
      </x:c>
      <x:c r="N138" s="72" t="n">
        <x:f>IF(OR(F138="",G138="",H138=""),"",((I138+J138)*1024)/(F138*G138*H138/2048))</x:f>
        <x:v>192</x:v>
      </x:c>
      <x:c r="O138" s="72" t="n">
        <x:f>IF(OR(F138="",G138="",H138=""),"",(F138*G138*4)/(F138*G138*H138/2048))</x:f>
        <x:v>64</x:v>
      </x:c>
      <x:c r="P138" s="71" t="n">
        <x:f>IF(AND(ISNUMBER(N138),N138&gt;0),MIN(1,128/N138),"")</x:f>
        <x:v>0.6666666666666666</x:v>
      </x:c>
      <x:c r="Q138" s="71" t="n">
        <x:f>IF(AND(ISNUMBER(O138),O138&gt;0),MIN(1,512/O138),"")</x:f>
        <x:v>1</x:v>
      </x:c>
      <x:c r="R138" s="71" t="n">
        <x:f>IF(AND(ISNUMBER(P138),ISNUMBER(Q138)),MIN(P138,Q138),"")</x:f>
        <x:v>0.6666666666666666</x:v>
      </x:c>
      <x:c r="S138" s="72" t="n">
        <x:f>IF(AND(ISNUMBER(M138),ISNUMBER(R138)),(M138-R138)*100,"")</x:f>
        <x:v>-38.266666666666666</x:v>
      </x:c>
      <x:c r="T138" s="69" t="str">
        <x:v>PASS</x:v>
      </x:c>
      <x:c r="U138" s="73" t="str">
        <x:v>本轮 model-main 9b3a4405（6参数含SoC）2026-09-22</x:v>
      </x:c>
    </x:row>
    <x:row r="139" ht="19" customHeight="1">
      <x:c r="A139" s="69" t="str">
        <x:v>S4</x:v>
      </x:c>
      <x:c r="B139" s="69" t="str">
        <x:v>FP32</x:v>
      </x:c>
      <x:c r="C139" s="70" t="n">
        <x:v>64</x:v>
      </x:c>
      <x:c r="D139" s="70" t="n">
        <x:v>128</x:v>
      </x:c>
      <x:c r="E139" s="70" t="n">
        <x:v>7168</x:v>
      </x:c>
      <x:c r="F139" s="70" t="n">
        <x:v>128</x:v>
      </x:c>
      <x:c r="G139" s="70" t="n">
        <x:v>64</x:v>
      </x:c>
      <x:c r="H139" s="70" t="n">
        <x:v>256</x:v>
      </x:c>
      <x:c r="I139" s="70" t="n">
        <x:v>128</x:v>
      </x:c>
      <x:c r="J139" s="70" t="n">
        <x:v>64</x:v>
      </x:c>
      <x:c r="K139" s="70" t="n">
        <x:v>192</x:v>
      </x:c>
      <x:c r="L139" s="70" t="n">
        <x:v>101417</x:v>
      </x:c>
      <x:c r="M139" s="71" t="n">
        <x:f>IF(AND(ISNUMBER(L139),L139&gt;0),ROUND(C139*D139*E139/2048/L139*100,1)/100,"")</x:f>
        <x:v>0.28300000000000003</x:v>
      </x:c>
      <x:c r="N139" s="72" t="n">
        <x:f>IF(OR(F139="",G139="",H139=""),"",((I139+J139)*1024)/(F139*G139*H139/2048))</x:f>
        <x:v>192</x:v>
      </x:c>
      <x:c r="O139" s="72" t="n">
        <x:f>IF(OR(F139="",G139="",H139=""),"",(F139*G139*4)/(F139*G139*H139/2048))</x:f>
        <x:v>32</x:v>
      </x:c>
      <x:c r="P139" s="71" t="n">
        <x:f>IF(AND(ISNUMBER(N139),N139&gt;0),MIN(1,128/N139),"")</x:f>
        <x:v>0.6666666666666666</x:v>
      </x:c>
      <x:c r="Q139" s="71" t="n">
        <x:f>IF(AND(ISNUMBER(O139),O139&gt;0),MIN(1,512/O139),"")</x:f>
        <x:v>1</x:v>
      </x:c>
      <x:c r="R139" s="71" t="n">
        <x:f>IF(AND(ISNUMBER(P139),ISNUMBER(Q139)),MIN(P139,Q139),"")</x:f>
        <x:v>0.6666666666666666</x:v>
      </x:c>
      <x:c r="S139" s="72" t="n">
        <x:f>IF(AND(ISNUMBER(M139),ISNUMBER(R139)),(M139-R139)*100,"")</x:f>
        <x:v>-38.36666666666666</x:v>
      </x:c>
      <x:c r="T139" s="69" t="str">
        <x:v>PASS</x:v>
      </x:c>
      <x:c r="U139" s="73" t="str">
        <x:v>本轮 model-main 9b3a4405（6参数含SoC）2026-09-22</x:v>
      </x:c>
    </x:row>
    <x:row r="140" ht="19" customHeight="1">
      <x:c r="A140" s="53" t="str">
        <x:v>S4</x:v>
      </x:c>
      <x:c r="B140" s="54" t="str">
        <x:v>FP32</x:v>
      </x:c>
      <x:c r="C140" s="55" t="n">
        <x:v>64</x:v>
      </x:c>
      <x:c r="D140" s="55" t="n">
        <x:v>128</x:v>
      </x:c>
      <x:c r="E140" s="55" t="n">
        <x:v>7168</x:v>
      </x:c>
      <x:c r="F140" s="55" t="n">
        <x:v>128</x:v>
      </x:c>
      <x:c r="G140" s="55" t="n">
        <x:v>128</x:v>
      </x:c>
      <x:c r="H140" s="55" t="n">
        <x:v>64</x:v>
      </x:c>
      <x:c r="I140" s="55" t="n">
        <x:v>32</x:v>
      </x:c>
      <x:c r="J140" s="55" t="n">
        <x:v>32</x:v>
      </x:c>
      <x:c r="K140" s="55" t="n">
        <x:v>64</x:v>
      </x:c>
      <x:c r="L140" s="55" t="n">
        <x:v>76502</x:v>
      </x:c>
      <x:c r="M140" s="56" t="n">
        <x:f>IF(AND(ISNUMBER(L140),L140&gt;0),ROUND(C140*D140*E140/2048/L140*100,1)/100,"")</x:f>
        <x:v>0.375</x:v>
      </x:c>
      <x:c r="N140" s="57" t="n">
        <x:f>IF(OR(F140="",G140="",H140=""),"",((I140+J140)*1024)/(F140*G140*H140/2048))</x:f>
        <x:v>128</x:v>
      </x:c>
      <x:c r="O140" s="57" t="n">
        <x:f>IF(OR(F140="",G140="",H140=""),"",(F140*G140*4)/(F140*G140*H140/2048))</x:f>
        <x:v>128</x:v>
      </x:c>
      <x:c r="P140" s="56" t="n">
        <x:f>IF(AND(ISNUMBER(N140),N140&gt;0),MIN(1,128/N140),"")</x:f>
        <x:v>1</x:v>
      </x:c>
      <x:c r="Q140" s="56" t="n">
        <x:f>IF(AND(ISNUMBER(O140),O140&gt;0),MIN(1,512/O140),"")</x:f>
        <x:v>1</x:v>
      </x:c>
      <x:c r="R140" s="56" t="n">
        <x:f>IF(AND(ISNUMBER(P140),ISNUMBER(Q140)),MIN(P140,Q140),"")</x:f>
        <x:v>1</x:v>
      </x:c>
      <x:c r="S140" s="57" t="n">
        <x:f>IF(AND(ISNUMBER(M140),ISNUMBER(R140)),(M140-R140)*100,"")</x:f>
        <x:v>-62.5</x:v>
      </x:c>
      <x:c r="T140" s="54" t="str">
        <x:v>PASS</x:v>
      </x:c>
      <x:c r="U140" s="58" t="str">
        <x:v>本轮 model-main 9b3a4405（6参数含SoC）2026-09-22</x:v>
      </x:c>
    </x:row>
    <x:row r="141" ht="19" customHeight="1">
      <x:c r="A141" s="69" t="str">
        <x:v>S4</x:v>
      </x:c>
      <x:c r="B141" s="69" t="str">
        <x:v>FP32</x:v>
      </x:c>
      <x:c r="C141" s="70" t="n">
        <x:v>64</x:v>
      </x:c>
      <x:c r="D141" s="70" t="n">
        <x:v>128</x:v>
      </x:c>
      <x:c r="E141" s="70" t="n">
        <x:v>7168</x:v>
      </x:c>
      <x:c r="F141" s="70" t="n">
        <x:v>128</x:v>
      </x:c>
      <x:c r="G141" s="70" t="n">
        <x:v>128</x:v>
      </x:c>
      <x:c r="H141" s="70" t="n">
        <x:v>128</x:v>
      </x:c>
      <x:c r="I141" s="70" t="n">
        <x:v>64</x:v>
      </x:c>
      <x:c r="J141" s="70" t="n">
        <x:v>64</x:v>
      </x:c>
      <x:c r="K141" s="70" t="n">
        <x:v>128</x:v>
      </x:c>
      <x:c r="L141" s="70" t="n">
        <x:v>76740</x:v>
      </x:c>
      <x:c r="M141" s="71" t="n">
        <x:f>IF(AND(ISNUMBER(L141),L141&gt;0),ROUND(C141*D141*E141/2048/L141*100,1)/100,"")</x:f>
        <x:v>0.374</x:v>
      </x:c>
      <x:c r="N141" s="72" t="n">
        <x:f>IF(OR(F141="",G141="",H141=""),"",((I141+J141)*1024)/(F141*G141*H141/2048))</x:f>
        <x:v>128</x:v>
      </x:c>
      <x:c r="O141" s="72" t="n">
        <x:f>IF(OR(F141="",G141="",H141=""),"",(F141*G141*4)/(F141*G141*H141/2048))</x:f>
        <x:v>64</x:v>
      </x:c>
      <x:c r="P141" s="71" t="n">
        <x:f>IF(AND(ISNUMBER(N141),N141&gt;0),MIN(1,128/N141),"")</x:f>
        <x:v>1</x:v>
      </x:c>
      <x:c r="Q141" s="71" t="n">
        <x:f>IF(AND(ISNUMBER(O141),O141&gt;0),MIN(1,512/O141),"")</x:f>
        <x:v>1</x:v>
      </x:c>
      <x:c r="R141" s="71" t="n">
        <x:f>IF(AND(ISNUMBER(P141),ISNUMBER(Q141)),MIN(P141,Q141),"")</x:f>
        <x:v>1</x:v>
      </x:c>
      <x:c r="S141" s="72" t="n">
        <x:f>IF(AND(ISNUMBER(M141),ISNUMBER(R141)),(M141-R141)*100,"")</x:f>
        <x:v>-62.6</x:v>
      </x:c>
      <x:c r="T141" s="69" t="str">
        <x:v>PASS</x:v>
      </x:c>
      <x:c r="U141" s="73" t="str">
        <x:v>本轮 model-main 9b3a4405（6参数含SoC）2026-09-22</x:v>
      </x:c>
    </x:row>
    <x:row r="142" ht="19" customHeight="1">
      <x:c r="A142" s="69" t="str">
        <x:v>S4</x:v>
      </x:c>
      <x:c r="B142" s="69" t="str">
        <x:v>FP32</x:v>
      </x:c>
      <x:c r="C142" s="70" t="n">
        <x:v>64</x:v>
      </x:c>
      <x:c r="D142" s="70" t="n">
        <x:v>128</x:v>
      </x:c>
      <x:c r="E142" s="70" t="n">
        <x:v>7168</x:v>
      </x:c>
      <x:c r="F142" s="70" t="n">
        <x:v>128</x:v>
      </x:c>
      <x:c r="G142" s="70" t="n">
        <x:v>128</x:v>
      </x:c>
      <x:c r="H142" s="70" t="n">
        <x:v>256</x:v>
      </x:c>
      <x:c r="I142" s="70" t="n">
        <x:v>128</x:v>
      </x:c>
      <x:c r="J142" s="70" t="n">
        <x:v>128</x:v>
      </x:c>
      <x:c r="K142" s="70" t="n">
        <x:v>256</x:v>
      </x:c>
      <x:c r="L142" s="70" t="n">
        <x:v>77454</x:v>
      </x:c>
      <x:c r="M142" s="71" t="n">
        <x:f>IF(AND(ISNUMBER(L142),L142&gt;0),ROUND(C142*D142*E142/2048/L142*100,1)/100,"")</x:f>
        <x:v>0.37</x:v>
      </x:c>
      <x:c r="N142" s="72" t="n">
        <x:f>IF(OR(F142="",G142="",H142=""),"",((I142+J142)*1024)/(F142*G142*H142/2048))</x:f>
        <x:v>128</x:v>
      </x:c>
      <x:c r="O142" s="72" t="n">
        <x:f>IF(OR(F142="",G142="",H142=""),"",(F142*G142*4)/(F142*G142*H142/2048))</x:f>
        <x:v>32</x:v>
      </x:c>
      <x:c r="P142" s="71" t="n">
        <x:f>IF(AND(ISNUMBER(N142),N142&gt;0),MIN(1,128/N142),"")</x:f>
        <x:v>1</x:v>
      </x:c>
      <x:c r="Q142" s="71" t="n">
        <x:f>IF(AND(ISNUMBER(O142),O142&gt;0),MIN(1,512/O142),"")</x:f>
        <x:v>1</x:v>
      </x:c>
      <x:c r="R142" s="71" t="n">
        <x:f>IF(AND(ISNUMBER(P142),ISNUMBER(Q142)),MIN(P142,Q142),"")</x:f>
        <x:v>1</x:v>
      </x:c>
      <x:c r="S142" s="72" t="n">
        <x:f>IF(AND(ISNUMBER(M142),ISNUMBER(R142)),(M142-R142)*100,"")</x:f>
        <x:v>-63</x:v>
      </x:c>
      <x:c r="T142" s="69" t="str">
        <x:v>PASS</x:v>
      </x:c>
      <x:c r="U142" s="73" t="str">
        <x:v>本轮 model-main 9b3a4405（6参数含SoC）2026-09-22</x:v>
      </x:c>
    </x:row>
    <x:row r="143" ht="19" customHeight="1">
      <x:c r="A143" s="69" t="str">
        <x:v>S4</x:v>
      </x:c>
      <x:c r="B143" s="69" t="str">
        <x:v>BF16</x:v>
      </x:c>
      <x:c r="C143" s="70" t="n">
        <x:v>64</x:v>
      </x:c>
      <x:c r="D143" s="70" t="n">
        <x:v>128</x:v>
      </x:c>
      <x:c r="E143" s="70" t="n">
        <x:v>7168</x:v>
      </x:c>
      <x:c r="F143" s="70" t="n">
        <x:v>128</x:v>
      </x:c>
      <x:c r="G143" s="70" t="n">
        <x:v>64</x:v>
      </x:c>
      <x:c r="H143" s="70" t="n">
        <x:v>64</x:v>
      </x:c>
      <x:c r="I143" s="70" t="n">
        <x:v>16</x:v>
      </x:c>
      <x:c r="J143" s="70" t="n">
        <x:v>8</x:v>
      </x:c>
      <x:c r="K143" s="70" t="n">
        <x:v>24</x:v>
      </x:c>
      <x:c r="L143" s="70" t="n">
        <x:v>70699</x:v>
      </x:c>
      <x:c r="M143" s="71" t="n">
        <x:f>IF(AND(ISNUMBER(L143),L143&gt;0),ROUND(C143*D143*E143/4096/L143*100,1)/100,"")</x:f>
        <x:v>0.203</x:v>
      </x:c>
      <x:c r="N143" s="72" t="n">
        <x:f>IF(OR(F143="",G143="",H143=""),"",((I143+J143)*1024)/(F143*G143*H143/4096))</x:f>
        <x:v>192</x:v>
      </x:c>
      <x:c r="O143" s="72" t="n">
        <x:f>IF(OR(F143="",G143="",H143=""),"",(F143*G143*4)/(F143*G143*H143/4096))</x:f>
        <x:v>256</x:v>
      </x:c>
      <x:c r="P143" s="71" t="n">
        <x:f>IF(AND(ISNUMBER(N143),N143&gt;0),MIN(1,128/N143),"")</x:f>
        <x:v>0.6666666666666666</x:v>
      </x:c>
      <x:c r="Q143" s="71" t="n">
        <x:f>IF(AND(ISNUMBER(O143),O143&gt;0),MIN(1,512/O143),"")</x:f>
        <x:v>1</x:v>
      </x:c>
      <x:c r="R143" s="71" t="n">
        <x:f>IF(AND(ISNUMBER(P143),ISNUMBER(Q143)),MIN(P143,Q143),"")</x:f>
        <x:v>0.6666666666666666</x:v>
      </x:c>
      <x:c r="S143" s="72" t="n">
        <x:f>IF(AND(ISNUMBER(M143),ISNUMBER(R143)),(M143-R143)*100,"")</x:f>
        <x:v>-46.36666666666666</x:v>
      </x:c>
      <x:c r="T143" s="69" t="str">
        <x:v>PASS</x:v>
      </x:c>
      <x:c r="U143" s="73" t="str">
        <x:v>本轮 model-main 9b3a4405（6参数含SoC）2026-09-22</x:v>
      </x:c>
    </x:row>
    <x:row r="144" ht="19" customHeight="1">
      <x:c r="A144" s="69" t="str">
        <x:v>S4</x:v>
      </x:c>
      <x:c r="B144" s="69" t="str">
        <x:v>BF16</x:v>
      </x:c>
      <x:c r="C144" s="70" t="n">
        <x:v>64</x:v>
      </x:c>
      <x:c r="D144" s="70" t="n">
        <x:v>128</x:v>
      </x:c>
      <x:c r="E144" s="70" t="n">
        <x:v>7168</x:v>
      </x:c>
      <x:c r="F144" s="70" t="n">
        <x:v>128</x:v>
      </x:c>
      <x:c r="G144" s="70" t="n">
        <x:v>64</x:v>
      </x:c>
      <x:c r="H144" s="70" t="n">
        <x:v>128</x:v>
      </x:c>
      <x:c r="I144" s="70" t="n">
        <x:v>32</x:v>
      </x:c>
      <x:c r="J144" s="70" t="n">
        <x:v>16</x:v>
      </x:c>
      <x:c r="K144" s="70" t="n">
        <x:v>48</x:v>
      </x:c>
      <x:c r="L144" s="70" t="n">
        <x:v>53606</x:v>
      </x:c>
      <x:c r="M144" s="71" t="n">
        <x:f>IF(AND(ISNUMBER(L144),L144&gt;0),ROUND(C144*D144*E144/4096/L144*100,1)/100,"")</x:f>
        <x:v>0.267</x:v>
      </x:c>
      <x:c r="N144" s="72" t="n">
        <x:f>IF(OR(F144="",G144="",H144=""),"",((I144+J144)*1024)/(F144*G144*H144/4096))</x:f>
        <x:v>192</x:v>
      </x:c>
      <x:c r="O144" s="72" t="n">
        <x:f>IF(OR(F144="",G144="",H144=""),"",(F144*G144*4)/(F144*G144*H144/4096))</x:f>
        <x:v>128</x:v>
      </x:c>
      <x:c r="P144" s="71" t="n">
        <x:f>IF(AND(ISNUMBER(N144),N144&gt;0),MIN(1,128/N144),"")</x:f>
        <x:v>0.6666666666666666</x:v>
      </x:c>
      <x:c r="Q144" s="71" t="n">
        <x:f>IF(AND(ISNUMBER(O144),O144&gt;0),MIN(1,512/O144),"")</x:f>
        <x:v>1</x:v>
      </x:c>
      <x:c r="R144" s="71" t="n">
        <x:f>IF(AND(ISNUMBER(P144),ISNUMBER(Q144)),MIN(P144,Q144),"")</x:f>
        <x:v>0.6666666666666666</x:v>
      </x:c>
      <x:c r="S144" s="72" t="n">
        <x:f>IF(AND(ISNUMBER(M144),ISNUMBER(R144)),(M144-R144)*100,"")</x:f>
        <x:v>-39.96666666666666</x:v>
      </x:c>
      <x:c r="T144" s="69" t="str">
        <x:v>PASS</x:v>
      </x:c>
      <x:c r="U144" s="73" t="str">
        <x:v>本轮 model-main 9b3a4405（6参数含SoC）2026-09-22</x:v>
      </x:c>
    </x:row>
    <x:row r="145" ht="19" customHeight="1">
      <x:c r="A145" s="69" t="str">
        <x:v>S4</x:v>
      </x:c>
      <x:c r="B145" s="69" t="str">
        <x:v>BF16</x:v>
      </x:c>
      <x:c r="C145" s="70" t="n">
        <x:v>64</x:v>
      </x:c>
      <x:c r="D145" s="70" t="n">
        <x:v>128</x:v>
      </x:c>
      <x:c r="E145" s="70" t="n">
        <x:v>7168</x:v>
      </x:c>
      <x:c r="F145" s="70" t="n">
        <x:v>128</x:v>
      </x:c>
      <x:c r="G145" s="70" t="n">
        <x:v>64</x:v>
      </x:c>
      <x:c r="H145" s="70" t="n">
        <x:v>256</x:v>
      </x:c>
      <x:c r="I145" s="70" t="n">
        <x:v>64</x:v>
      </x:c>
      <x:c r="J145" s="70" t="n">
        <x:v>32</x:v>
      </x:c>
      <x:c r="K145" s="70" t="n">
        <x:v>96</x:v>
      </x:c>
      <x:c r="L145" s="70" t="n">
        <x:v>58066</x:v>
      </x:c>
      <x:c r="M145" s="71" t="n">
        <x:f>IF(AND(ISNUMBER(L145),L145&gt;0),ROUND(C145*D145*E145/4096/L145*100,1)/100,"")</x:f>
        <x:v>0.247</x:v>
      </x:c>
      <x:c r="N145" s="72" t="n">
        <x:f>IF(OR(F145="",G145="",H145=""),"",((I145+J145)*1024)/(F145*G145*H145/4096))</x:f>
        <x:v>192</x:v>
      </x:c>
      <x:c r="O145" s="72" t="n">
        <x:f>IF(OR(F145="",G145="",H145=""),"",(F145*G145*4)/(F145*G145*H145/4096))</x:f>
        <x:v>64</x:v>
      </x:c>
      <x:c r="P145" s="71" t="n">
        <x:f>IF(AND(ISNUMBER(N145),N145&gt;0),MIN(1,128/N145),"")</x:f>
        <x:v>0.6666666666666666</x:v>
      </x:c>
      <x:c r="Q145" s="71" t="n">
        <x:f>IF(AND(ISNUMBER(O145),O145&gt;0),MIN(1,512/O145),"")</x:f>
        <x:v>1</x:v>
      </x:c>
      <x:c r="R145" s="71" t="n">
        <x:f>IF(AND(ISNUMBER(P145),ISNUMBER(Q145)),MIN(P145,Q145),"")</x:f>
        <x:v>0.6666666666666666</x:v>
      </x:c>
      <x:c r="S145" s="72" t="n">
        <x:f>IF(AND(ISNUMBER(M145),ISNUMBER(R145)),(M145-R145)*100,"")</x:f>
        <x:v>-41.96666666666666</x:v>
      </x:c>
      <x:c r="T145" s="69" t="str">
        <x:v>PASS</x:v>
      </x:c>
      <x:c r="U145" s="73" t="str">
        <x:v>本轮 model-main 9b3a4405（6参数含SoC）2026-09-22</x:v>
      </x:c>
    </x:row>
    <x:row r="146" ht="19" customHeight="1">
      <x:c r="A146" s="69" t="str">
        <x:v>S4</x:v>
      </x:c>
      <x:c r="B146" s="69" t="str">
        <x:v>BF16</x:v>
      </x:c>
      <x:c r="C146" s="70" t="n">
        <x:v>64</x:v>
      </x:c>
      <x:c r="D146" s="70" t="n">
        <x:v>128</x:v>
      </x:c>
      <x:c r="E146" s="70" t="n">
        <x:v>7168</x:v>
      </x:c>
      <x:c r="F146" s="70" t="n">
        <x:v>128</x:v>
      </x:c>
      <x:c r="G146" s="70" t="n">
        <x:v>64</x:v>
      </x:c>
      <x:c r="H146" s="70" t="n">
        <x:v>512</x:v>
      </x:c>
      <x:c r="I146" s="70" t="n">
        <x:v>128</x:v>
      </x:c>
      <x:c r="J146" s="70" t="n">
        <x:v>64</x:v>
      </x:c>
      <x:c r="K146" s="70" t="n">
        <x:v>192</x:v>
      </x:c>
      <x:c r="L146" s="70" t="n">
        <x:v>58762</x:v>
      </x:c>
      <x:c r="M146" s="71" t="n">
        <x:f>IF(AND(ISNUMBER(L146),L146&gt;0),ROUND(C146*D146*E146/4096/L146*100,1)/100,"")</x:f>
        <x:v>0.244</x:v>
      </x:c>
      <x:c r="N146" s="72" t="n">
        <x:f>IF(OR(F146="",G146="",H146=""),"",((I146+J146)*1024)/(F146*G146*H146/4096))</x:f>
        <x:v>192</x:v>
      </x:c>
      <x:c r="O146" s="72" t="n">
        <x:f>IF(OR(F146="",G146="",H146=""),"",(F146*G146*4)/(F146*G146*H146/4096))</x:f>
        <x:v>32</x:v>
      </x:c>
      <x:c r="P146" s="71" t="n">
        <x:f>IF(AND(ISNUMBER(N146),N146&gt;0),MIN(1,128/N146),"")</x:f>
        <x:v>0.6666666666666666</x:v>
      </x:c>
      <x:c r="Q146" s="71" t="n">
        <x:f>IF(AND(ISNUMBER(O146),O146&gt;0),MIN(1,512/O146),"")</x:f>
        <x:v>1</x:v>
      </x:c>
      <x:c r="R146" s="71" t="n">
        <x:f>IF(AND(ISNUMBER(P146),ISNUMBER(Q146)),MIN(P146,Q146),"")</x:f>
        <x:v>0.6666666666666666</x:v>
      </x:c>
      <x:c r="S146" s="72" t="n">
        <x:f>IF(AND(ISNUMBER(M146),ISNUMBER(R146)),(M146-R146)*100,"")</x:f>
        <x:v>-42.266666666666666</x:v>
      </x:c>
      <x:c r="T146" s="69" t="str">
        <x:v>PASS</x:v>
      </x:c>
      <x:c r="U146" s="73" t="str">
        <x:v>本轮 model-main 9b3a4405（6参数含SoC）2026-09-22</x:v>
      </x:c>
    </x:row>
    <x:row r="147" ht="19" customHeight="1">
      <x:c r="A147" s="69" t="str">
        <x:v>S4</x:v>
      </x:c>
      <x:c r="B147" s="69" t="str">
        <x:v>BF16</x:v>
      </x:c>
      <x:c r="C147" s="70" t="n">
        <x:v>64</x:v>
      </x:c>
      <x:c r="D147" s="70" t="n">
        <x:v>128</x:v>
      </x:c>
      <x:c r="E147" s="70" t="n">
        <x:v>7168</x:v>
      </x:c>
      <x:c r="F147" s="70" t="n">
        <x:v>128</x:v>
      </x:c>
      <x:c r="G147" s="70" t="n">
        <x:v>128</x:v>
      </x:c>
      <x:c r="H147" s="70" t="n">
        <x:v>64</x:v>
      </x:c>
      <x:c r="I147" s="70" t="n">
        <x:v>16</x:v>
      </x:c>
      <x:c r="J147" s="70" t="n">
        <x:v>16</x:v>
      </x:c>
      <x:c r="K147" s="70" t="n">
        <x:v>32</x:v>
      </x:c>
      <x:c r="L147" s="70" t="n">
        <x:v>40685</x:v>
      </x:c>
      <x:c r="M147" s="71" t="n">
        <x:f>IF(AND(ISNUMBER(L147),L147&gt;0),ROUND(C147*D147*E147/4096/L147*100,1)/100,"")</x:f>
        <x:v>0.35200000000000004</x:v>
      </x:c>
      <x:c r="N147" s="72" t="n">
        <x:f>IF(OR(F147="",G147="",H147=""),"",((I147+J147)*1024)/(F147*G147*H147/4096))</x:f>
        <x:v>128</x:v>
      </x:c>
      <x:c r="O147" s="72" t="n">
        <x:f>IF(OR(F147="",G147="",H147=""),"",(F147*G147*4)/(F147*G147*H147/4096))</x:f>
        <x:v>256</x:v>
      </x:c>
      <x:c r="P147" s="71" t="n">
        <x:f>IF(AND(ISNUMBER(N147),N147&gt;0),MIN(1,128/N147),"")</x:f>
        <x:v>1</x:v>
      </x:c>
      <x:c r="Q147" s="71" t="n">
        <x:f>IF(AND(ISNUMBER(O147),O147&gt;0),MIN(1,512/O147),"")</x:f>
        <x:v>1</x:v>
      </x:c>
      <x:c r="R147" s="71" t="n">
        <x:f>IF(AND(ISNUMBER(P147),ISNUMBER(Q147)),MIN(P147,Q147),"")</x:f>
        <x:v>1</x:v>
      </x:c>
      <x:c r="S147" s="72" t="n">
        <x:f>IF(AND(ISNUMBER(M147),ISNUMBER(R147)),(M147-R147)*100,"")</x:f>
        <x:v>-64.8</x:v>
      </x:c>
      <x:c r="T147" s="69" t="str">
        <x:v>PASS</x:v>
      </x:c>
      <x:c r="U147" s="73" t="str">
        <x:v>本轮 model-main 9b3a4405（6参数含SoC）2026-09-22</x:v>
      </x:c>
    </x:row>
    <x:row r="148" ht="19" customHeight="1">
      <x:c r="A148" s="53" t="str">
        <x:v>S4</x:v>
      </x:c>
      <x:c r="B148" s="54" t="str">
        <x:v>BF16</x:v>
      </x:c>
      <x:c r="C148" s="55" t="n">
        <x:v>64</x:v>
      </x:c>
      <x:c r="D148" s="55" t="n">
        <x:v>128</x:v>
      </x:c>
      <x:c r="E148" s="55" t="n">
        <x:v>7168</x:v>
      </x:c>
      <x:c r="F148" s="55" t="n">
        <x:v>128</x:v>
      </x:c>
      <x:c r="G148" s="55" t="n">
        <x:v>128</x:v>
      </x:c>
      <x:c r="H148" s="55" t="n">
        <x:v>128</x:v>
      </x:c>
      <x:c r="I148" s="55" t="n">
        <x:v>32</x:v>
      </x:c>
      <x:c r="J148" s="55" t="n">
        <x:v>32</x:v>
      </x:c>
      <x:c r="K148" s="55" t="n">
        <x:v>64</x:v>
      </x:c>
      <x:c r="L148" s="55" t="n">
        <x:v>39178</x:v>
      </x:c>
      <x:c r="M148" s="56" t="n">
        <x:f>IF(AND(ISNUMBER(L148),L148&gt;0),ROUND(C148*D148*E148/4096/L148*100,1)/100,"")</x:f>
        <x:v>0.366</x:v>
      </x:c>
      <x:c r="N148" s="57" t="n">
        <x:f>IF(OR(F148="",G148="",H148=""),"",((I148+J148)*1024)/(F148*G148*H148/4096))</x:f>
        <x:v>128</x:v>
      </x:c>
      <x:c r="O148" s="57" t="n">
        <x:f>IF(OR(F148="",G148="",H148=""),"",(F148*G148*4)/(F148*G148*H148/4096))</x:f>
        <x:v>128</x:v>
      </x:c>
      <x:c r="P148" s="56" t="n">
        <x:f>IF(AND(ISNUMBER(N148),N148&gt;0),MIN(1,128/N148),"")</x:f>
        <x:v>1</x:v>
      </x:c>
      <x:c r="Q148" s="56" t="n">
        <x:f>IF(AND(ISNUMBER(O148),O148&gt;0),MIN(1,512/O148),"")</x:f>
        <x:v>1</x:v>
      </x:c>
      <x:c r="R148" s="56" t="n">
        <x:f>IF(AND(ISNUMBER(P148),ISNUMBER(Q148)),MIN(P148,Q148),"")</x:f>
        <x:v>1</x:v>
      </x:c>
      <x:c r="S148" s="57" t="n">
        <x:f>IF(AND(ISNUMBER(M148),ISNUMBER(R148)),(M148-R148)*100,"")</x:f>
        <x:v>-63.4</x:v>
      </x:c>
      <x:c r="T148" s="54" t="str">
        <x:v>PASS</x:v>
      </x:c>
      <x:c r="U148" s="58" t="str">
        <x:v>本轮 model-main 9b3a4405（6参数含SoC）2026-09-22</x:v>
      </x:c>
    </x:row>
    <x:row r="149" ht="19" customHeight="1">
      <x:c r="A149" s="69" t="str">
        <x:v>S4</x:v>
      </x:c>
      <x:c r="B149" s="69" t="str">
        <x:v>BF16</x:v>
      </x:c>
      <x:c r="C149" s="70" t="n">
        <x:v>64</x:v>
      </x:c>
      <x:c r="D149" s="70" t="n">
        <x:v>128</x:v>
      </x:c>
      <x:c r="E149" s="70" t="n">
        <x:v>7168</x:v>
      </x:c>
      <x:c r="F149" s="70" t="n">
        <x:v>128</x:v>
      </x:c>
      <x:c r="G149" s="70" t="n">
        <x:v>128</x:v>
      </x:c>
      <x:c r="H149" s="70" t="n">
        <x:v>256</x:v>
      </x:c>
      <x:c r="I149" s="70" t="n">
        <x:v>64</x:v>
      </x:c>
      <x:c r="J149" s="70" t="n">
        <x:v>64</x:v>
      </x:c>
      <x:c r="K149" s="70" t="n">
        <x:v>128</x:v>
      </x:c>
      <x:c r="L149" s="70" t="n">
        <x:v>39504</x:v>
      </x:c>
      <x:c r="M149" s="71" t="n">
        <x:f>IF(AND(ISNUMBER(L149),L149&gt;0),ROUND(C149*D149*E149/4096/L149*100,1)/100,"")</x:f>
        <x:v>0.363</x:v>
      </x:c>
      <x:c r="N149" s="72" t="n">
        <x:f>IF(OR(F149="",G149="",H149=""),"",((I149+J149)*1024)/(F149*G149*H149/4096))</x:f>
        <x:v>128</x:v>
      </x:c>
      <x:c r="O149" s="72" t="n">
        <x:f>IF(OR(F149="",G149="",H149=""),"",(F149*G149*4)/(F149*G149*H149/4096))</x:f>
        <x:v>64</x:v>
      </x:c>
      <x:c r="P149" s="71" t="n">
        <x:f>IF(AND(ISNUMBER(N149),N149&gt;0),MIN(1,128/N149),"")</x:f>
        <x:v>1</x:v>
      </x:c>
      <x:c r="Q149" s="71" t="n">
        <x:f>IF(AND(ISNUMBER(O149),O149&gt;0),MIN(1,512/O149),"")</x:f>
        <x:v>1</x:v>
      </x:c>
      <x:c r="R149" s="71" t="n">
        <x:f>IF(AND(ISNUMBER(P149),ISNUMBER(Q149)),MIN(P149,Q149),"")</x:f>
        <x:v>1</x:v>
      </x:c>
      <x:c r="S149" s="72" t="n">
        <x:f>IF(AND(ISNUMBER(M149),ISNUMBER(R149)),(M149-R149)*100,"")</x:f>
        <x:v>-63.7</x:v>
      </x:c>
      <x:c r="T149" s="69" t="str">
        <x:v>PASS</x:v>
      </x:c>
      <x:c r="U149" s="73" t="str">
        <x:v>本轮 model-main 9b3a4405（6参数含SoC）2026-09-22</x:v>
      </x:c>
    </x:row>
    <x:row r="150" ht="19" customHeight="1">
      <x:c r="A150" s="69" t="str">
        <x:v>S4</x:v>
      </x:c>
      <x:c r="B150" s="69" t="str">
        <x:v>BF16</x:v>
      </x:c>
      <x:c r="C150" s="70" t="n">
        <x:v>64</x:v>
      </x:c>
      <x:c r="D150" s="70" t="n">
        <x:v>128</x:v>
      </x:c>
      <x:c r="E150" s="70" t="n">
        <x:v>7168</x:v>
      </x:c>
      <x:c r="F150" s="70" t="n">
        <x:v>128</x:v>
      </x:c>
      <x:c r="G150" s="70" t="n">
        <x:v>128</x:v>
      </x:c>
      <x:c r="H150" s="70" t="n">
        <x:v>512</x:v>
      </x:c>
      <x:c r="I150" s="70" t="n">
        <x:v>128</x:v>
      </x:c>
      <x:c r="J150" s="70" t="n">
        <x:v>128</x:v>
      </x:c>
      <x:c r="K150" s="70" t="n">
        <x:v>256</x:v>
      </x:c>
      <x:c r="L150" s="70" t="n">
        <x:v>40291</x:v>
      </x:c>
      <x:c r="M150" s="71" t="n">
        <x:f>IF(AND(ISNUMBER(L150),L150&gt;0),ROUND(C150*D150*E150/4096/L150*100,1)/100,"")</x:f>
        <x:v>0.35600000000000004</x:v>
      </x:c>
      <x:c r="N150" s="72" t="n">
        <x:f>IF(OR(F150="",G150="",H150=""),"",((I150+J150)*1024)/(F150*G150*H150/4096))</x:f>
        <x:v>128</x:v>
      </x:c>
      <x:c r="O150" s="72" t="n">
        <x:f>IF(OR(F150="",G150="",H150=""),"",(F150*G150*4)/(F150*G150*H150/4096))</x:f>
        <x:v>32</x:v>
      </x:c>
      <x:c r="P150" s="71" t="n">
        <x:f>IF(AND(ISNUMBER(N150),N150&gt;0),MIN(1,128/N150),"")</x:f>
        <x:v>1</x:v>
      </x:c>
      <x:c r="Q150" s="71" t="n">
        <x:f>IF(AND(ISNUMBER(O150),O150&gt;0),MIN(1,512/O150),"")</x:f>
        <x:v>1</x:v>
      </x:c>
      <x:c r="R150" s="71" t="n">
        <x:f>IF(AND(ISNUMBER(P150),ISNUMBER(Q150)),MIN(P150,Q150),"")</x:f>
        <x:v>1</x:v>
      </x:c>
      <x:c r="S150" s="72" t="n">
        <x:f>IF(AND(ISNUMBER(M150),ISNUMBER(R150)),(M150-R150)*100,"")</x:f>
        <x:v>-64.39999999999999</x:v>
      </x:c>
      <x:c r="T150" s="69" t="str">
        <x:v>PASS</x:v>
      </x:c>
      <x:c r="U150" s="73" t="str">
        <x:v>本轮 model-main 9b3a4405（6参数含SoC）2026-09-22</x:v>
      </x:c>
    </x:row>
    <x:row r="151" ht="19" customHeight="1">
      <x:c r="A151" s="69" t="str">
        <x:v>S4</x:v>
      </x:c>
      <x:c r="B151" s="69" t="str">
        <x:v>FP16</x:v>
      </x:c>
      <x:c r="C151" s="70" t="n">
        <x:v>64</x:v>
      </x:c>
      <x:c r="D151" s="70" t="n">
        <x:v>128</x:v>
      </x:c>
      <x:c r="E151" s="70" t="n">
        <x:v>7168</x:v>
      </x:c>
      <x:c r="F151" s="70" t="n">
        <x:v>128</x:v>
      </x:c>
      <x:c r="G151" s="70" t="n">
        <x:v>64</x:v>
      </x:c>
      <x:c r="H151" s="70" t="n">
        <x:v>64</x:v>
      </x:c>
      <x:c r="I151" s="70" t="n">
        <x:v>16</x:v>
      </x:c>
      <x:c r="J151" s="70" t="n">
        <x:v>8</x:v>
      </x:c>
      <x:c r="K151" s="70" t="n">
        <x:v>24</x:v>
      </x:c>
      <x:c r="L151" s="70" t="n">
        <x:v>70699</x:v>
      </x:c>
      <x:c r="M151" s="71" t="n">
        <x:f>IF(AND(ISNUMBER(L151),L151&gt;0),ROUND(C151*D151*E151/4096/L151*100,1)/100,"")</x:f>
        <x:v>0.203</x:v>
      </x:c>
      <x:c r="N151" s="72" t="n">
        <x:f>IF(OR(F151="",G151="",H151=""),"",((I151+J151)*1024)/(F151*G151*H151/4096))</x:f>
        <x:v>192</x:v>
      </x:c>
      <x:c r="O151" s="72" t="n">
        <x:f>IF(OR(F151="",G151="",H151=""),"",(F151*G151*4)/(F151*G151*H151/4096))</x:f>
        <x:v>256</x:v>
      </x:c>
      <x:c r="P151" s="71" t="n">
        <x:f>IF(AND(ISNUMBER(N151),N151&gt;0),MIN(1,128/N151),"")</x:f>
        <x:v>0.6666666666666666</x:v>
      </x:c>
      <x:c r="Q151" s="71" t="n">
        <x:f>IF(AND(ISNUMBER(O151),O151&gt;0),MIN(1,512/O151),"")</x:f>
        <x:v>1</x:v>
      </x:c>
      <x:c r="R151" s="71" t="n">
        <x:f>IF(AND(ISNUMBER(P151),ISNUMBER(Q151)),MIN(P151,Q151),"")</x:f>
        <x:v>0.6666666666666666</x:v>
      </x:c>
      <x:c r="S151" s="72" t="n">
        <x:f>IF(AND(ISNUMBER(M151),ISNUMBER(R151)),(M151-R151)*100,"")</x:f>
        <x:v>-46.36666666666666</x:v>
      </x:c>
      <x:c r="T151" s="69" t="str">
        <x:v>PASS</x:v>
      </x:c>
      <x:c r="U151" s="73" t="str">
        <x:v>本轮 model-main 9b3a4405（6参数含SoC）2026-09-22</x:v>
      </x:c>
    </x:row>
    <x:row r="152" ht="19" customHeight="1">
      <x:c r="A152" s="69" t="str">
        <x:v>S4</x:v>
      </x:c>
      <x:c r="B152" s="69" t="str">
        <x:v>FP16</x:v>
      </x:c>
      <x:c r="C152" s="70" t="n">
        <x:v>64</x:v>
      </x:c>
      <x:c r="D152" s="70" t="n">
        <x:v>128</x:v>
      </x:c>
      <x:c r="E152" s="70" t="n">
        <x:v>7168</x:v>
      </x:c>
      <x:c r="F152" s="70" t="n">
        <x:v>128</x:v>
      </x:c>
      <x:c r="G152" s="70" t="n">
        <x:v>64</x:v>
      </x:c>
      <x:c r="H152" s="70" t="n">
        <x:v>128</x:v>
      </x:c>
      <x:c r="I152" s="70" t="n">
        <x:v>32</x:v>
      </x:c>
      <x:c r="J152" s="70" t="n">
        <x:v>16</x:v>
      </x:c>
      <x:c r="K152" s="70" t="n">
        <x:v>48</x:v>
      </x:c>
      <x:c r="L152" s="70" t="n">
        <x:v>53606</x:v>
      </x:c>
      <x:c r="M152" s="71" t="n">
        <x:f>IF(AND(ISNUMBER(L152),L152&gt;0),ROUND(C152*D152*E152/4096/L152*100,1)/100,"")</x:f>
        <x:v>0.267</x:v>
      </x:c>
      <x:c r="N152" s="72" t="n">
        <x:f>IF(OR(F152="",G152="",H152=""),"",((I152+J152)*1024)/(F152*G152*H152/4096))</x:f>
        <x:v>192</x:v>
      </x:c>
      <x:c r="O152" s="72" t="n">
        <x:f>IF(OR(F152="",G152="",H152=""),"",(F152*G152*4)/(F152*G152*H152/4096))</x:f>
        <x:v>128</x:v>
      </x:c>
      <x:c r="P152" s="71" t="n">
        <x:f>IF(AND(ISNUMBER(N152),N152&gt;0),MIN(1,128/N152),"")</x:f>
        <x:v>0.6666666666666666</x:v>
      </x:c>
      <x:c r="Q152" s="71" t="n">
        <x:f>IF(AND(ISNUMBER(O152),O152&gt;0),MIN(1,512/O152),"")</x:f>
        <x:v>1</x:v>
      </x:c>
      <x:c r="R152" s="71" t="n">
        <x:f>IF(AND(ISNUMBER(P152),ISNUMBER(Q152)),MIN(P152,Q152),"")</x:f>
        <x:v>0.6666666666666666</x:v>
      </x:c>
      <x:c r="S152" s="72" t="n">
        <x:f>IF(AND(ISNUMBER(M152),ISNUMBER(R152)),(M152-R152)*100,"")</x:f>
        <x:v>-39.96666666666666</x:v>
      </x:c>
      <x:c r="T152" s="69" t="str">
        <x:v>PASS</x:v>
      </x:c>
      <x:c r="U152" s="73" t="str">
        <x:v>本轮 model-main 9b3a4405（6参数含SoC）2026-09-22</x:v>
      </x:c>
    </x:row>
    <x:row r="153" ht="19" customHeight="1">
      <x:c r="A153" s="69" t="str">
        <x:v>S4</x:v>
      </x:c>
      <x:c r="B153" s="69" t="str">
        <x:v>FP16</x:v>
      </x:c>
      <x:c r="C153" s="70" t="n">
        <x:v>64</x:v>
      </x:c>
      <x:c r="D153" s="70" t="n">
        <x:v>128</x:v>
      </x:c>
      <x:c r="E153" s="70" t="n">
        <x:v>7168</x:v>
      </x:c>
      <x:c r="F153" s="70" t="n">
        <x:v>128</x:v>
      </x:c>
      <x:c r="G153" s="70" t="n">
        <x:v>64</x:v>
      </x:c>
      <x:c r="H153" s="70" t="n">
        <x:v>256</x:v>
      </x:c>
      <x:c r="I153" s="70" t="n">
        <x:v>64</x:v>
      </x:c>
      <x:c r="J153" s="70" t="n">
        <x:v>32</x:v>
      </x:c>
      <x:c r="K153" s="70" t="n">
        <x:v>96</x:v>
      </x:c>
      <x:c r="L153" s="70" t="n">
        <x:v>58066</x:v>
      </x:c>
      <x:c r="M153" s="71" t="n">
        <x:f>IF(AND(ISNUMBER(L153),L153&gt;0),ROUND(C153*D153*E153/4096/L153*100,1)/100,"")</x:f>
        <x:v>0.247</x:v>
      </x:c>
      <x:c r="N153" s="72" t="n">
        <x:f>IF(OR(F153="",G153="",H153=""),"",((I153+J153)*1024)/(F153*G153*H153/4096))</x:f>
        <x:v>192</x:v>
      </x:c>
      <x:c r="O153" s="72" t="n">
        <x:f>IF(OR(F153="",G153="",H153=""),"",(F153*G153*4)/(F153*G153*H153/4096))</x:f>
        <x:v>64</x:v>
      </x:c>
      <x:c r="P153" s="71" t="n">
        <x:f>IF(AND(ISNUMBER(N153),N153&gt;0),MIN(1,128/N153),"")</x:f>
        <x:v>0.6666666666666666</x:v>
      </x:c>
      <x:c r="Q153" s="71" t="n">
        <x:f>IF(AND(ISNUMBER(O153),O153&gt;0),MIN(1,512/O153),"")</x:f>
        <x:v>1</x:v>
      </x:c>
      <x:c r="R153" s="71" t="n">
        <x:f>IF(AND(ISNUMBER(P153),ISNUMBER(Q153)),MIN(P153,Q153),"")</x:f>
        <x:v>0.6666666666666666</x:v>
      </x:c>
      <x:c r="S153" s="72" t="n">
        <x:f>IF(AND(ISNUMBER(M153),ISNUMBER(R153)),(M153-R153)*100,"")</x:f>
        <x:v>-41.96666666666666</x:v>
      </x:c>
      <x:c r="T153" s="69" t="str">
        <x:v>PASS</x:v>
      </x:c>
      <x:c r="U153" s="73" t="str">
        <x:v>本轮 model-main 9b3a4405（6参数含SoC）2026-09-22</x:v>
      </x:c>
    </x:row>
    <x:row r="154" ht="19" customHeight="1">
      <x:c r="A154" s="69" t="str">
        <x:v>S4</x:v>
      </x:c>
      <x:c r="B154" s="69" t="str">
        <x:v>FP16</x:v>
      </x:c>
      <x:c r="C154" s="70" t="n">
        <x:v>64</x:v>
      </x:c>
      <x:c r="D154" s="70" t="n">
        <x:v>128</x:v>
      </x:c>
      <x:c r="E154" s="70" t="n">
        <x:v>7168</x:v>
      </x:c>
      <x:c r="F154" s="70" t="n">
        <x:v>128</x:v>
      </x:c>
      <x:c r="G154" s="70" t="n">
        <x:v>64</x:v>
      </x:c>
      <x:c r="H154" s="70" t="n">
        <x:v>512</x:v>
      </x:c>
      <x:c r="I154" s="70" t="n">
        <x:v>128</x:v>
      </x:c>
      <x:c r="J154" s="70" t="n">
        <x:v>64</x:v>
      </x:c>
      <x:c r="K154" s="70" t="n">
        <x:v>192</x:v>
      </x:c>
      <x:c r="L154" s="70" t="n">
        <x:v>58762</x:v>
      </x:c>
      <x:c r="M154" s="71" t="n">
        <x:f>IF(AND(ISNUMBER(L154),L154&gt;0),ROUND(C154*D154*E154/4096/L154*100,1)/100,"")</x:f>
        <x:v>0.244</x:v>
      </x:c>
      <x:c r="N154" s="72" t="n">
        <x:f>IF(OR(F154="",G154="",H154=""),"",((I154+J154)*1024)/(F154*G154*H154/4096))</x:f>
        <x:v>192</x:v>
      </x:c>
      <x:c r="O154" s="72" t="n">
        <x:f>IF(OR(F154="",G154="",H154=""),"",(F154*G154*4)/(F154*G154*H154/4096))</x:f>
        <x:v>32</x:v>
      </x:c>
      <x:c r="P154" s="71" t="n">
        <x:f>IF(AND(ISNUMBER(N154),N154&gt;0),MIN(1,128/N154),"")</x:f>
        <x:v>0.6666666666666666</x:v>
      </x:c>
      <x:c r="Q154" s="71" t="n">
        <x:f>IF(AND(ISNUMBER(O154),O154&gt;0),MIN(1,512/O154),"")</x:f>
        <x:v>1</x:v>
      </x:c>
      <x:c r="R154" s="71" t="n">
        <x:f>IF(AND(ISNUMBER(P154),ISNUMBER(Q154)),MIN(P154,Q154),"")</x:f>
        <x:v>0.6666666666666666</x:v>
      </x:c>
      <x:c r="S154" s="72" t="n">
        <x:f>IF(AND(ISNUMBER(M154),ISNUMBER(R154)),(M154-R154)*100,"")</x:f>
        <x:v>-42.266666666666666</x:v>
      </x:c>
      <x:c r="T154" s="69" t="str">
        <x:v>PASS</x:v>
      </x:c>
      <x:c r="U154" s="73" t="str">
        <x:v>本轮 model-main 9b3a4405（6参数含SoC）2026-09-22</x:v>
      </x:c>
    </x:row>
    <x:row r="155" ht="19" customHeight="1">
      <x:c r="A155" s="69" t="str">
        <x:v>S4</x:v>
      </x:c>
      <x:c r="B155" s="69" t="str">
        <x:v>FP16</x:v>
      </x:c>
      <x:c r="C155" s="70" t="n">
        <x:v>64</x:v>
      </x:c>
      <x:c r="D155" s="70" t="n">
        <x:v>128</x:v>
      </x:c>
      <x:c r="E155" s="70" t="n">
        <x:v>7168</x:v>
      </x:c>
      <x:c r="F155" s="70" t="n">
        <x:v>128</x:v>
      </x:c>
      <x:c r="G155" s="70" t="n">
        <x:v>128</x:v>
      </x:c>
      <x:c r="H155" s="70" t="n">
        <x:v>64</x:v>
      </x:c>
      <x:c r="I155" s="70" t="n">
        <x:v>16</x:v>
      </x:c>
      <x:c r="J155" s="70" t="n">
        <x:v>16</x:v>
      </x:c>
      <x:c r="K155" s="70" t="n">
        <x:v>32</x:v>
      </x:c>
      <x:c r="L155" s="70" t="n">
        <x:v>40685</x:v>
      </x:c>
      <x:c r="M155" s="71" t="n">
        <x:f>IF(AND(ISNUMBER(L155),L155&gt;0),ROUND(C155*D155*E155/4096/L155*100,1)/100,"")</x:f>
        <x:v>0.35200000000000004</x:v>
      </x:c>
      <x:c r="N155" s="72" t="n">
        <x:f>IF(OR(F155="",G155="",H155=""),"",((I155+J155)*1024)/(F155*G155*H155/4096))</x:f>
        <x:v>128</x:v>
      </x:c>
      <x:c r="O155" s="72" t="n">
        <x:f>IF(OR(F155="",G155="",H155=""),"",(F155*G155*4)/(F155*G155*H155/4096))</x:f>
        <x:v>256</x:v>
      </x:c>
      <x:c r="P155" s="71" t="n">
        <x:f>IF(AND(ISNUMBER(N155),N155&gt;0),MIN(1,128/N155),"")</x:f>
        <x:v>1</x:v>
      </x:c>
      <x:c r="Q155" s="71" t="n">
        <x:f>IF(AND(ISNUMBER(O155),O155&gt;0),MIN(1,512/O155),"")</x:f>
        <x:v>1</x:v>
      </x:c>
      <x:c r="R155" s="71" t="n">
        <x:f>IF(AND(ISNUMBER(P155),ISNUMBER(Q155)),MIN(P155,Q155),"")</x:f>
        <x:v>1</x:v>
      </x:c>
      <x:c r="S155" s="72" t="n">
        <x:f>IF(AND(ISNUMBER(M155),ISNUMBER(R155)),(M155-R155)*100,"")</x:f>
        <x:v>-64.8</x:v>
      </x:c>
      <x:c r="T155" s="69" t="str">
        <x:v>PASS</x:v>
      </x:c>
      <x:c r="U155" s="73" t="str">
        <x:v>本轮 model-main 9b3a4405（6参数含SoC）2026-09-22</x:v>
      </x:c>
    </x:row>
    <x:row r="156" ht="19" customHeight="1">
      <x:c r="A156" s="53" t="str">
        <x:v>S4</x:v>
      </x:c>
      <x:c r="B156" s="54" t="str">
        <x:v>FP16</x:v>
      </x:c>
      <x:c r="C156" s="55" t="n">
        <x:v>64</x:v>
      </x:c>
      <x:c r="D156" s="55" t="n">
        <x:v>128</x:v>
      </x:c>
      <x:c r="E156" s="55" t="n">
        <x:v>7168</x:v>
      </x:c>
      <x:c r="F156" s="55" t="n">
        <x:v>128</x:v>
      </x:c>
      <x:c r="G156" s="55" t="n">
        <x:v>128</x:v>
      </x:c>
      <x:c r="H156" s="55" t="n">
        <x:v>128</x:v>
      </x:c>
      <x:c r="I156" s="55" t="n">
        <x:v>32</x:v>
      </x:c>
      <x:c r="J156" s="55" t="n">
        <x:v>32</x:v>
      </x:c>
      <x:c r="K156" s="55" t="n">
        <x:v>64</x:v>
      </x:c>
      <x:c r="L156" s="55" t="n">
        <x:v>39178</x:v>
      </x:c>
      <x:c r="M156" s="56" t="n">
        <x:f>IF(AND(ISNUMBER(L156),L156&gt;0),ROUND(C156*D156*E156/4096/L156*100,1)/100,"")</x:f>
        <x:v>0.366</x:v>
      </x:c>
      <x:c r="N156" s="57" t="n">
        <x:f>IF(OR(F156="",G156="",H156=""),"",((I156+J156)*1024)/(F156*G156*H156/4096))</x:f>
        <x:v>128</x:v>
      </x:c>
      <x:c r="O156" s="57" t="n">
        <x:f>IF(OR(F156="",G156="",H156=""),"",(F156*G156*4)/(F156*G156*H156/4096))</x:f>
        <x:v>128</x:v>
      </x:c>
      <x:c r="P156" s="56" t="n">
        <x:f>IF(AND(ISNUMBER(N156),N156&gt;0),MIN(1,128/N156),"")</x:f>
        <x:v>1</x:v>
      </x:c>
      <x:c r="Q156" s="56" t="n">
        <x:f>IF(AND(ISNUMBER(O156),O156&gt;0),MIN(1,512/O156),"")</x:f>
        <x:v>1</x:v>
      </x:c>
      <x:c r="R156" s="56" t="n">
        <x:f>IF(AND(ISNUMBER(P156),ISNUMBER(Q156)),MIN(P156,Q156),"")</x:f>
        <x:v>1</x:v>
      </x:c>
      <x:c r="S156" s="57" t="n">
        <x:f>IF(AND(ISNUMBER(M156),ISNUMBER(R156)),(M156-R156)*100,"")</x:f>
        <x:v>-63.4</x:v>
      </x:c>
      <x:c r="T156" s="54" t="str">
        <x:v>PASS</x:v>
      </x:c>
      <x:c r="U156" s="58" t="str">
        <x:v>本轮 model-main 9b3a4405（6参数含SoC）2026-09-22</x:v>
      </x:c>
    </x:row>
    <x:row r="157" ht="19" customHeight="1">
      <x:c r="A157" s="69" t="str">
        <x:v>S4</x:v>
      </x:c>
      <x:c r="B157" s="69" t="str">
        <x:v>FP16</x:v>
      </x:c>
      <x:c r="C157" s="70" t="n">
        <x:v>64</x:v>
      </x:c>
      <x:c r="D157" s="70" t="n">
        <x:v>128</x:v>
      </x:c>
      <x:c r="E157" s="70" t="n">
        <x:v>7168</x:v>
      </x:c>
      <x:c r="F157" s="70" t="n">
        <x:v>128</x:v>
      </x:c>
      <x:c r="G157" s="70" t="n">
        <x:v>128</x:v>
      </x:c>
      <x:c r="H157" s="70" t="n">
        <x:v>256</x:v>
      </x:c>
      <x:c r="I157" s="70" t="n">
        <x:v>64</x:v>
      </x:c>
      <x:c r="J157" s="70" t="n">
        <x:v>64</x:v>
      </x:c>
      <x:c r="K157" s="70" t="n">
        <x:v>128</x:v>
      </x:c>
      <x:c r="L157" s="70" t="n">
        <x:v>39504</x:v>
      </x:c>
      <x:c r="M157" s="71" t="n">
        <x:f>IF(AND(ISNUMBER(L157),L157&gt;0),ROUND(C157*D157*E157/4096/L157*100,1)/100,"")</x:f>
        <x:v>0.363</x:v>
      </x:c>
      <x:c r="N157" s="72" t="n">
        <x:f>IF(OR(F157="",G157="",H157=""),"",((I157+J157)*1024)/(F157*G157*H157/4096))</x:f>
        <x:v>128</x:v>
      </x:c>
      <x:c r="O157" s="72" t="n">
        <x:f>IF(OR(F157="",G157="",H157=""),"",(F157*G157*4)/(F157*G157*H157/4096))</x:f>
        <x:v>64</x:v>
      </x:c>
      <x:c r="P157" s="71" t="n">
        <x:f>IF(AND(ISNUMBER(N157),N157&gt;0),MIN(1,128/N157),"")</x:f>
        <x:v>1</x:v>
      </x:c>
      <x:c r="Q157" s="71" t="n">
        <x:f>IF(AND(ISNUMBER(O157),O157&gt;0),MIN(1,512/O157),"")</x:f>
        <x:v>1</x:v>
      </x:c>
      <x:c r="R157" s="71" t="n">
        <x:f>IF(AND(ISNUMBER(P157),ISNUMBER(Q157)),MIN(P157,Q157),"")</x:f>
        <x:v>1</x:v>
      </x:c>
      <x:c r="S157" s="72" t="n">
        <x:f>IF(AND(ISNUMBER(M157),ISNUMBER(R157)),(M157-R157)*100,"")</x:f>
        <x:v>-63.7</x:v>
      </x:c>
      <x:c r="T157" s="69" t="str">
        <x:v>PASS</x:v>
      </x:c>
      <x:c r="U157" s="73" t="str">
        <x:v>本轮 model-main 9b3a4405（6参数含SoC）2026-09-22</x:v>
      </x:c>
    </x:row>
    <x:row r="158" ht="19" customHeight="1">
      <x:c r="A158" s="69" t="str">
        <x:v>S4</x:v>
      </x:c>
      <x:c r="B158" s="69" t="str">
        <x:v>FP16</x:v>
      </x:c>
      <x:c r="C158" s="70" t="n">
        <x:v>64</x:v>
      </x:c>
      <x:c r="D158" s="70" t="n">
        <x:v>128</x:v>
      </x:c>
      <x:c r="E158" s="70" t="n">
        <x:v>7168</x:v>
      </x:c>
      <x:c r="F158" s="70" t="n">
        <x:v>128</x:v>
      </x:c>
      <x:c r="G158" s="70" t="n">
        <x:v>128</x:v>
      </x:c>
      <x:c r="H158" s="70" t="n">
        <x:v>512</x:v>
      </x:c>
      <x:c r="I158" s="70" t="n">
        <x:v>128</x:v>
      </x:c>
      <x:c r="J158" s="70" t="n">
        <x:v>128</x:v>
      </x:c>
      <x:c r="K158" s="70" t="n">
        <x:v>256</x:v>
      </x:c>
      <x:c r="L158" s="70" t="n">
        <x:v>40291</x:v>
      </x:c>
      <x:c r="M158" s="71" t="n">
        <x:f>IF(AND(ISNUMBER(L158),L158&gt;0),ROUND(C158*D158*E158/4096/L158*100,1)/100,"")</x:f>
        <x:v>0.35600000000000004</x:v>
      </x:c>
      <x:c r="N158" s="72" t="n">
        <x:f>IF(OR(F158="",G158="",H158=""),"",((I158+J158)*1024)/(F158*G158*H158/4096))</x:f>
        <x:v>128</x:v>
      </x:c>
      <x:c r="O158" s="72" t="n">
        <x:f>IF(OR(F158="",G158="",H158=""),"",(F158*G158*4)/(F158*G158*H158/4096))</x:f>
        <x:v>32</x:v>
      </x:c>
      <x:c r="P158" s="71" t="n">
        <x:f>IF(AND(ISNUMBER(N158),N158&gt;0),MIN(1,128/N158),"")</x:f>
        <x:v>1</x:v>
      </x:c>
      <x:c r="Q158" s="71" t="n">
        <x:f>IF(AND(ISNUMBER(O158),O158&gt;0),MIN(1,512/O158),"")</x:f>
        <x:v>1</x:v>
      </x:c>
      <x:c r="R158" s="71" t="n">
        <x:f>IF(AND(ISNUMBER(P158),ISNUMBER(Q158)),MIN(P158,Q158),"")</x:f>
        <x:v>1</x:v>
      </x:c>
      <x:c r="S158" s="72" t="n">
        <x:f>IF(AND(ISNUMBER(M158),ISNUMBER(R158)),(M158-R158)*100,"")</x:f>
        <x:v>-64.39999999999999</x:v>
      </x:c>
      <x:c r="T158" s="69" t="str">
        <x:v>PASS</x:v>
      </x:c>
      <x:c r="U158" s="73" t="str">
        <x:v>本轮 model-main 9b3a4405（6参数含SoC）2026-09-22</x:v>
      </x:c>
    </x:row>
    <x:row r="159" ht="19" customHeight="1">
      <x:c r="A159" s="69" t="str">
        <x:v>S4</x:v>
      </x:c>
      <x:c r="B159" s="69" t="str">
        <x:v>FP8</x:v>
      </x:c>
      <x:c r="C159" s="70" t="n">
        <x:v>64</x:v>
      </x:c>
      <x:c r="D159" s="70" t="n">
        <x:v>128</x:v>
      </x:c>
      <x:c r="E159" s="70" t="n">
        <x:v>7168</x:v>
      </x:c>
      <x:c r="F159" s="70" t="n">
        <x:v>128</x:v>
      </x:c>
      <x:c r="G159" s="70" t="n">
        <x:v>64</x:v>
      </x:c>
      <x:c r="H159" s="70" t="n">
        <x:v>256</x:v>
      </x:c>
      <x:c r="I159" s="70" t="n">
        <x:v>32</x:v>
      </x:c>
      <x:c r="J159" s="70" t="n">
        <x:v>16</x:v>
      </x:c>
      <x:c r="K159" s="70" t="n">
        <x:v>48</x:v>
      </x:c>
      <x:c r="L159" s="70" t="n">
        <x:v>27709</x:v>
      </x:c>
      <x:c r="M159" s="71" t="n">
        <x:f>IF(AND(ISNUMBER(L159),L159&gt;0),ROUND(C159*D159*E159/8192/L159*100,1)/100,"")</x:f>
        <x:v>0.259</x:v>
      </x:c>
      <x:c r="N159" s="72" t="n">
        <x:f>IF(OR(F159="",G159="",H159=""),"",((I159+J159)*1024)/(F159*G159*H159/8192))</x:f>
        <x:v>192</x:v>
      </x:c>
      <x:c r="O159" s="72" t="n">
        <x:f>IF(OR(F159="",G159="",H159=""),"",(F159*G159*4)/(F159*G159*H159/8192))</x:f>
        <x:v>128</x:v>
      </x:c>
      <x:c r="P159" s="71" t="n">
        <x:f>IF(AND(ISNUMBER(N159),N159&gt;0),MIN(1,128/N159),"")</x:f>
        <x:v>0.6666666666666666</x:v>
      </x:c>
      <x:c r="Q159" s="71" t="n">
        <x:f>IF(AND(ISNUMBER(O159),O159&gt;0),MIN(1,512/O159),"")</x:f>
        <x:v>1</x:v>
      </x:c>
      <x:c r="R159" s="71" t="n">
        <x:f>IF(AND(ISNUMBER(P159),ISNUMBER(Q159)),MIN(P159,Q159),"")</x:f>
        <x:v>0.6666666666666666</x:v>
      </x:c>
      <x:c r="S159" s="72" t="n">
        <x:f>IF(AND(ISNUMBER(M159),ISNUMBER(R159)),(M159-R159)*100,"")</x:f>
        <x:v>-40.766666666666666</x:v>
      </x:c>
      <x:c r="T159" s="69" t="str">
        <x:v>PASS</x:v>
      </x:c>
      <x:c r="U159" s="73" t="str">
        <x:v>matmul_shared_lowp（FP8）；本轮 model-main 9b3a4405（6参数含SoC）2026-09-22</x:v>
      </x:c>
    </x:row>
    <x:row r="160" ht="19" customHeight="1">
      <x:c r="A160" s="69" t="str">
        <x:v>S4</x:v>
      </x:c>
      <x:c r="B160" s="69" t="str">
        <x:v>FP8</x:v>
      </x:c>
      <x:c r="C160" s="70" t="n">
        <x:v>64</x:v>
      </x:c>
      <x:c r="D160" s="70" t="n">
        <x:v>128</x:v>
      </x:c>
      <x:c r="E160" s="70" t="n">
        <x:v>7168</x:v>
      </x:c>
      <x:c r="F160" s="70" t="n">
        <x:v>128</x:v>
      </x:c>
      <x:c r="G160" s="70" t="n">
        <x:v>64</x:v>
      </x:c>
      <x:c r="H160" s="70" t="n">
        <x:v>512</x:v>
      </x:c>
      <x:c r="I160" s="70" t="n">
        <x:v>64</x:v>
      </x:c>
      <x:c r="J160" s="70" t="n">
        <x:v>32</x:v>
      </x:c>
      <x:c r="K160" s="70" t="n">
        <x:v>96</x:v>
      </x:c>
      <x:c r="L160" s="70" t="n">
        <x:v>30065</x:v>
      </x:c>
      <x:c r="M160" s="71" t="n">
        <x:f>IF(AND(ISNUMBER(L160),L160&gt;0),ROUND(C160*D160*E160/8192/L160*100,1)/100,"")</x:f>
        <x:v>0.23800000000000002</x:v>
      </x:c>
      <x:c r="N160" s="72" t="n">
        <x:f>IF(OR(F160="",G160="",H160=""),"",((I160+J160)*1024)/(F160*G160*H160/8192))</x:f>
        <x:v>192</x:v>
      </x:c>
      <x:c r="O160" s="72" t="n">
        <x:f>IF(OR(F160="",G160="",H160=""),"",(F160*G160*4)/(F160*G160*H160/8192))</x:f>
        <x:v>64</x:v>
      </x:c>
      <x:c r="P160" s="71" t="n">
        <x:f>IF(AND(ISNUMBER(N160),N160&gt;0),MIN(1,128/N160),"")</x:f>
        <x:v>0.6666666666666666</x:v>
      </x:c>
      <x:c r="Q160" s="71" t="n">
        <x:f>IF(AND(ISNUMBER(O160),O160&gt;0),MIN(1,512/O160),"")</x:f>
        <x:v>1</x:v>
      </x:c>
      <x:c r="R160" s="71" t="n">
        <x:f>IF(AND(ISNUMBER(P160),ISNUMBER(Q160)),MIN(P160,Q160),"")</x:f>
        <x:v>0.6666666666666666</x:v>
      </x:c>
      <x:c r="S160" s="72" t="n">
        <x:f>IF(AND(ISNUMBER(M160),ISNUMBER(R160)),(M160-R160)*100,"")</x:f>
        <x:v>-42.86666666666667</x:v>
      </x:c>
      <x:c r="T160" s="69" t="str">
        <x:v>PASS</x:v>
      </x:c>
      <x:c r="U160" s="73" t="str">
        <x:v>matmul_shared_lowp（FP8）；本轮 model-main 9b3a4405（6参数含SoC）2026-09-22</x:v>
      </x:c>
    </x:row>
    <x:row r="161" ht="19" customHeight="1">
      <x:c r="A161" s="69" t="str">
        <x:v>S4</x:v>
      </x:c>
      <x:c r="B161" s="69" t="str">
        <x:v>FP8</x:v>
      </x:c>
      <x:c r="C161" s="70" t="n">
        <x:v>64</x:v>
      </x:c>
      <x:c r="D161" s="70" t="n">
        <x:v>128</x:v>
      </x:c>
      <x:c r="E161" s="70" t="n">
        <x:v>7168</x:v>
      </x:c>
      <x:c r="F161" s="70" t="n">
        <x:v>128</x:v>
      </x:c>
      <x:c r="G161" s="70" t="n">
        <x:v>64</x:v>
      </x:c>
      <x:c r="H161" s="70" t="n">
        <x:v>1024</x:v>
      </x:c>
      <x:c r="I161" s="70" t="n">
        <x:v>128</x:v>
      </x:c>
      <x:c r="J161" s="70" t="n">
        <x:v>64</x:v>
      </x:c>
      <x:c r="K161" s="70" t="n">
        <x:v>192</x:v>
      </x:c>
      <x:c r="L161" s="70" t="n">
        <x:v>30560</x:v>
      </x:c>
      <x:c r="M161" s="71" t="n">
        <x:f>IF(AND(ISNUMBER(L161),L161&gt;0),ROUND(C161*D161*E161/8192/L161*100,1)/100,"")</x:f>
        <x:v>0.235</x:v>
      </x:c>
      <x:c r="N161" s="72" t="n">
        <x:f>IF(OR(F161="",G161="",H161=""),"",((I161+J161)*1024)/(F161*G161*H161/8192))</x:f>
        <x:v>192</x:v>
      </x:c>
      <x:c r="O161" s="72" t="n">
        <x:f>IF(OR(F161="",G161="",H161=""),"",(F161*G161*4)/(F161*G161*H161/8192))</x:f>
        <x:v>32</x:v>
      </x:c>
      <x:c r="P161" s="71" t="n">
        <x:f>IF(AND(ISNUMBER(N161),N161&gt;0),MIN(1,128/N161),"")</x:f>
        <x:v>0.6666666666666666</x:v>
      </x:c>
      <x:c r="Q161" s="71" t="n">
        <x:f>IF(AND(ISNUMBER(O161),O161&gt;0),MIN(1,512/O161),"")</x:f>
        <x:v>1</x:v>
      </x:c>
      <x:c r="R161" s="71" t="n">
        <x:f>IF(AND(ISNUMBER(P161),ISNUMBER(Q161)),MIN(P161,Q161),"")</x:f>
        <x:v>0.6666666666666666</x:v>
      </x:c>
      <x:c r="S161" s="72" t="n">
        <x:f>IF(AND(ISNUMBER(M161),ISNUMBER(R161)),(M161-R161)*100,"")</x:f>
        <x:v>-43.166666666666664</x:v>
      </x:c>
      <x:c r="T161" s="69" t="str">
        <x:v>PASS</x:v>
      </x:c>
      <x:c r="U161" s="73" t="str">
        <x:v>matmul_shared_lowp（FP8）；本轮 model-main 9b3a4405（6参数含SoC）2026-09-22</x:v>
      </x:c>
    </x:row>
    <x:row r="162" ht="19" customHeight="1">
      <x:c r="A162" s="53" t="str">
        <x:v>S4</x:v>
      </x:c>
      <x:c r="B162" s="54" t="str">
        <x:v>FP8</x:v>
      </x:c>
      <x:c r="C162" s="55" t="n">
        <x:v>64</x:v>
      </x:c>
      <x:c r="D162" s="55" t="n">
        <x:v>128</x:v>
      </x:c>
      <x:c r="E162" s="55" t="n">
        <x:v>7168</x:v>
      </x:c>
      <x:c r="F162" s="55" t="n">
        <x:v>128</x:v>
      </x:c>
      <x:c r="G162" s="55" t="n">
        <x:v>128</x:v>
      </x:c>
      <x:c r="H162" s="55" t="n">
        <x:v>256</x:v>
      </x:c>
      <x:c r="I162" s="55" t="n">
        <x:v>32</x:v>
      </x:c>
      <x:c r="J162" s="55" t="n">
        <x:v>32</x:v>
      </x:c>
      <x:c r="K162" s="55" t="n">
        <x:v>64</x:v>
      </x:c>
      <x:c r="L162" s="55" t="n">
        <x:v>20428</x:v>
      </x:c>
      <x:c r="M162" s="56" t="n">
        <x:f>IF(AND(ISNUMBER(L162),L162&gt;0),ROUND(C162*D162*E162/8192/L162*100,1)/100,"")</x:f>
        <x:v>0.35100000000000003</x:v>
      </x:c>
      <x:c r="N162" s="57" t="n">
        <x:f>IF(OR(F162="",G162="",H162=""),"",((I162+J162)*1024)/(F162*G162*H162/8192))</x:f>
        <x:v>128</x:v>
      </x:c>
      <x:c r="O162" s="57" t="n">
        <x:f>IF(OR(F162="",G162="",H162=""),"",(F162*G162*4)/(F162*G162*H162/8192))</x:f>
        <x:v>128</x:v>
      </x:c>
      <x:c r="P162" s="56" t="n">
        <x:f>IF(AND(ISNUMBER(N162),N162&gt;0),MIN(1,128/N162),"")</x:f>
        <x:v>1</x:v>
      </x:c>
      <x:c r="Q162" s="56" t="n">
        <x:f>IF(AND(ISNUMBER(O162),O162&gt;0),MIN(1,512/O162),"")</x:f>
        <x:v>1</x:v>
      </x:c>
      <x:c r="R162" s="56" t="n">
        <x:f>IF(AND(ISNUMBER(P162),ISNUMBER(Q162)),MIN(P162,Q162),"")</x:f>
        <x:v>1</x:v>
      </x:c>
      <x:c r="S162" s="57" t="n">
        <x:f>IF(AND(ISNUMBER(M162),ISNUMBER(R162)),(M162-R162)*100,"")</x:f>
        <x:v>-64.9</x:v>
      </x:c>
      <x:c r="T162" s="54" t="str">
        <x:v>PASS</x:v>
      </x:c>
      <x:c r="U162" s="58" t="str">
        <x:v>matmul_shared_lowp（FP8）；本轮 model-main 9b3a4405（6参数含SoC）2026-09-22</x:v>
      </x:c>
    </x:row>
    <x:row r="163" ht="19" customHeight="1">
      <x:c r="A163" s="69" t="str">
        <x:v>S4</x:v>
      </x:c>
      <x:c r="B163" s="69" t="str">
        <x:v>FP8</x:v>
      </x:c>
      <x:c r="C163" s="70" t="n">
        <x:v>64</x:v>
      </x:c>
      <x:c r="D163" s="70" t="n">
        <x:v>128</x:v>
      </x:c>
      <x:c r="E163" s="70" t="n">
        <x:v>7168</x:v>
      </x:c>
      <x:c r="F163" s="70" t="n">
        <x:v>128</x:v>
      </x:c>
      <x:c r="G163" s="70" t="n">
        <x:v>128</x:v>
      </x:c>
      <x:c r="H163" s="70" t="n">
        <x:v>512</x:v>
      </x:c>
      <x:c r="I163" s="70" t="n">
        <x:v>64</x:v>
      </x:c>
      <x:c r="J163" s="70" t="n">
        <x:v>64</x:v>
      </x:c>
      <x:c r="K163" s="70" t="n">
        <x:v>128</x:v>
      </x:c>
      <x:c r="L163" s="70" t="n">
        <x:v>20791</x:v>
      </x:c>
      <x:c r="M163" s="71" t="n">
        <x:f>IF(AND(ISNUMBER(L163),L163&gt;0),ROUND(C163*D163*E163/8192/L163*100,1)/100,"")</x:f>
        <x:v>0.345</x:v>
      </x:c>
      <x:c r="N163" s="72" t="n">
        <x:f>IF(OR(F163="",G163="",H163=""),"",((I163+J163)*1024)/(F163*G163*H163/8192))</x:f>
        <x:v>128</x:v>
      </x:c>
      <x:c r="O163" s="72" t="n">
        <x:f>IF(OR(F163="",G163="",H163=""),"",(F163*G163*4)/(F163*G163*H163/8192))</x:f>
        <x:v>64</x:v>
      </x:c>
      <x:c r="P163" s="71" t="n">
        <x:f>IF(AND(ISNUMBER(N163),N163&gt;0),MIN(1,128/N163),"")</x:f>
        <x:v>1</x:v>
      </x:c>
      <x:c r="Q163" s="71" t="n">
        <x:f>IF(AND(ISNUMBER(O163),O163&gt;0),MIN(1,512/O163),"")</x:f>
        <x:v>1</x:v>
      </x:c>
      <x:c r="R163" s="71" t="n">
        <x:f>IF(AND(ISNUMBER(P163),ISNUMBER(Q163)),MIN(P163,Q163),"")</x:f>
        <x:v>1</x:v>
      </x:c>
      <x:c r="S163" s="72" t="n">
        <x:f>IF(AND(ISNUMBER(M163),ISNUMBER(R163)),(M163-R163)*100,"")</x:f>
        <x:v>-65.5</x:v>
      </x:c>
      <x:c r="T163" s="69" t="str">
        <x:v>PASS</x:v>
      </x:c>
      <x:c r="U163" s="73" t="str">
        <x:v>matmul_shared_lowp（FP8）；本轮 model-main 9b3a4405（6参数含SoC）2026-09-22</x:v>
      </x:c>
    </x:row>
    <x:row r="164" ht="19" customHeight="1">
      <x:c r="A164" s="69" t="str">
        <x:v>S4</x:v>
      </x:c>
      <x:c r="B164" s="69" t="str">
        <x:v>FP8</x:v>
      </x:c>
      <x:c r="C164" s="70" t="n">
        <x:v>64</x:v>
      </x:c>
      <x:c r="D164" s="70" t="n">
        <x:v>128</x:v>
      </x:c>
      <x:c r="E164" s="70" t="n">
        <x:v>7168</x:v>
      </x:c>
      <x:c r="F164" s="70" t="n">
        <x:v>128</x:v>
      </x:c>
      <x:c r="G164" s="70" t="n">
        <x:v>128</x:v>
      </x:c>
      <x:c r="H164" s="70" t="n">
        <x:v>1024</x:v>
      </x:c>
      <x:c r="I164" s="70" t="n">
        <x:v>128</x:v>
      </x:c>
      <x:c r="J164" s="70" t="n">
        <x:v>128</x:v>
      </x:c>
      <x:c r="K164" s="70" t="n">
        <x:v>256</x:v>
      </x:c>
      <x:c r="L164" s="70" t="n">
        <x:v>21555</x:v>
      </x:c>
      <x:c r="M164" s="71" t="n">
        <x:f>IF(AND(ISNUMBER(L164),L164&gt;0),ROUND(C164*D164*E164/8192/L164*100,1)/100,"")</x:f>
        <x:v>0.33299999999999996</x:v>
      </x:c>
      <x:c r="N164" s="72" t="n">
        <x:f>IF(OR(F164="",G164="",H164=""),"",((I164+J164)*1024)/(F164*G164*H164/8192))</x:f>
        <x:v>128</x:v>
      </x:c>
      <x:c r="O164" s="72" t="n">
        <x:f>IF(OR(F164="",G164="",H164=""),"",(F164*G164*4)/(F164*G164*H164/8192))</x:f>
        <x:v>32</x:v>
      </x:c>
      <x:c r="P164" s="71" t="n">
        <x:f>IF(AND(ISNUMBER(N164),N164&gt;0),MIN(1,128/N164),"")</x:f>
        <x:v>1</x:v>
      </x:c>
      <x:c r="Q164" s="71" t="n">
        <x:f>IF(AND(ISNUMBER(O164),O164&gt;0),MIN(1,512/O164),"")</x:f>
        <x:v>1</x:v>
      </x:c>
      <x:c r="R164" s="71" t="n">
        <x:f>IF(AND(ISNUMBER(P164),ISNUMBER(Q164)),MIN(P164,Q164),"")</x:f>
        <x:v>1</x:v>
      </x:c>
      <x:c r="S164" s="72" t="n">
        <x:f>IF(AND(ISNUMBER(M164),ISNUMBER(R164)),(M164-R164)*100,"")</x:f>
        <x:v>-66.7</x:v>
      </x:c>
      <x:c r="T164" s="69" t="str">
        <x:v>PASS</x:v>
      </x:c>
      <x:c r="U164" s="73" t="str">
        <x:v>matmul_shared_lowp（FP8）；本轮 model-main 9b3a4405（6参数含SoC）2026-09-22</x:v>
      </x:c>
    </x:row>
    <x:row r="165" ht="19" customHeight="1">
      <x:c r="A165" s="69" t="str">
        <x:v>S4</x:v>
      </x:c>
      <x:c r="B165" s="69" t="str">
        <x:v>MXFP8</x:v>
      </x:c>
      <x:c r="C165" s="70" t="n">
        <x:v>64</x:v>
      </x:c>
      <x:c r="D165" s="70" t="n">
        <x:v>128</x:v>
      </x:c>
      <x:c r="E165" s="70" t="n">
        <x:v>7168</x:v>
      </x:c>
      <x:c r="F165" s="70" t="n">
        <x:v>128</x:v>
      </x:c>
      <x:c r="G165" s="70" t="n">
        <x:v>64</x:v>
      </x:c>
      <x:c r="H165" s="70" t="n">
        <x:v>256</x:v>
      </x:c>
      <x:c r="I165" s="70" t="n">
        <x:v>32</x:v>
      </x:c>
      <x:c r="J165" s="70" t="n">
        <x:v>16</x:v>
      </x:c>
      <x:c r="K165" s="70" t="n">
        <x:v>48</x:v>
      </x:c>
      <x:c r="L165" s="70" t="n">
        <x:v>31359</x:v>
      </x:c>
      <x:c r="M165" s="71" t="n">
        <x:f>IF(AND(ISNUMBER(L165),L165&gt;0),ROUND(C165*D165*E165/8192/L165*100,1)/100,"")</x:f>
        <x:v>0.22899999999999998</x:v>
      </x:c>
      <x:c r="N165" s="72" t="n">
        <x:f>IF(OR(F165="",G165="",H165=""),"",((I165+J165)*1024)/(F165*G165*H165/8192))</x:f>
        <x:v>192</x:v>
      </x:c>
      <x:c r="O165" s="72" t="n">
        <x:f>IF(OR(F165="",G165="",H165=""),"",(F165*G165*4)/(F165*G165*H165/8192))</x:f>
        <x:v>128</x:v>
      </x:c>
      <x:c r="P165" s="71" t="n">
        <x:f>IF(AND(ISNUMBER(N165),N165&gt;0),MIN(1,128/N165),"")</x:f>
        <x:v>0.6666666666666666</x:v>
      </x:c>
      <x:c r="Q165" s="71" t="n">
        <x:f>IF(AND(ISNUMBER(O165),O165&gt;0),MIN(1,512/O165),"")</x:f>
        <x:v>1</x:v>
      </x:c>
      <x:c r="R165" s="71" t="n">
        <x:f>IF(AND(ISNUMBER(P165),ISNUMBER(Q165)),MIN(P165,Q165),"")</x:f>
        <x:v>0.6666666666666666</x:v>
      </x:c>
      <x:c r="S165" s="72" t="n">
        <x:f>IF(AND(ISNUMBER(M165),ISNUMBER(R165)),(M165-R165)*100,"")</x:f>
        <x:v>-43.766666666666666</x:v>
      </x:c>
      <x:c r="T165" s="69" t="str">
        <x:v>PASS</x:v>
      </x:c>
      <x:c r="U165" s="73" t="str">
        <x:v>matmul_shared_lowp（MXFP8）；本轮 model-main 9b3a4405（6参数含SoC）2026-09-22</x:v>
      </x:c>
    </x:row>
    <x:row r="166" ht="19" customHeight="1">
      <x:c r="A166" s="69" t="str">
        <x:v>S4</x:v>
      </x:c>
      <x:c r="B166" s="69" t="str">
        <x:v>MXFP8</x:v>
      </x:c>
      <x:c r="C166" s="70" t="n">
        <x:v>64</x:v>
      </x:c>
      <x:c r="D166" s="70" t="n">
        <x:v>128</x:v>
      </x:c>
      <x:c r="E166" s="70" t="n">
        <x:v>7168</x:v>
      </x:c>
      <x:c r="F166" s="70" t="n">
        <x:v>128</x:v>
      </x:c>
      <x:c r="G166" s="70" t="n">
        <x:v>64</x:v>
      </x:c>
      <x:c r="H166" s="70" t="n">
        <x:v>512</x:v>
      </x:c>
      <x:c r="I166" s="70" t="n">
        <x:v>64</x:v>
      </x:c>
      <x:c r="J166" s="70" t="n">
        <x:v>32</x:v>
      </x:c>
      <x:c r="K166" s="70" t="n">
        <x:v>96</x:v>
      </x:c>
      <x:c r="L166" s="70" t="n">
        <x:v>35374</x:v>
      </x:c>
      <x:c r="M166" s="71" t="n">
        <x:f>IF(AND(ISNUMBER(L166),L166&gt;0),ROUND(C166*D166*E166/8192/L166*100,1)/100,"")</x:f>
        <x:v>0.203</x:v>
      </x:c>
      <x:c r="N166" s="72" t="n">
        <x:f>IF(OR(F166="",G166="",H166=""),"",((I166+J166)*1024)/(F166*G166*H166/8192))</x:f>
        <x:v>192</x:v>
      </x:c>
      <x:c r="O166" s="72" t="n">
        <x:f>IF(OR(F166="",G166="",H166=""),"",(F166*G166*4)/(F166*G166*H166/8192))</x:f>
        <x:v>64</x:v>
      </x:c>
      <x:c r="P166" s="71" t="n">
        <x:f>IF(AND(ISNUMBER(N166),N166&gt;0),MIN(1,128/N166),"")</x:f>
        <x:v>0.6666666666666666</x:v>
      </x:c>
      <x:c r="Q166" s="71" t="n">
        <x:f>IF(AND(ISNUMBER(O166),O166&gt;0),MIN(1,512/O166),"")</x:f>
        <x:v>1</x:v>
      </x:c>
      <x:c r="R166" s="71" t="n">
        <x:f>IF(AND(ISNUMBER(P166),ISNUMBER(Q166)),MIN(P166,Q166),"")</x:f>
        <x:v>0.6666666666666666</x:v>
      </x:c>
      <x:c r="S166" s="72" t="n">
        <x:f>IF(AND(ISNUMBER(M166),ISNUMBER(R166)),(M166-R166)*100,"")</x:f>
        <x:v>-46.36666666666666</x:v>
      </x:c>
      <x:c r="T166" s="69" t="str">
        <x:v>PASS</x:v>
      </x:c>
      <x:c r="U166" s="73" t="str">
        <x:v>matmul_shared_lowp（MXFP8）；本轮 model-main 9b3a4405（6参数含SoC）2026-09-22</x:v>
      </x:c>
    </x:row>
    <x:row r="167" ht="19" customHeight="1">
      <x:c r="A167" s="69" t="str">
        <x:v>S4</x:v>
      </x:c>
      <x:c r="B167" s="69" t="str">
        <x:v>MXFP8</x:v>
      </x:c>
      <x:c r="C167" s="70" t="n">
        <x:v>64</x:v>
      </x:c>
      <x:c r="D167" s="70" t="n">
        <x:v>128</x:v>
      </x:c>
      <x:c r="E167" s="70" t="n">
        <x:v>7168</x:v>
      </x:c>
      <x:c r="F167" s="70" t="n">
        <x:v>128</x:v>
      </x:c>
      <x:c r="G167" s="70" t="n">
        <x:v>64</x:v>
      </x:c>
      <x:c r="H167" s="70" t="n">
        <x:v>1024</x:v>
      </x:c>
      <x:c r="I167" s="70" t="n">
        <x:v>132</x:v>
      </x:c>
      <x:c r="J167" s="70" t="n">
        <x:v>66</x:v>
      </x:c>
      <x:c r="K167" s="70" t="n">
        <x:v>198</x:v>
      </x:c>
      <x:c r="L167" s="70" t="n">
        <x:v>35012</x:v>
      </x:c>
      <x:c r="M167" s="71" t="n">
        <x:f>IF(AND(ISNUMBER(L167),L167&gt;0),ROUND(C167*D167*E167/8192/L167*100,1)/100,"")</x:f>
        <x:v>0.205</x:v>
      </x:c>
      <x:c r="N167" s="72" t="n">
        <x:f>IF(OR(F167="",G167="",H167=""),"",((I167+J167)*1024)/(F167*G167*H167/8192))</x:f>
        <x:v>198</x:v>
      </x:c>
      <x:c r="O167" s="72" t="n">
        <x:f>IF(OR(F167="",G167="",H167=""),"",(F167*G167*4)/(F167*G167*H167/8192))</x:f>
        <x:v>32</x:v>
      </x:c>
      <x:c r="P167" s="71" t="n">
        <x:f>IF(AND(ISNUMBER(N167),N167&gt;0),MIN(1,128/N167),"")</x:f>
        <x:v>0.6464646464646465</x:v>
      </x:c>
      <x:c r="Q167" s="71" t="n">
        <x:f>IF(AND(ISNUMBER(O167),O167&gt;0),MIN(1,512/O167),"")</x:f>
        <x:v>1</x:v>
      </x:c>
      <x:c r="R167" s="71" t="n">
        <x:f>IF(AND(ISNUMBER(P167),ISNUMBER(Q167)),MIN(P167,Q167),"")</x:f>
        <x:v>0.6464646464646465</x:v>
      </x:c>
      <x:c r="S167" s="72" t="n">
        <x:f>IF(AND(ISNUMBER(M167),ISNUMBER(R167)),(M167-R167)*100,"")</x:f>
        <x:v>-44.14646464646466</x:v>
      </x:c>
      <x:c r="T167" s="69" t="str">
        <x:v>PASS</x:v>
      </x:c>
      <x:c r="U167" s="73" t="str">
        <x:v>matmul_shared_lowp（MXFP8）；本轮 model-main 9b3a4405（6参数含SoC）2026-09-22</x:v>
      </x:c>
    </x:row>
    <x:row r="168" ht="19" customHeight="1">
      <x:c r="A168" s="53" t="str">
        <x:v>S4</x:v>
      </x:c>
      <x:c r="B168" s="54" t="str">
        <x:v>MXFP8</x:v>
      </x:c>
      <x:c r="C168" s="55" t="n">
        <x:v>64</x:v>
      </x:c>
      <x:c r="D168" s="55" t="n">
        <x:v>128</x:v>
      </x:c>
      <x:c r="E168" s="55" t="n">
        <x:v>7168</x:v>
      </x:c>
      <x:c r="F168" s="55" t="n">
        <x:v>128</x:v>
      </x:c>
      <x:c r="G168" s="55" t="n">
        <x:v>128</x:v>
      </x:c>
      <x:c r="H168" s="55" t="n">
        <x:v>256</x:v>
      </x:c>
      <x:c r="I168" s="55" t="n">
        <x:v>32</x:v>
      </x:c>
      <x:c r="J168" s="55" t="n">
        <x:v>32</x:v>
      </x:c>
      <x:c r="K168" s="55" t="n">
        <x:v>64</x:v>
      </x:c>
      <x:c r="L168" s="55" t="n">
        <x:v>22049</x:v>
      </x:c>
      <x:c r="M168" s="56" t="n">
        <x:f>IF(AND(ISNUMBER(L168),L168&gt;0),ROUND(C168*D168*E168/8192/L168*100,1)/100,"")</x:f>
        <x:v>0.325</x:v>
      </x:c>
      <x:c r="N168" s="57" t="n">
        <x:f>IF(OR(F168="",G168="",H168=""),"",((I168+J168)*1024)/(F168*G168*H168/8192))</x:f>
        <x:v>128</x:v>
      </x:c>
      <x:c r="O168" s="57" t="n">
        <x:f>IF(OR(F168="",G168="",H168=""),"",(F168*G168*4)/(F168*G168*H168/8192))</x:f>
        <x:v>128</x:v>
      </x:c>
      <x:c r="P168" s="56" t="n">
        <x:f>IF(AND(ISNUMBER(N168),N168&gt;0),MIN(1,128/N168),"")</x:f>
        <x:v>1</x:v>
      </x:c>
      <x:c r="Q168" s="56" t="n">
        <x:f>IF(AND(ISNUMBER(O168),O168&gt;0),MIN(1,512/O168),"")</x:f>
        <x:v>1</x:v>
      </x:c>
      <x:c r="R168" s="56" t="n">
        <x:f>IF(AND(ISNUMBER(P168),ISNUMBER(Q168)),MIN(P168,Q168),"")</x:f>
        <x:v>1</x:v>
      </x:c>
      <x:c r="S168" s="57" t="n">
        <x:f>IF(AND(ISNUMBER(M168),ISNUMBER(R168)),(M168-R168)*100,"")</x:f>
        <x:v>-67.5</x:v>
      </x:c>
      <x:c r="T168" s="54" t="str">
        <x:v>PASS</x:v>
      </x:c>
      <x:c r="U168" s="58" t="str">
        <x:v>matmul_shared_lowp（MXFP8）；本轮 model-main 9b3a4405（6参数含SoC）2026-09-22</x:v>
      </x:c>
    </x:row>
    <x:row r="169" ht="19" customHeight="1">
      <x:c r="A169" s="69" t="str">
        <x:v>S4</x:v>
      </x:c>
      <x:c r="B169" s="69" t="str">
        <x:v>MXFP8</x:v>
      </x:c>
      <x:c r="C169" s="70" t="n">
        <x:v>64</x:v>
      </x:c>
      <x:c r="D169" s="70" t="n">
        <x:v>128</x:v>
      </x:c>
      <x:c r="E169" s="70" t="n">
        <x:v>7168</x:v>
      </x:c>
      <x:c r="F169" s="70" t="n">
        <x:v>128</x:v>
      </x:c>
      <x:c r="G169" s="70" t="n">
        <x:v>128</x:v>
      </x:c>
      <x:c r="H169" s="70" t="n">
        <x:v>512</x:v>
      </x:c>
      <x:c r="I169" s="70" t="n">
        <x:v>64</x:v>
      </x:c>
      <x:c r="J169" s="70" t="n">
        <x:v>64</x:v>
      </x:c>
      <x:c r="K169" s="70" t="n">
        <x:v>128</x:v>
      </x:c>
      <x:c r="L169" s="70" t="n">
        <x:v>22903</x:v>
      </x:c>
      <x:c r="M169" s="71" t="n">
        <x:f>IF(AND(ISNUMBER(L169),L169&gt;0),ROUND(C169*D169*E169/8192/L169*100,1)/100,"")</x:f>
        <x:v>0.313</x:v>
      </x:c>
      <x:c r="N169" s="72" t="n">
        <x:f>IF(OR(F169="",G169="",H169=""),"",((I169+J169)*1024)/(F169*G169*H169/8192))</x:f>
        <x:v>128</x:v>
      </x:c>
      <x:c r="O169" s="72" t="n">
        <x:f>IF(OR(F169="",G169="",H169=""),"",(F169*G169*4)/(F169*G169*H169/8192))</x:f>
        <x:v>64</x:v>
      </x:c>
      <x:c r="P169" s="71" t="n">
        <x:f>IF(AND(ISNUMBER(N169),N169&gt;0),MIN(1,128/N169),"")</x:f>
        <x:v>1</x:v>
      </x:c>
      <x:c r="Q169" s="71" t="n">
        <x:f>IF(AND(ISNUMBER(O169),O169&gt;0),MIN(1,512/O169),"")</x:f>
        <x:v>1</x:v>
      </x:c>
      <x:c r="R169" s="71" t="n">
        <x:f>IF(AND(ISNUMBER(P169),ISNUMBER(Q169)),MIN(P169,Q169),"")</x:f>
        <x:v>1</x:v>
      </x:c>
      <x:c r="S169" s="72" t="n">
        <x:f>IF(AND(ISNUMBER(M169),ISNUMBER(R169)),(M169-R169)*100,"")</x:f>
        <x:v>-68.7</x:v>
      </x:c>
      <x:c r="T169" s="69" t="str">
        <x:v>PASS</x:v>
      </x:c>
      <x:c r="U169" s="73" t="str">
        <x:v>matmul_shared_lowp（MXFP8）；本轮 model-main 9b3a4405（6参数含SoC）2026-09-22</x:v>
      </x:c>
    </x:row>
    <x:row r="170" ht="19" customHeight="1">
      <x:c r="A170" s="69" t="str">
        <x:v>S4</x:v>
      </x:c>
      <x:c r="B170" s="69" t="str">
        <x:v>MXFP4</x:v>
      </x:c>
      <x:c r="C170" s="70" t="n">
        <x:v>64</x:v>
      </x:c>
      <x:c r="D170" s="70" t="n">
        <x:v>128</x:v>
      </x:c>
      <x:c r="E170" s="70" t="n">
        <x:v>7168</x:v>
      </x:c>
      <x:c r="F170" s="70" t="n">
        <x:v>128</x:v>
      </x:c>
      <x:c r="G170" s="70" t="n">
        <x:v>64</x:v>
      </x:c>
      <x:c r="H170" s="70" t="n">
        <x:v>256</x:v>
      </x:c>
      <x:c r="I170" s="70" t="n">
        <x:v>32</x:v>
      </x:c>
      <x:c r="J170" s="70" t="n">
        <x:v>16</x:v>
      </x:c>
      <x:c r="K170" s="70" t="n">
        <x:v>48</x:v>
      </x:c>
      <x:c r="L170" s="70" t="n">
        <x:v>31257</x:v>
      </x:c>
      <x:c r="M170" s="71" t="n">
        <x:f>IF(AND(ISNUMBER(L170),L170&gt;0),ROUND(C170*D170*E170/16384/L170*100,1)/100,"")</x:f>
        <x:v>0.115</x:v>
      </x:c>
      <x:c r="N170" s="72" t="n">
        <x:f>IF(OR(F170="",G170="",H170=""),"",((I170+J170)*1024)/(F170*G170*H170/16384))</x:f>
        <x:v>384</x:v>
      </x:c>
      <x:c r="O170" s="72" t="n">
        <x:f>IF(OR(F170="",G170="",H170=""),"",(F170*G170*4)/(F170*G170*H170/16384))</x:f>
        <x:v>256</x:v>
      </x:c>
      <x:c r="P170" s="71" t="n">
        <x:f>IF(AND(ISNUMBER(N170),N170&gt;0),MIN(1,128/N170),"")</x:f>
        <x:v>0.3333333333333333</x:v>
      </x:c>
      <x:c r="Q170" s="71" t="n">
        <x:f>IF(AND(ISNUMBER(O170),O170&gt;0),MIN(1,512/O170),"")</x:f>
        <x:v>1</x:v>
      </x:c>
      <x:c r="R170" s="71" t="n">
        <x:f>IF(AND(ISNUMBER(P170),ISNUMBER(Q170)),MIN(P170,Q170),"")</x:f>
        <x:v>0.3333333333333333</x:v>
      </x:c>
      <x:c r="S170" s="72" t="n">
        <x:f>IF(AND(ISNUMBER(M170),ISNUMBER(R170)),(M170-R170)*100,"")</x:f>
        <x:v>-21.833333333333332</x:v>
      </x:c>
      <x:c r="T170" s="69" t="str">
        <x:v>PASS</x:v>
      </x:c>
      <x:c r="U170" s="73" t="str">
        <x:v>matmul_shared_lowp（MXFP4）；本轮 model-main 9b3a4405（6参数含SoC）2026-09-22</x:v>
      </x:c>
    </x:row>
    <x:row r="171" ht="19" customHeight="1">
      <x:c r="A171" s="69" t="str">
        <x:v>S4</x:v>
      </x:c>
      <x:c r="B171" s="69" t="str">
        <x:v>MXFP4</x:v>
      </x:c>
      <x:c r="C171" s="70" t="n">
        <x:v>64</x:v>
      </x:c>
      <x:c r="D171" s="70" t="n">
        <x:v>128</x:v>
      </x:c>
      <x:c r="E171" s="70" t="n">
        <x:v>7168</x:v>
      </x:c>
      <x:c r="F171" s="70" t="n">
        <x:v>128</x:v>
      </x:c>
      <x:c r="G171" s="70" t="n">
        <x:v>64</x:v>
      </x:c>
      <x:c r="H171" s="70" t="n">
        <x:v>512</x:v>
      </x:c>
      <x:c r="I171" s="70" t="n">
        <x:v>64</x:v>
      </x:c>
      <x:c r="J171" s="70" t="n">
        <x:v>32</x:v>
      </x:c>
      <x:c r="K171" s="70" t="n">
        <x:v>96</x:v>
      </x:c>
      <x:c r="L171" s="70" t="n">
        <x:v>34079</x:v>
      </x:c>
      <x:c r="M171" s="71" t="n">
        <x:f>IF(AND(ISNUMBER(L171),L171&gt;0),ROUND(C171*D171*E171/16384/L171*100,1)/100,"")</x:f>
        <x:v>0.105</x:v>
      </x:c>
      <x:c r="N171" s="72" t="n">
        <x:f>IF(OR(F171="",G171="",H171=""),"",((I171+J171)*1024)/(F171*G171*H171/16384))</x:f>
        <x:v>384</x:v>
      </x:c>
      <x:c r="O171" s="72" t="n">
        <x:f>IF(OR(F171="",G171="",H171=""),"",(F171*G171*4)/(F171*G171*H171/16384))</x:f>
        <x:v>128</x:v>
      </x:c>
      <x:c r="P171" s="71" t="n">
        <x:f>IF(AND(ISNUMBER(N171),N171&gt;0),MIN(1,128/N171),"")</x:f>
        <x:v>0.3333333333333333</x:v>
      </x:c>
      <x:c r="Q171" s="71" t="n">
        <x:f>IF(AND(ISNUMBER(O171),O171&gt;0),MIN(1,512/O171),"")</x:f>
        <x:v>1</x:v>
      </x:c>
      <x:c r="R171" s="71" t="n">
        <x:f>IF(AND(ISNUMBER(P171),ISNUMBER(Q171)),MIN(P171,Q171),"")</x:f>
        <x:v>0.3333333333333333</x:v>
      </x:c>
      <x:c r="S171" s="72" t="n">
        <x:f>IF(AND(ISNUMBER(M171),ISNUMBER(R171)),(M171-R171)*100,"")</x:f>
        <x:v>-22.833333333333332</x:v>
      </x:c>
      <x:c r="T171" s="69" t="str">
        <x:v>PASS</x:v>
      </x:c>
      <x:c r="U171" s="73" t="str">
        <x:v>matmul_shared_lowp（MXFP4）；本轮 model-main 9b3a4405（6参数含SoC）2026-09-22</x:v>
      </x:c>
    </x:row>
    <x:row r="172" ht="19" customHeight="1">
      <x:c r="A172" s="69" t="str">
        <x:v>S4</x:v>
      </x:c>
      <x:c r="B172" s="69" t="str">
        <x:v>MXFP4</x:v>
      </x:c>
      <x:c r="C172" s="70" t="n">
        <x:v>64</x:v>
      </x:c>
      <x:c r="D172" s="70" t="n">
        <x:v>128</x:v>
      </x:c>
      <x:c r="E172" s="70" t="n">
        <x:v>7168</x:v>
      </x:c>
      <x:c r="F172" s="70" t="n">
        <x:v>128</x:v>
      </x:c>
      <x:c r="G172" s="70" t="n">
        <x:v>64</x:v>
      </x:c>
      <x:c r="H172" s="70" t="n">
        <x:v>1024</x:v>
      </x:c>
      <x:c r="I172" s="70" t="n">
        <x:v>132</x:v>
      </x:c>
      <x:c r="J172" s="70" t="n">
        <x:v>66</x:v>
      </x:c>
      <x:c r="K172" s="70" t="n">
        <x:v>198</x:v>
      </x:c>
      <x:c r="L172" s="70" t="n">
        <x:v>34137</x:v>
      </x:c>
      <x:c r="M172" s="71" t="n">
        <x:f>IF(AND(ISNUMBER(L172),L172&gt;0),ROUND(C172*D172*E172/16384/L172*100,1)/100,"")</x:f>
        <x:v>0.105</x:v>
      </x:c>
      <x:c r="N172" s="72" t="n">
        <x:f>IF(OR(F172="",G172="",H172=""),"",((I172+J172)*1024)/(F172*G172*H172/16384))</x:f>
        <x:v>396</x:v>
      </x:c>
      <x:c r="O172" s="72" t="n">
        <x:f>IF(OR(F172="",G172="",H172=""),"",(F172*G172*4)/(F172*G172*H172/16384))</x:f>
        <x:v>64</x:v>
      </x:c>
      <x:c r="P172" s="71" t="n">
        <x:f>IF(AND(ISNUMBER(N172),N172&gt;0),MIN(1,128/N172),"")</x:f>
        <x:v>0.32323232323232326</x:v>
      </x:c>
      <x:c r="Q172" s="71" t="n">
        <x:f>IF(AND(ISNUMBER(O172),O172&gt;0),MIN(1,512/O172),"")</x:f>
        <x:v>1</x:v>
      </x:c>
      <x:c r="R172" s="71" t="n">
        <x:f>IF(AND(ISNUMBER(P172),ISNUMBER(Q172)),MIN(P172,Q172),"")</x:f>
        <x:v>0.32323232323232326</x:v>
      </x:c>
      <x:c r="S172" s="72" t="n">
        <x:f>IF(AND(ISNUMBER(M172),ISNUMBER(R172)),(M172-R172)*100,"")</x:f>
        <x:v>-21.82323232323233</x:v>
      </x:c>
      <x:c r="T172" s="69" t="str">
        <x:v>PASS</x:v>
      </x:c>
      <x:c r="U172" s="73" t="str">
        <x:v>matmul_shared_lowp（MXFP4）；本轮 model-main 9b3a4405（6参数含SoC）2026-09-22</x:v>
      </x:c>
    </x:row>
    <x:row r="173" ht="19" customHeight="1">
      <x:c r="A173" s="53" t="str">
        <x:v>S4</x:v>
      </x:c>
      <x:c r="B173" s="54" t="str">
        <x:v>MXFP4</x:v>
      </x:c>
      <x:c r="C173" s="55" t="n">
        <x:v>64</x:v>
      </x:c>
      <x:c r="D173" s="55" t="n">
        <x:v>128</x:v>
      </x:c>
      <x:c r="E173" s="55" t="n">
        <x:v>7168</x:v>
      </x:c>
      <x:c r="F173" s="55" t="n">
        <x:v>128</x:v>
      </x:c>
      <x:c r="G173" s="55" t="n">
        <x:v>128</x:v>
      </x:c>
      <x:c r="H173" s="55" t="n">
        <x:v>256</x:v>
      </x:c>
      <x:c r="I173" s="55" t="n">
        <x:v>32</x:v>
      </x:c>
      <x:c r="J173" s="55" t="n">
        <x:v>32</x:v>
      </x:c>
      <x:c r="K173" s="55" t="n">
        <x:v>64</x:v>
      </x:c>
      <x:c r="L173" s="55" t="n">
        <x:v>21340</x:v>
      </x:c>
      <x:c r="M173" s="56" t="n">
        <x:f>IF(AND(ISNUMBER(L173),L173&gt;0),ROUND(C173*D173*E173/16384/L173*100,1)/100,"")</x:f>
        <x:v>0.168</x:v>
      </x:c>
      <x:c r="N173" s="57" t="n">
        <x:f>IF(OR(F173="",G173="",H173=""),"",((I173+J173)*1024)/(F173*G173*H173/16384))</x:f>
        <x:v>256</x:v>
      </x:c>
      <x:c r="O173" s="57" t="n">
        <x:f>IF(OR(F173="",G173="",H173=""),"",(F173*G173*4)/(F173*G173*H173/16384))</x:f>
        <x:v>256</x:v>
      </x:c>
      <x:c r="P173" s="56" t="n">
        <x:f>IF(AND(ISNUMBER(N173),N173&gt;0),MIN(1,128/N173),"")</x:f>
        <x:v>0.5</x:v>
      </x:c>
      <x:c r="Q173" s="56" t="n">
        <x:f>IF(AND(ISNUMBER(O173),O173&gt;0),MIN(1,512/O173),"")</x:f>
        <x:v>1</x:v>
      </x:c>
      <x:c r="R173" s="56" t="n">
        <x:f>IF(AND(ISNUMBER(P173),ISNUMBER(Q173)),MIN(P173,Q173),"")</x:f>
        <x:v>0.5</x:v>
      </x:c>
      <x:c r="S173" s="57" t="n">
        <x:f>IF(AND(ISNUMBER(M173),ISNUMBER(R173)),(M173-R173)*100,"")</x:f>
        <x:v>-33.199999999999996</x:v>
      </x:c>
      <x:c r="T173" s="54" t="str">
        <x:v>PASS</x:v>
      </x:c>
      <x:c r="U173" s="58" t="str">
        <x:v>matmul_shared_lowp（MXFP4）；本轮 model-main 9b3a4405（6参数含SoC）2026-09-22</x:v>
      </x:c>
    </x:row>
    <x:row r="174" ht="19" customHeight="1">
      <x:c r="A174" s="69" t="str">
        <x:v>S4</x:v>
      </x:c>
      <x:c r="B174" s="69" t="str">
        <x:v>MXFP4</x:v>
      </x:c>
      <x:c r="C174" s="70" t="n">
        <x:v>64</x:v>
      </x:c>
      <x:c r="D174" s="70" t="n">
        <x:v>128</x:v>
      </x:c>
      <x:c r="E174" s="70" t="n">
        <x:v>7168</x:v>
      </x:c>
      <x:c r="F174" s="70" t="n">
        <x:v>128</x:v>
      </x:c>
      <x:c r="G174" s="70" t="n">
        <x:v>128</x:v>
      </x:c>
      <x:c r="H174" s="70" t="n">
        <x:v>512</x:v>
      </x:c>
      <x:c r="I174" s="70" t="n">
        <x:v>64</x:v>
      </x:c>
      <x:c r="J174" s="70" t="n">
        <x:v>64</x:v>
      </x:c>
      <x:c r="K174" s="70" t="n">
        <x:v>128</x:v>
      </x:c>
      <x:c r="L174" s="70" t="n">
        <x:v>22130</x:v>
      </x:c>
      <x:c r="M174" s="71" t="n">
        <x:f>IF(AND(ISNUMBER(L174),L174&gt;0),ROUND(C174*D174*E174/16384/L174*100,1)/100,"")</x:f>
        <x:v>0.162</x:v>
      </x:c>
      <x:c r="N174" s="72" t="n">
        <x:f>IF(OR(F174="",G174="",H174=""),"",((I174+J174)*1024)/(F174*G174*H174/16384))</x:f>
        <x:v>256</x:v>
      </x:c>
      <x:c r="O174" s="72" t="n">
        <x:f>IF(OR(F174="",G174="",H174=""),"",(F174*G174*4)/(F174*G174*H174/16384))</x:f>
        <x:v>128</x:v>
      </x:c>
      <x:c r="P174" s="71" t="n">
        <x:f>IF(AND(ISNUMBER(N174),N174&gt;0),MIN(1,128/N174),"")</x:f>
        <x:v>0.5</x:v>
      </x:c>
      <x:c r="Q174" s="71" t="n">
        <x:f>IF(AND(ISNUMBER(O174),O174&gt;0),MIN(1,512/O174),"")</x:f>
        <x:v>1</x:v>
      </x:c>
      <x:c r="R174" s="71" t="n">
        <x:f>IF(AND(ISNUMBER(P174),ISNUMBER(Q174)),MIN(P174,Q174),"")</x:f>
        <x:v>0.5</x:v>
      </x:c>
      <x:c r="S174" s="72" t="n">
        <x:f>IF(AND(ISNUMBER(M174),ISNUMBER(R174)),(M174-R174)*100,"")</x:f>
        <x:v>-33.8</x:v>
      </x:c>
      <x:c r="T174" s="69" t="str">
        <x:v>PASS</x:v>
      </x:c>
      <x:c r="U174" s="73" t="str">
        <x:v>matmul_shared_lowp（MXFP4）；本轮 model-main 9b3a4405（6参数含SoC）2026-09-22</x:v>
      </x:c>
    </x:row>
    <x:row r="175" ht="19" customHeight="1">
      <x:c r="A175" s="53" t="str">
        <x:v>S5</x:v>
      </x:c>
      <x:c r="B175" s="54" t="str">
        <x:v>FP32</x:v>
      </x:c>
      <x:c r="C175" s="55" t="n">
        <x:v>64</x:v>
      </x:c>
      <x:c r="D175" s="55" t="n">
        <x:v>64</x:v>
      </x:c>
      <x:c r="E175" s="55" t="n">
        <x:v>7168</x:v>
      </x:c>
      <x:c r="F175" s="55" t="n">
        <x:v>128</x:v>
      </x:c>
      <x:c r="G175" s="55" t="n">
        <x:v>64</x:v>
      </x:c>
      <x:c r="H175" s="55" t="n">
        <x:v>64</x:v>
      </x:c>
      <x:c r="I175" s="55" t="n">
        <x:v>32</x:v>
      </x:c>
      <x:c r="J175" s="55" t="n">
        <x:v>16</x:v>
      </x:c>
      <x:c r="K175" s="55" t="n">
        <x:v>48</x:v>
      </x:c>
      <x:c r="L175" s="55" t="n">
        <x:v>51542</x:v>
      </x:c>
      <x:c r="M175" s="56" t="n">
        <x:f>IF(AND(ISNUMBER(L175),L175&gt;0),ROUND(C175*D175*E175/2048/L175*100,1)/100,"")</x:f>
        <x:v>0.278</x:v>
      </x:c>
      <x:c r="N175" s="57" t="n">
        <x:f>IF(OR(F175="",G175="",H175=""),"",((I175+J175)*1024)/(F175*G175*H175/2048))</x:f>
        <x:v>192</x:v>
      </x:c>
      <x:c r="O175" s="57" t="n">
        <x:f>IF(OR(F175="",G175="",H175=""),"",(F175*G175*4)/(F175*G175*H175/2048))</x:f>
        <x:v>128</x:v>
      </x:c>
      <x:c r="P175" s="56" t="n">
        <x:f>IF(AND(ISNUMBER(N175),N175&gt;0),MIN(1,128/N175),"")</x:f>
        <x:v>0.6666666666666666</x:v>
      </x:c>
      <x:c r="Q175" s="56" t="n">
        <x:f>IF(AND(ISNUMBER(O175),O175&gt;0),MIN(1,512/O175),"")</x:f>
        <x:v>1</x:v>
      </x:c>
      <x:c r="R175" s="56" t="n">
        <x:f>IF(AND(ISNUMBER(P175),ISNUMBER(Q175)),MIN(P175,Q175),"")</x:f>
        <x:v>0.6666666666666666</x:v>
      </x:c>
      <x:c r="S175" s="57" t="n">
        <x:f>IF(AND(ISNUMBER(M175),ISNUMBER(R175)),(M175-R175)*100,"")</x:f>
        <x:v>-38.86666666666666</x:v>
      </x:c>
      <x:c r="T175" s="54" t="str">
        <x:v>PASS</x:v>
      </x:c>
      <x:c r="U175" s="58" t="str">
        <x:v>本轮 model-main 9b3a4405（6参数含SoC）2026-09-22</x:v>
      </x:c>
    </x:row>
    <x:row r="176" ht="19" customHeight="1">
      <x:c r="A176" s="74" t="str">
        <x:v>S5</x:v>
      </x:c>
      <x:c r="B176" s="74" t="str">
        <x:v>FP32</x:v>
      </x:c>
      <x:c r="C176" s="75" t="n">
        <x:v>64</x:v>
      </x:c>
      <x:c r="D176" s="75" t="n">
        <x:v>64</x:v>
      </x:c>
      <x:c r="E176" s="75" t="n">
        <x:v>7168</x:v>
      </x:c>
      <x:c r="F176" s="75" t="n">
        <x:v>128</x:v>
      </x:c>
      <x:c r="G176" s="75" t="n">
        <x:v>64</x:v>
      </x:c>
      <x:c r="H176" s="75" t="n">
        <x:v>128</x:v>
      </x:c>
      <x:c r="I176" s="75" t="n">
        <x:v>64</x:v>
      </x:c>
      <x:c r="J176" s="75" t="n">
        <x:v>32</x:v>
      </x:c>
      <x:c r="K176" s="75" t="n">
        <x:v>96</x:v>
      </x:c>
      <x:c r="L176" s="75" t="n">
        <x:v>51752</x:v>
      </x:c>
      <x:c r="M176" s="76" t="n">
        <x:f>IF(AND(ISNUMBER(L176),L176&gt;0),ROUND(C176*D176*E176/2048/L176*100,1)/100,"")</x:f>
        <x:v>0.27699999999999997</x:v>
      </x:c>
      <x:c r="N176" s="77" t="n">
        <x:f>IF(OR(F176="",G176="",H176=""),"",((I176+J176)*1024)/(F176*G176*H176/2048))</x:f>
        <x:v>192</x:v>
      </x:c>
      <x:c r="O176" s="77" t="n">
        <x:f>IF(OR(F176="",G176="",H176=""),"",(F176*G176*4)/(F176*G176*H176/2048))</x:f>
        <x:v>64</x:v>
      </x:c>
      <x:c r="P176" s="76" t="n">
        <x:f>IF(AND(ISNUMBER(N176),N176&gt;0),MIN(1,128/N176),"")</x:f>
        <x:v>0.6666666666666666</x:v>
      </x:c>
      <x:c r="Q176" s="76" t="n">
        <x:f>IF(AND(ISNUMBER(O176),O176&gt;0),MIN(1,512/O176),"")</x:f>
        <x:v>1</x:v>
      </x:c>
      <x:c r="R176" s="76" t="n">
        <x:f>IF(AND(ISNUMBER(P176),ISNUMBER(Q176)),MIN(P176,Q176),"")</x:f>
        <x:v>0.6666666666666666</x:v>
      </x:c>
      <x:c r="S176" s="77" t="n">
        <x:f>IF(AND(ISNUMBER(M176),ISNUMBER(R176)),(M176-R176)*100,"")</x:f>
        <x:v>-38.96666666666667</x:v>
      </x:c>
      <x:c r="T176" s="74" t="str">
        <x:v>PASS</x:v>
      </x:c>
      <x:c r="U176" s="78" t="str">
        <x:v>本轮 model-main 9b3a4405（6参数含SoC）2026-09-22</x:v>
      </x:c>
    </x:row>
    <x:row r="177" ht="19" customHeight="1">
      <x:c r="A177" s="74" t="str">
        <x:v>S5</x:v>
      </x:c>
      <x:c r="B177" s="74" t="str">
        <x:v>FP32</x:v>
      </x:c>
      <x:c r="C177" s="75" t="n">
        <x:v>64</x:v>
      </x:c>
      <x:c r="D177" s="75" t="n">
        <x:v>64</x:v>
      </x:c>
      <x:c r="E177" s="75" t="n">
        <x:v>7168</x:v>
      </x:c>
      <x:c r="F177" s="75" t="n">
        <x:v>128</x:v>
      </x:c>
      <x:c r="G177" s="75" t="n">
        <x:v>64</x:v>
      </x:c>
      <x:c r="H177" s="75" t="n">
        <x:v>256</x:v>
      </x:c>
      <x:c r="I177" s="75" t="n">
        <x:v>128</x:v>
      </x:c>
      <x:c r="J177" s="75" t="n">
        <x:v>64</x:v>
      </x:c>
      <x:c r="K177" s="75" t="n">
        <x:v>192</x:v>
      </x:c>
      <x:c r="L177" s="75" t="n">
        <x:v>52140</x:v>
      </x:c>
      <x:c r="M177" s="76" t="n">
        <x:f>IF(AND(ISNUMBER(L177),L177&gt;0),ROUND(C177*D177*E177/2048/L177*100,1)/100,"")</x:f>
        <x:v>0.275</x:v>
      </x:c>
      <x:c r="N177" s="77" t="n">
        <x:f>IF(OR(F177="",G177="",H177=""),"",((I177+J177)*1024)/(F177*G177*H177/2048))</x:f>
        <x:v>192</x:v>
      </x:c>
      <x:c r="O177" s="77" t="n">
        <x:f>IF(OR(F177="",G177="",H177=""),"",(F177*G177*4)/(F177*G177*H177/2048))</x:f>
        <x:v>32</x:v>
      </x:c>
      <x:c r="P177" s="76" t="n">
        <x:f>IF(AND(ISNUMBER(N177),N177&gt;0),MIN(1,128/N177),"")</x:f>
        <x:v>0.6666666666666666</x:v>
      </x:c>
      <x:c r="Q177" s="76" t="n">
        <x:f>IF(AND(ISNUMBER(O177),O177&gt;0),MIN(1,512/O177),"")</x:f>
        <x:v>1</x:v>
      </x:c>
      <x:c r="R177" s="76" t="n">
        <x:f>IF(AND(ISNUMBER(P177),ISNUMBER(Q177)),MIN(P177,Q177),"")</x:f>
        <x:v>0.6666666666666666</x:v>
      </x:c>
      <x:c r="S177" s="77" t="n">
        <x:f>IF(AND(ISNUMBER(M177),ISNUMBER(R177)),(M177-R177)*100,"")</x:f>
        <x:v>-39.16666666666666</x:v>
      </x:c>
      <x:c r="T177" s="74" t="str">
        <x:v>PASS</x:v>
      </x:c>
      <x:c r="U177" s="78" t="str">
        <x:v>本轮 model-main 9b3a4405（6参数含SoC）2026-09-22</x:v>
      </x:c>
    </x:row>
    <x:row r="178" ht="19" customHeight="1">
      <x:c r="A178" s="74" t="str">
        <x:v>S5</x:v>
      </x:c>
      <x:c r="B178" s="74" t="str">
        <x:v>BF16</x:v>
      </x:c>
      <x:c r="C178" s="75" t="n">
        <x:v>64</x:v>
      </x:c>
      <x:c r="D178" s="75" t="n">
        <x:v>64</x:v>
      </x:c>
      <x:c r="E178" s="75" t="n">
        <x:v>7168</x:v>
      </x:c>
      <x:c r="F178" s="75" t="n">
        <x:v>128</x:v>
      </x:c>
      <x:c r="G178" s="75" t="n">
        <x:v>64</x:v>
      </x:c>
      <x:c r="H178" s="75" t="n">
        <x:v>64</x:v>
      </x:c>
      <x:c r="I178" s="75" t="n">
        <x:v>16</x:v>
      </x:c>
      <x:c r="J178" s="75" t="n">
        <x:v>8</x:v>
      </x:c>
      <x:c r="K178" s="75" t="n">
        <x:v>24</x:v>
      </x:c>
      <x:c r="L178" s="75" t="n">
        <x:v>32119</x:v>
      </x:c>
      <x:c r="M178" s="76" t="n">
        <x:f>IF(AND(ISNUMBER(L178),L178&gt;0),ROUND(C178*D178*E178/4096/L178*100,1)/100,"")</x:f>
        <x:v>0.223</x:v>
      </x:c>
      <x:c r="N178" s="77" t="n">
        <x:f>IF(OR(F178="",G178="",H178=""),"",((I178+J178)*1024)/(F178*G178*H178/4096))</x:f>
        <x:v>192</x:v>
      </x:c>
      <x:c r="O178" s="77" t="n">
        <x:f>IF(OR(F178="",G178="",H178=""),"",(F178*G178*4)/(F178*G178*H178/4096))</x:f>
        <x:v>256</x:v>
      </x:c>
      <x:c r="P178" s="76" t="n">
        <x:f>IF(AND(ISNUMBER(N178),N178&gt;0),MIN(1,128/N178),"")</x:f>
        <x:v>0.6666666666666666</x:v>
      </x:c>
      <x:c r="Q178" s="76" t="n">
        <x:f>IF(AND(ISNUMBER(O178),O178&gt;0),MIN(1,512/O178),"")</x:f>
        <x:v>1</x:v>
      </x:c>
      <x:c r="R178" s="76" t="n">
        <x:f>IF(AND(ISNUMBER(P178),ISNUMBER(Q178)),MIN(P178,Q178),"")</x:f>
        <x:v>0.6666666666666666</x:v>
      </x:c>
      <x:c r="S178" s="77" t="n">
        <x:f>IF(AND(ISNUMBER(M178),ISNUMBER(R178)),(M178-R178)*100,"")</x:f>
        <x:v>-44.36666666666667</x:v>
      </x:c>
      <x:c r="T178" s="74" t="str">
        <x:v>PASS</x:v>
      </x:c>
      <x:c r="U178" s="78" t="str">
        <x:v>本轮 model-main 9b3a4405（6参数含SoC）2026-09-22</x:v>
      </x:c>
    </x:row>
    <x:row r="179" ht="19" customHeight="1">
      <x:c r="A179" s="53" t="str">
        <x:v>S5</x:v>
      </x:c>
      <x:c r="B179" s="54" t="str">
        <x:v>BF16</x:v>
      </x:c>
      <x:c r="C179" s="55" t="n">
        <x:v>64</x:v>
      </x:c>
      <x:c r="D179" s="55" t="n">
        <x:v>64</x:v>
      </x:c>
      <x:c r="E179" s="55" t="n">
        <x:v>7168</x:v>
      </x:c>
      <x:c r="F179" s="55" t="n">
        <x:v>128</x:v>
      </x:c>
      <x:c r="G179" s="55" t="n">
        <x:v>64</x:v>
      </x:c>
      <x:c r="H179" s="55" t="n">
        <x:v>128</x:v>
      </x:c>
      <x:c r="I179" s="55" t="n">
        <x:v>32</x:v>
      </x:c>
      <x:c r="J179" s="55" t="n">
        <x:v>16</x:v>
      </x:c>
      <x:c r="K179" s="55" t="n">
        <x:v>48</x:v>
      </x:c>
      <x:c r="L179" s="55" t="n">
        <x:v>26624</x:v>
      </x:c>
      <x:c r="M179" s="56" t="n">
        <x:f>IF(AND(ISNUMBER(L179),L179&gt;0),ROUND(C179*D179*E179/4096/L179*100,1)/100,"")</x:f>
        <x:v>0.26899999999999996</x:v>
      </x:c>
      <x:c r="N179" s="57" t="n">
        <x:f>IF(OR(F179="",G179="",H179=""),"",((I179+J179)*1024)/(F179*G179*H179/4096))</x:f>
        <x:v>192</x:v>
      </x:c>
      <x:c r="O179" s="57" t="n">
        <x:f>IF(OR(F179="",G179="",H179=""),"",(F179*G179*4)/(F179*G179*H179/4096))</x:f>
        <x:v>128</x:v>
      </x:c>
      <x:c r="P179" s="56" t="n">
        <x:f>IF(AND(ISNUMBER(N179),N179&gt;0),MIN(1,128/N179),"")</x:f>
        <x:v>0.6666666666666666</x:v>
      </x:c>
      <x:c r="Q179" s="56" t="n">
        <x:f>IF(AND(ISNUMBER(O179),O179&gt;0),MIN(1,512/O179),"")</x:f>
        <x:v>1</x:v>
      </x:c>
      <x:c r="R179" s="56" t="n">
        <x:f>IF(AND(ISNUMBER(P179),ISNUMBER(Q179)),MIN(P179,Q179),"")</x:f>
        <x:v>0.6666666666666666</x:v>
      </x:c>
      <x:c r="S179" s="57" t="n">
        <x:f>IF(AND(ISNUMBER(M179),ISNUMBER(R179)),(M179-R179)*100,"")</x:f>
        <x:v>-39.766666666666666</x:v>
      </x:c>
      <x:c r="T179" s="54" t="str">
        <x:v>PASS</x:v>
      </x:c>
      <x:c r="U179" s="58" t="str">
        <x:v>本轮 model-main 9b3a4405（6参数含SoC）2026-09-22</x:v>
      </x:c>
    </x:row>
    <x:row r="180" ht="19" customHeight="1">
      <x:c r="A180" s="74" t="str">
        <x:v>S5</x:v>
      </x:c>
      <x:c r="B180" s="74" t="str">
        <x:v>BF16</x:v>
      </x:c>
      <x:c r="C180" s="75" t="n">
        <x:v>64</x:v>
      </x:c>
      <x:c r="D180" s="75" t="n">
        <x:v>64</x:v>
      </x:c>
      <x:c r="E180" s="75" t="n">
        <x:v>7168</x:v>
      </x:c>
      <x:c r="F180" s="75" t="n">
        <x:v>128</x:v>
      </x:c>
      <x:c r="G180" s="75" t="n">
        <x:v>64</x:v>
      </x:c>
      <x:c r="H180" s="75" t="n">
        <x:v>256</x:v>
      </x:c>
      <x:c r="I180" s="75" t="n">
        <x:v>64</x:v>
      </x:c>
      <x:c r="J180" s="75" t="n">
        <x:v>32</x:v>
      </x:c>
      <x:c r="K180" s="75" t="n">
        <x:v>96</x:v>
      </x:c>
      <x:c r="L180" s="75" t="n">
        <x:v>26852</x:v>
      </x:c>
      <x:c r="M180" s="76" t="n">
        <x:f>IF(AND(ISNUMBER(L180),L180&gt;0),ROUND(C180*D180*E180/4096/L180*100,1)/100,"")</x:f>
        <x:v>0.267</x:v>
      </x:c>
      <x:c r="N180" s="77" t="n">
        <x:f>IF(OR(F180="",G180="",H180=""),"",((I180+J180)*1024)/(F180*G180*H180/4096))</x:f>
        <x:v>192</x:v>
      </x:c>
      <x:c r="O180" s="77" t="n">
        <x:f>IF(OR(F180="",G180="",H180=""),"",(F180*G180*4)/(F180*G180*H180/4096))</x:f>
        <x:v>64</x:v>
      </x:c>
      <x:c r="P180" s="76" t="n">
        <x:f>IF(AND(ISNUMBER(N180),N180&gt;0),MIN(1,128/N180),"")</x:f>
        <x:v>0.6666666666666666</x:v>
      </x:c>
      <x:c r="Q180" s="76" t="n">
        <x:f>IF(AND(ISNUMBER(O180),O180&gt;0),MIN(1,512/O180),"")</x:f>
        <x:v>1</x:v>
      </x:c>
      <x:c r="R180" s="76" t="n">
        <x:f>IF(AND(ISNUMBER(P180),ISNUMBER(Q180)),MIN(P180,Q180),"")</x:f>
        <x:v>0.6666666666666666</x:v>
      </x:c>
      <x:c r="S180" s="77" t="n">
        <x:f>IF(AND(ISNUMBER(M180),ISNUMBER(R180)),(M180-R180)*100,"")</x:f>
        <x:v>-39.96666666666666</x:v>
      </x:c>
      <x:c r="T180" s="74" t="str">
        <x:v>PASS</x:v>
      </x:c>
      <x:c r="U180" s="78" t="str">
        <x:v>本轮 model-main 9b3a4405（6参数含SoC）2026-09-22</x:v>
      </x:c>
    </x:row>
    <x:row r="181" ht="19" customHeight="1">
      <x:c r="A181" s="74" t="str">
        <x:v>S5</x:v>
      </x:c>
      <x:c r="B181" s="74" t="str">
        <x:v>BF16</x:v>
      </x:c>
      <x:c r="C181" s="75" t="n">
        <x:v>64</x:v>
      </x:c>
      <x:c r="D181" s="75" t="n">
        <x:v>64</x:v>
      </x:c>
      <x:c r="E181" s="75" t="n">
        <x:v>7168</x:v>
      </x:c>
      <x:c r="F181" s="75" t="n">
        <x:v>128</x:v>
      </x:c>
      <x:c r="G181" s="75" t="n">
        <x:v>64</x:v>
      </x:c>
      <x:c r="H181" s="75" t="n">
        <x:v>512</x:v>
      </x:c>
      <x:c r="I181" s="75" t="n">
        <x:v>128</x:v>
      </x:c>
      <x:c r="J181" s="75" t="n">
        <x:v>64</x:v>
      </x:c>
      <x:c r="K181" s="75" t="n">
        <x:v>192</x:v>
      </x:c>
      <x:c r="L181" s="75" t="n">
        <x:v>27229</x:v>
      </x:c>
      <x:c r="M181" s="76" t="n">
        <x:f>IF(AND(ISNUMBER(L181),L181&gt;0),ROUND(C181*D181*E181/4096/L181*100,1)/100,"")</x:f>
        <x:v>0.263</x:v>
      </x:c>
      <x:c r="N181" s="77" t="n">
        <x:f>IF(OR(F181="",G181="",H181=""),"",((I181+J181)*1024)/(F181*G181*H181/4096))</x:f>
        <x:v>192</x:v>
      </x:c>
      <x:c r="O181" s="77" t="n">
        <x:f>IF(OR(F181="",G181="",H181=""),"",(F181*G181*4)/(F181*G181*H181/4096))</x:f>
        <x:v>32</x:v>
      </x:c>
      <x:c r="P181" s="76" t="n">
        <x:f>IF(AND(ISNUMBER(N181),N181&gt;0),MIN(1,128/N181),"")</x:f>
        <x:v>0.6666666666666666</x:v>
      </x:c>
      <x:c r="Q181" s="76" t="n">
        <x:f>IF(AND(ISNUMBER(O181),O181&gt;0),MIN(1,512/O181),"")</x:f>
        <x:v>1</x:v>
      </x:c>
      <x:c r="R181" s="76" t="n">
        <x:f>IF(AND(ISNUMBER(P181),ISNUMBER(Q181)),MIN(P181,Q181),"")</x:f>
        <x:v>0.6666666666666666</x:v>
      </x:c>
      <x:c r="S181" s="77" t="n">
        <x:f>IF(AND(ISNUMBER(M181),ISNUMBER(R181)),(M181-R181)*100,"")</x:f>
        <x:v>-40.36666666666666</x:v>
      </x:c>
      <x:c r="T181" s="74" t="str">
        <x:v>PASS</x:v>
      </x:c>
      <x:c r="U181" s="78" t="str">
        <x:v>本轮 model-main 9b3a4405（6参数含SoC）2026-09-22</x:v>
      </x:c>
    </x:row>
    <x:row r="182" ht="19" customHeight="1">
      <x:c r="A182" s="74" t="str">
        <x:v>S5</x:v>
      </x:c>
      <x:c r="B182" s="74" t="str">
        <x:v>FP16</x:v>
      </x:c>
      <x:c r="C182" s="75" t="n">
        <x:v>64</x:v>
      </x:c>
      <x:c r="D182" s="75" t="n">
        <x:v>64</x:v>
      </x:c>
      <x:c r="E182" s="75" t="n">
        <x:v>7168</x:v>
      </x:c>
      <x:c r="F182" s="75" t="n">
        <x:v>128</x:v>
      </x:c>
      <x:c r="G182" s="75" t="n">
        <x:v>64</x:v>
      </x:c>
      <x:c r="H182" s="75" t="n">
        <x:v>64</x:v>
      </x:c>
      <x:c r="I182" s="75" t="n">
        <x:v>16</x:v>
      </x:c>
      <x:c r="J182" s="75" t="n">
        <x:v>8</x:v>
      </x:c>
      <x:c r="K182" s="75" t="n">
        <x:v>24</x:v>
      </x:c>
      <x:c r="L182" s="75" t="n">
        <x:v>32119</x:v>
      </x:c>
      <x:c r="M182" s="76" t="n">
        <x:f>IF(AND(ISNUMBER(L182),L182&gt;0),ROUND(C182*D182*E182/4096/L182*100,1)/100,"")</x:f>
        <x:v>0.223</x:v>
      </x:c>
      <x:c r="N182" s="77" t="n">
        <x:f>IF(OR(F182="",G182="",H182=""),"",((I182+J182)*1024)/(F182*G182*H182/4096))</x:f>
        <x:v>192</x:v>
      </x:c>
      <x:c r="O182" s="77" t="n">
        <x:f>IF(OR(F182="",G182="",H182=""),"",(F182*G182*4)/(F182*G182*H182/4096))</x:f>
        <x:v>256</x:v>
      </x:c>
      <x:c r="P182" s="76" t="n">
        <x:f>IF(AND(ISNUMBER(N182),N182&gt;0),MIN(1,128/N182),"")</x:f>
        <x:v>0.6666666666666666</x:v>
      </x:c>
      <x:c r="Q182" s="76" t="n">
        <x:f>IF(AND(ISNUMBER(O182),O182&gt;0),MIN(1,512/O182),"")</x:f>
        <x:v>1</x:v>
      </x:c>
      <x:c r="R182" s="76" t="n">
        <x:f>IF(AND(ISNUMBER(P182),ISNUMBER(Q182)),MIN(P182,Q182),"")</x:f>
        <x:v>0.6666666666666666</x:v>
      </x:c>
      <x:c r="S182" s="77" t="n">
        <x:f>IF(AND(ISNUMBER(M182),ISNUMBER(R182)),(M182-R182)*100,"")</x:f>
        <x:v>-44.36666666666667</x:v>
      </x:c>
      <x:c r="T182" s="74" t="str">
        <x:v>PASS</x:v>
      </x:c>
      <x:c r="U182" s="78" t="str">
        <x:v>本轮 model-main 9b3a4405（6参数含SoC）2026-09-22</x:v>
      </x:c>
    </x:row>
    <x:row r="183" ht="19" customHeight="1">
      <x:c r="A183" s="53" t="str">
        <x:v>S5</x:v>
      </x:c>
      <x:c r="B183" s="54" t="str">
        <x:v>FP16</x:v>
      </x:c>
      <x:c r="C183" s="55" t="n">
        <x:v>64</x:v>
      </x:c>
      <x:c r="D183" s="55" t="n">
        <x:v>64</x:v>
      </x:c>
      <x:c r="E183" s="55" t="n">
        <x:v>7168</x:v>
      </x:c>
      <x:c r="F183" s="55" t="n">
        <x:v>128</x:v>
      </x:c>
      <x:c r="G183" s="55" t="n">
        <x:v>64</x:v>
      </x:c>
      <x:c r="H183" s="55" t="n">
        <x:v>128</x:v>
      </x:c>
      <x:c r="I183" s="55" t="n">
        <x:v>32</x:v>
      </x:c>
      <x:c r="J183" s="55" t="n">
        <x:v>16</x:v>
      </x:c>
      <x:c r="K183" s="55" t="n">
        <x:v>48</x:v>
      </x:c>
      <x:c r="L183" s="55" t="n">
        <x:v>26624</x:v>
      </x:c>
      <x:c r="M183" s="56" t="n">
        <x:f>IF(AND(ISNUMBER(L183),L183&gt;0),ROUND(C183*D183*E183/4096/L183*100,1)/100,"")</x:f>
        <x:v>0.26899999999999996</x:v>
      </x:c>
      <x:c r="N183" s="57" t="n">
        <x:f>IF(OR(F183="",G183="",H183=""),"",((I183+J183)*1024)/(F183*G183*H183/4096))</x:f>
        <x:v>192</x:v>
      </x:c>
      <x:c r="O183" s="57" t="n">
        <x:f>IF(OR(F183="",G183="",H183=""),"",(F183*G183*4)/(F183*G183*H183/4096))</x:f>
        <x:v>128</x:v>
      </x:c>
      <x:c r="P183" s="56" t="n">
        <x:f>IF(AND(ISNUMBER(N183),N183&gt;0),MIN(1,128/N183),"")</x:f>
        <x:v>0.6666666666666666</x:v>
      </x:c>
      <x:c r="Q183" s="56" t="n">
        <x:f>IF(AND(ISNUMBER(O183),O183&gt;0),MIN(1,512/O183),"")</x:f>
        <x:v>1</x:v>
      </x:c>
      <x:c r="R183" s="56" t="n">
        <x:f>IF(AND(ISNUMBER(P183),ISNUMBER(Q183)),MIN(P183,Q183),"")</x:f>
        <x:v>0.6666666666666666</x:v>
      </x:c>
      <x:c r="S183" s="57" t="n">
        <x:f>IF(AND(ISNUMBER(M183),ISNUMBER(R183)),(M183-R183)*100,"")</x:f>
        <x:v>-39.766666666666666</x:v>
      </x:c>
      <x:c r="T183" s="54" t="str">
        <x:v>PASS</x:v>
      </x:c>
      <x:c r="U183" s="58" t="str">
        <x:v>本轮 model-main 9b3a4405（6参数含SoC）2026-09-22</x:v>
      </x:c>
    </x:row>
    <x:row r="184" ht="19" customHeight="1">
      <x:c r="A184" s="74" t="str">
        <x:v>S5</x:v>
      </x:c>
      <x:c r="B184" s="74" t="str">
        <x:v>FP16</x:v>
      </x:c>
      <x:c r="C184" s="75" t="n">
        <x:v>64</x:v>
      </x:c>
      <x:c r="D184" s="75" t="n">
        <x:v>64</x:v>
      </x:c>
      <x:c r="E184" s="75" t="n">
        <x:v>7168</x:v>
      </x:c>
      <x:c r="F184" s="75" t="n">
        <x:v>128</x:v>
      </x:c>
      <x:c r="G184" s="75" t="n">
        <x:v>64</x:v>
      </x:c>
      <x:c r="H184" s="75" t="n">
        <x:v>256</x:v>
      </x:c>
      <x:c r="I184" s="75" t="n">
        <x:v>64</x:v>
      </x:c>
      <x:c r="J184" s="75" t="n">
        <x:v>32</x:v>
      </x:c>
      <x:c r="K184" s="75" t="n">
        <x:v>96</x:v>
      </x:c>
      <x:c r="L184" s="75" t="n">
        <x:v>26852</x:v>
      </x:c>
      <x:c r="M184" s="76" t="n">
        <x:f>IF(AND(ISNUMBER(L184),L184&gt;0),ROUND(C184*D184*E184/4096/L184*100,1)/100,"")</x:f>
        <x:v>0.267</x:v>
      </x:c>
      <x:c r="N184" s="77" t="n">
        <x:f>IF(OR(F184="",G184="",H184=""),"",((I184+J184)*1024)/(F184*G184*H184/4096))</x:f>
        <x:v>192</x:v>
      </x:c>
      <x:c r="O184" s="77" t="n">
        <x:f>IF(OR(F184="",G184="",H184=""),"",(F184*G184*4)/(F184*G184*H184/4096))</x:f>
        <x:v>64</x:v>
      </x:c>
      <x:c r="P184" s="76" t="n">
        <x:f>IF(AND(ISNUMBER(N184),N184&gt;0),MIN(1,128/N184),"")</x:f>
        <x:v>0.6666666666666666</x:v>
      </x:c>
      <x:c r="Q184" s="76" t="n">
        <x:f>IF(AND(ISNUMBER(O184),O184&gt;0),MIN(1,512/O184),"")</x:f>
        <x:v>1</x:v>
      </x:c>
      <x:c r="R184" s="76" t="n">
        <x:f>IF(AND(ISNUMBER(P184),ISNUMBER(Q184)),MIN(P184,Q184),"")</x:f>
        <x:v>0.6666666666666666</x:v>
      </x:c>
      <x:c r="S184" s="77" t="n">
        <x:f>IF(AND(ISNUMBER(M184),ISNUMBER(R184)),(M184-R184)*100,"")</x:f>
        <x:v>-39.96666666666666</x:v>
      </x:c>
      <x:c r="T184" s="74" t="str">
        <x:v>PASS</x:v>
      </x:c>
      <x:c r="U184" s="78" t="str">
        <x:v>本轮 model-main 9b3a4405（6参数含SoC）2026-09-22</x:v>
      </x:c>
    </x:row>
    <x:row r="185" ht="19" customHeight="1">
      <x:c r="A185" s="74" t="str">
        <x:v>S5</x:v>
      </x:c>
      <x:c r="B185" s="74" t="str">
        <x:v>FP16</x:v>
      </x:c>
      <x:c r="C185" s="75" t="n">
        <x:v>64</x:v>
      </x:c>
      <x:c r="D185" s="75" t="n">
        <x:v>64</x:v>
      </x:c>
      <x:c r="E185" s="75" t="n">
        <x:v>7168</x:v>
      </x:c>
      <x:c r="F185" s="75" t="n">
        <x:v>128</x:v>
      </x:c>
      <x:c r="G185" s="75" t="n">
        <x:v>64</x:v>
      </x:c>
      <x:c r="H185" s="75" t="n">
        <x:v>512</x:v>
      </x:c>
      <x:c r="I185" s="75" t="n">
        <x:v>128</x:v>
      </x:c>
      <x:c r="J185" s="75" t="n">
        <x:v>64</x:v>
      </x:c>
      <x:c r="K185" s="75" t="n">
        <x:v>192</x:v>
      </x:c>
      <x:c r="L185" s="75" t="n">
        <x:v>27229</x:v>
      </x:c>
      <x:c r="M185" s="76" t="n">
        <x:f>IF(AND(ISNUMBER(L185),L185&gt;0),ROUND(C185*D185*E185/4096/L185*100,1)/100,"")</x:f>
        <x:v>0.263</x:v>
      </x:c>
      <x:c r="N185" s="77" t="n">
        <x:f>IF(OR(F185="",G185="",H185=""),"",((I185+J185)*1024)/(F185*G185*H185/4096))</x:f>
        <x:v>192</x:v>
      </x:c>
      <x:c r="O185" s="77" t="n">
        <x:f>IF(OR(F185="",G185="",H185=""),"",(F185*G185*4)/(F185*G185*H185/4096))</x:f>
        <x:v>32</x:v>
      </x:c>
      <x:c r="P185" s="76" t="n">
        <x:f>IF(AND(ISNUMBER(N185),N185&gt;0),MIN(1,128/N185),"")</x:f>
        <x:v>0.6666666666666666</x:v>
      </x:c>
      <x:c r="Q185" s="76" t="n">
        <x:f>IF(AND(ISNUMBER(O185),O185&gt;0),MIN(1,512/O185),"")</x:f>
        <x:v>1</x:v>
      </x:c>
      <x:c r="R185" s="76" t="n">
        <x:f>IF(AND(ISNUMBER(P185),ISNUMBER(Q185)),MIN(P185,Q185),"")</x:f>
        <x:v>0.6666666666666666</x:v>
      </x:c>
      <x:c r="S185" s="77" t="n">
        <x:f>IF(AND(ISNUMBER(M185),ISNUMBER(R185)),(M185-R185)*100,"")</x:f>
        <x:v>-40.36666666666666</x:v>
      </x:c>
      <x:c r="T185" s="74" t="str">
        <x:v>PASS</x:v>
      </x:c>
      <x:c r="U185" s="78" t="str">
        <x:v>本轮 model-main 9b3a4405（6参数含SoC）2026-09-22</x:v>
      </x:c>
    </x:row>
    <x:row r="186" ht="19" customHeight="1">
      <x:c r="A186" s="53" t="str">
        <x:v>S5</x:v>
      </x:c>
      <x:c r="B186" s="54" t="str">
        <x:v>FP8</x:v>
      </x:c>
      <x:c r="C186" s="55" t="n">
        <x:v>64</x:v>
      </x:c>
      <x:c r="D186" s="55" t="n">
        <x:v>64</x:v>
      </x:c>
      <x:c r="E186" s="55" t="n">
        <x:v>7168</x:v>
      </x:c>
      <x:c r="F186" s="55" t="n">
        <x:v>128</x:v>
      </x:c>
      <x:c r="G186" s="55" t="n">
        <x:v>64</x:v>
      </x:c>
      <x:c r="H186" s="55" t="n">
        <x:v>256</x:v>
      </x:c>
      <x:c r="I186" s="55" t="n">
        <x:v>32</x:v>
      </x:c>
      <x:c r="J186" s="55" t="n">
        <x:v>16</x:v>
      </x:c>
      <x:c r="K186" s="55" t="n">
        <x:v>48</x:v>
      </x:c>
      <x:c r="L186" s="55" t="n">
        <x:v>14070</x:v>
      </x:c>
      <x:c r="M186" s="56" t="n">
        <x:f>IF(AND(ISNUMBER(L186),L186&gt;0),ROUND(C186*D186*E186/8192/L186*100,1)/100,"")</x:f>
        <x:v>0.255</x:v>
      </x:c>
      <x:c r="N186" s="57" t="n">
        <x:f>IF(OR(F186="",G186="",H186=""),"",((I186+J186)*1024)/(F186*G186*H186/8192))</x:f>
        <x:v>192</x:v>
      </x:c>
      <x:c r="O186" s="57" t="n">
        <x:f>IF(OR(F186="",G186="",H186=""),"",(F186*G186*4)/(F186*G186*H186/8192))</x:f>
        <x:v>128</x:v>
      </x:c>
      <x:c r="P186" s="56" t="n">
        <x:f>IF(AND(ISNUMBER(N186),N186&gt;0),MIN(1,128/N186),"")</x:f>
        <x:v>0.6666666666666666</x:v>
      </x:c>
      <x:c r="Q186" s="56" t="n">
        <x:f>IF(AND(ISNUMBER(O186),O186&gt;0),MIN(1,512/O186),"")</x:f>
        <x:v>1</x:v>
      </x:c>
      <x:c r="R186" s="56" t="n">
        <x:f>IF(AND(ISNUMBER(P186),ISNUMBER(Q186)),MIN(P186,Q186),"")</x:f>
        <x:v>0.6666666666666666</x:v>
      </x:c>
      <x:c r="S186" s="57" t="n">
        <x:f>IF(AND(ISNUMBER(M186),ISNUMBER(R186)),(M186-R186)*100,"")</x:f>
        <x:v>-41.166666666666664</x:v>
      </x:c>
      <x:c r="T186" s="54" t="str">
        <x:v>PASS</x:v>
      </x:c>
      <x:c r="U186" s="58" t="str">
        <x:v>matmul_shared_lowp（FP8）；本轮 model-main 9b3a4405（6参数含SoC）2026-09-22</x:v>
      </x:c>
    </x:row>
    <x:row r="187" ht="19" customHeight="1">
      <x:c r="A187" s="74" t="str">
        <x:v>S5</x:v>
      </x:c>
      <x:c r="B187" s="74" t="str">
        <x:v>FP8</x:v>
      </x:c>
      <x:c r="C187" s="75" t="n">
        <x:v>64</x:v>
      </x:c>
      <x:c r="D187" s="75" t="n">
        <x:v>64</x:v>
      </x:c>
      <x:c r="E187" s="75" t="n">
        <x:v>7168</x:v>
      </x:c>
      <x:c r="F187" s="75" t="n">
        <x:v>128</x:v>
      </x:c>
      <x:c r="G187" s="75" t="n">
        <x:v>64</x:v>
      </x:c>
      <x:c r="H187" s="75" t="n">
        <x:v>512</x:v>
      </x:c>
      <x:c r="I187" s="75" t="n">
        <x:v>64</x:v>
      </x:c>
      <x:c r="J187" s="75" t="n">
        <x:v>32</x:v>
      </x:c>
      <x:c r="K187" s="75" t="n">
        <x:v>96</x:v>
      </x:c>
      <x:c r="L187" s="75" t="n">
        <x:v>14322</x:v>
      </x:c>
      <x:c r="M187" s="76" t="n">
        <x:f>IF(AND(ISNUMBER(L187),L187&gt;0),ROUND(C187*D187*E187/8192/L187*100,1)/100,"")</x:f>
        <x:v>0.25</x:v>
      </x:c>
      <x:c r="N187" s="77" t="n">
        <x:f>IF(OR(F187="",G187="",H187=""),"",((I187+J187)*1024)/(F187*G187*H187/8192))</x:f>
        <x:v>192</x:v>
      </x:c>
      <x:c r="O187" s="77" t="n">
        <x:f>IF(OR(F187="",G187="",H187=""),"",(F187*G187*4)/(F187*G187*H187/8192))</x:f>
        <x:v>64</x:v>
      </x:c>
      <x:c r="P187" s="76" t="n">
        <x:f>IF(AND(ISNUMBER(N187),N187&gt;0),MIN(1,128/N187),"")</x:f>
        <x:v>0.6666666666666666</x:v>
      </x:c>
      <x:c r="Q187" s="76" t="n">
        <x:f>IF(AND(ISNUMBER(O187),O187&gt;0),MIN(1,512/O187),"")</x:f>
        <x:v>1</x:v>
      </x:c>
      <x:c r="R187" s="76" t="n">
        <x:f>IF(AND(ISNUMBER(P187),ISNUMBER(Q187)),MIN(P187,Q187),"")</x:f>
        <x:v>0.6666666666666666</x:v>
      </x:c>
      <x:c r="S187" s="77" t="n">
        <x:f>IF(AND(ISNUMBER(M187),ISNUMBER(R187)),(M187-R187)*100,"")</x:f>
        <x:v>-41.666666666666664</x:v>
      </x:c>
      <x:c r="T187" s="74" t="str">
        <x:v>PASS</x:v>
      </x:c>
      <x:c r="U187" s="78" t="str">
        <x:v>matmul_shared_lowp（FP8）；本轮 model-main 9b3a4405（6参数含SoC）2026-09-22</x:v>
      </x:c>
    </x:row>
    <x:row r="188" ht="19" customHeight="1">
      <x:c r="A188" s="74" t="str">
        <x:v>S5</x:v>
      </x:c>
      <x:c r="B188" s="74" t="str">
        <x:v>FP8</x:v>
      </x:c>
      <x:c r="C188" s="75" t="n">
        <x:v>64</x:v>
      </x:c>
      <x:c r="D188" s="75" t="n">
        <x:v>64</x:v>
      </x:c>
      <x:c r="E188" s="75" t="n">
        <x:v>7168</x:v>
      </x:c>
      <x:c r="F188" s="75" t="n">
        <x:v>128</x:v>
      </x:c>
      <x:c r="G188" s="75" t="n">
        <x:v>64</x:v>
      </x:c>
      <x:c r="H188" s="75" t="n">
        <x:v>1024</x:v>
      </x:c>
      <x:c r="I188" s="75" t="n">
        <x:v>128</x:v>
      </x:c>
      <x:c r="J188" s="75" t="n">
        <x:v>64</x:v>
      </x:c>
      <x:c r="K188" s="75" t="n">
        <x:v>192</x:v>
      </x:c>
      <x:c r="L188" s="75" t="n">
        <x:v>14832</x:v>
      </x:c>
      <x:c r="M188" s="76" t="n">
        <x:f>IF(AND(ISNUMBER(L188),L188&gt;0),ROUND(C188*D188*E188/8192/L188*100,1)/100,"")</x:f>
        <x:v>0.242</x:v>
      </x:c>
      <x:c r="N188" s="77" t="n">
        <x:f>IF(OR(F188="",G188="",H188=""),"",((I188+J188)*1024)/(F188*G188*H188/8192))</x:f>
        <x:v>192</x:v>
      </x:c>
      <x:c r="O188" s="77" t="n">
        <x:f>IF(OR(F188="",G188="",H188=""),"",(F188*G188*4)/(F188*G188*H188/8192))</x:f>
        <x:v>32</x:v>
      </x:c>
      <x:c r="P188" s="76" t="n">
        <x:f>IF(AND(ISNUMBER(N188),N188&gt;0),MIN(1,128/N188),"")</x:f>
        <x:v>0.6666666666666666</x:v>
      </x:c>
      <x:c r="Q188" s="76" t="n">
        <x:f>IF(AND(ISNUMBER(O188),O188&gt;0),MIN(1,512/O188),"")</x:f>
        <x:v>1</x:v>
      </x:c>
      <x:c r="R188" s="76" t="n">
        <x:f>IF(AND(ISNUMBER(P188),ISNUMBER(Q188)),MIN(P188,Q188),"")</x:f>
        <x:v>0.6666666666666666</x:v>
      </x:c>
      <x:c r="S188" s="77" t="n">
        <x:f>IF(AND(ISNUMBER(M188),ISNUMBER(R188)),(M188-R188)*100,"")</x:f>
        <x:v>-42.46666666666666</x:v>
      </x:c>
      <x:c r="T188" s="74" t="str">
        <x:v>PASS</x:v>
      </x:c>
      <x:c r="U188" s="78" t="str">
        <x:v>matmul_shared_lowp（FP8）；本轮 model-main 9b3a4405（6参数含SoC）2026-09-22</x:v>
      </x:c>
    </x:row>
    <x:row r="189" ht="19" customHeight="1">
      <x:c r="A189" s="74" t="str">
        <x:v>S5</x:v>
      </x:c>
      <x:c r="B189" s="74" t="str">
        <x:v>MXFP8</x:v>
      </x:c>
      <x:c r="C189" s="75" t="n">
        <x:v>64</x:v>
      </x:c>
      <x:c r="D189" s="75" t="n">
        <x:v>64</x:v>
      </x:c>
      <x:c r="E189" s="75" t="n">
        <x:v>7168</x:v>
      </x:c>
      <x:c r="F189" s="75" t="n">
        <x:v>128</x:v>
      </x:c>
      <x:c r="G189" s="75" t="n">
        <x:v>64</x:v>
      </x:c>
      <x:c r="H189" s="75" t="n">
        <x:v>256</x:v>
      </x:c>
      <x:c r="I189" s="75" t="n">
        <x:v>32</x:v>
      </x:c>
      <x:c r="J189" s="75" t="n">
        <x:v>16</x:v>
      </x:c>
      <x:c r="K189" s="75" t="n">
        <x:v>48</x:v>
      </x:c>
      <x:c r="L189" s="75" t="n">
        <x:v>15936</x:v>
      </x:c>
      <x:c r="M189" s="76" t="n">
        <x:f>IF(AND(ISNUMBER(L189),L189&gt;0),ROUND(C189*D189*E189/8192/L189*100,1)/100,"")</x:f>
        <x:v>0.225</x:v>
      </x:c>
      <x:c r="N189" s="77" t="n">
        <x:f>IF(OR(F189="",G189="",H189=""),"",((I189+J189)*1024)/(F189*G189*H189/8192))</x:f>
        <x:v>192</x:v>
      </x:c>
      <x:c r="O189" s="77" t="n">
        <x:f>IF(OR(F189="",G189="",H189=""),"",(F189*G189*4)/(F189*G189*H189/8192))</x:f>
        <x:v>128</x:v>
      </x:c>
      <x:c r="P189" s="76" t="n">
        <x:f>IF(AND(ISNUMBER(N189),N189&gt;0),MIN(1,128/N189),"")</x:f>
        <x:v>0.6666666666666666</x:v>
      </x:c>
      <x:c r="Q189" s="76" t="n">
        <x:f>IF(AND(ISNUMBER(O189),O189&gt;0),MIN(1,512/O189),"")</x:f>
        <x:v>1</x:v>
      </x:c>
      <x:c r="R189" s="76" t="n">
        <x:f>IF(AND(ISNUMBER(P189),ISNUMBER(Q189)),MIN(P189,Q189),"")</x:f>
        <x:v>0.6666666666666666</x:v>
      </x:c>
      <x:c r="S189" s="77" t="n">
        <x:f>IF(AND(ISNUMBER(M189),ISNUMBER(R189)),(M189-R189)*100,"")</x:f>
        <x:v>-44.166666666666664</x:v>
      </x:c>
      <x:c r="T189" s="74" t="str">
        <x:v>PASS</x:v>
      </x:c>
      <x:c r="U189" s="78" t="str">
        <x:v>matmul_shared_lowp（MXFP8）；本轮 model-main 9b3a4405（6参数含SoC）2026-09-22</x:v>
      </x:c>
    </x:row>
    <x:row r="190" ht="19" customHeight="1">
      <x:c r="A190" s="53" t="str">
        <x:v>S5</x:v>
      </x:c>
      <x:c r="B190" s="54" t="str">
        <x:v>MXFP8</x:v>
      </x:c>
      <x:c r="C190" s="55" t="n">
        <x:v>64</x:v>
      </x:c>
      <x:c r="D190" s="55" t="n">
        <x:v>64</x:v>
      </x:c>
      <x:c r="E190" s="55" t="n">
        <x:v>7168</x:v>
      </x:c>
      <x:c r="F190" s="55" t="n">
        <x:v>128</x:v>
      </x:c>
      <x:c r="G190" s="55" t="n">
        <x:v>64</x:v>
      </x:c>
      <x:c r="H190" s="55" t="n">
        <x:v>512</x:v>
      </x:c>
      <x:c r="I190" s="55" t="n">
        <x:v>64</x:v>
      </x:c>
      <x:c r="J190" s="55" t="n">
        <x:v>32</x:v>
      </x:c>
      <x:c r="K190" s="55" t="n">
        <x:v>96</x:v>
      </x:c>
      <x:c r="L190" s="55" t="n">
        <x:v>15566</x:v>
      </x:c>
      <x:c r="M190" s="56" t="n">
        <x:f>IF(AND(ISNUMBER(L190),L190&gt;0),ROUND(C190*D190*E190/8192/L190*100,1)/100,"")</x:f>
        <x:v>0.23</x:v>
      </x:c>
      <x:c r="N190" s="57" t="n">
        <x:f>IF(OR(F190="",G190="",H190=""),"",((I190+J190)*1024)/(F190*G190*H190/8192))</x:f>
        <x:v>192</x:v>
      </x:c>
      <x:c r="O190" s="57" t="n">
        <x:f>IF(OR(F190="",G190="",H190=""),"",(F190*G190*4)/(F190*G190*H190/8192))</x:f>
        <x:v>64</x:v>
      </x:c>
      <x:c r="P190" s="56" t="n">
        <x:f>IF(AND(ISNUMBER(N190),N190&gt;0),MIN(1,128/N190),"")</x:f>
        <x:v>0.6666666666666666</x:v>
      </x:c>
      <x:c r="Q190" s="56" t="n">
        <x:f>IF(AND(ISNUMBER(O190),O190&gt;0),MIN(1,512/O190),"")</x:f>
        <x:v>1</x:v>
      </x:c>
      <x:c r="R190" s="56" t="n">
        <x:f>IF(AND(ISNUMBER(P190),ISNUMBER(Q190)),MIN(P190,Q190),"")</x:f>
        <x:v>0.6666666666666666</x:v>
      </x:c>
      <x:c r="S190" s="57" t="n">
        <x:f>IF(AND(ISNUMBER(M190),ISNUMBER(R190)),(M190-R190)*100,"")</x:f>
        <x:v>-43.666666666666664</x:v>
      </x:c>
      <x:c r="T190" s="54" t="str">
        <x:v>PASS</x:v>
      </x:c>
      <x:c r="U190" s="58" t="str">
        <x:v>matmul_shared_lowp（MXFP8）；本轮 model-main 9b3a4405（6参数含SoC）2026-09-22</x:v>
      </x:c>
    </x:row>
    <x:row r="191" ht="19" customHeight="1">
      <x:c r="A191" s="74" t="str">
        <x:v>S5</x:v>
      </x:c>
      <x:c r="B191" s="74" t="str">
        <x:v>MXFP8</x:v>
      </x:c>
      <x:c r="C191" s="75" t="n">
        <x:v>64</x:v>
      </x:c>
      <x:c r="D191" s="75" t="n">
        <x:v>64</x:v>
      </x:c>
      <x:c r="E191" s="75" t="n">
        <x:v>7168</x:v>
      </x:c>
      <x:c r="F191" s="75" t="n">
        <x:v>128</x:v>
      </x:c>
      <x:c r="G191" s="75" t="n">
        <x:v>64</x:v>
      </x:c>
      <x:c r="H191" s="75" t="n">
        <x:v>1024</x:v>
      </x:c>
      <x:c r="I191" s="75" t="n">
        <x:v>132</x:v>
      </x:c>
      <x:c r="J191" s="75" t="n">
        <x:v>66</x:v>
      </x:c>
      <x:c r="K191" s="75" t="n">
        <x:v>198</x:v>
      </x:c>
      <x:c r="L191" s="75" t="n">
        <x:v>16057</x:v>
      </x:c>
      <x:c r="M191" s="76" t="n">
        <x:f>IF(AND(ISNUMBER(L191),L191&gt;0),ROUND(C191*D191*E191/8192/L191*100,1)/100,"")</x:f>
        <x:v>0.223</x:v>
      </x:c>
      <x:c r="N191" s="77" t="n">
        <x:f>IF(OR(F191="",G191="",H191=""),"",((I191+J191)*1024)/(F191*G191*H191/8192))</x:f>
        <x:v>198</x:v>
      </x:c>
      <x:c r="O191" s="77" t="n">
        <x:f>IF(OR(F191="",G191="",H191=""),"",(F191*G191*4)/(F191*G191*H191/8192))</x:f>
        <x:v>32</x:v>
      </x:c>
      <x:c r="P191" s="76" t="n">
        <x:f>IF(AND(ISNUMBER(N191),N191&gt;0),MIN(1,128/N191),"")</x:f>
        <x:v>0.6464646464646465</x:v>
      </x:c>
      <x:c r="Q191" s="76" t="n">
        <x:f>IF(AND(ISNUMBER(O191),O191&gt;0),MIN(1,512/O191),"")</x:f>
        <x:v>1</x:v>
      </x:c>
      <x:c r="R191" s="76" t="n">
        <x:f>IF(AND(ISNUMBER(P191),ISNUMBER(Q191)),MIN(P191,Q191),"")</x:f>
        <x:v>0.6464646464646465</x:v>
      </x:c>
      <x:c r="S191" s="77" t="n">
        <x:f>IF(AND(ISNUMBER(M191),ISNUMBER(R191)),(M191-R191)*100,"")</x:f>
        <x:v>-42.34646464646465</x:v>
      </x:c>
      <x:c r="T191" s="74" t="str">
        <x:v>PASS</x:v>
      </x:c>
      <x:c r="U191" s="78" t="str">
        <x:v>matmul_shared_lowp（MXFP8）；本轮 model-main 9b3a4405（6参数含SoC）2026-09-22</x:v>
      </x:c>
    </x:row>
    <x:row r="192" ht="19" customHeight="1">
      <x:c r="A192" s="53" t="str">
        <x:v>S5</x:v>
      </x:c>
      <x:c r="B192" s="54" t="str">
        <x:v>MXFP4</x:v>
      </x:c>
      <x:c r="C192" s="55" t="n">
        <x:v>64</x:v>
      </x:c>
      <x:c r="D192" s="55" t="n">
        <x:v>64</x:v>
      </x:c>
      <x:c r="E192" s="55" t="n">
        <x:v>7168</x:v>
      </x:c>
      <x:c r="F192" s="55" t="n">
        <x:v>128</x:v>
      </x:c>
      <x:c r="G192" s="55" t="n">
        <x:v>64</x:v>
      </x:c>
      <x:c r="H192" s="55" t="n">
        <x:v>256</x:v>
      </x:c>
      <x:c r="I192" s="55" t="n">
        <x:v>32</x:v>
      </x:c>
      <x:c r="J192" s="55" t="n">
        <x:v>16</x:v>
      </x:c>
      <x:c r="K192" s="55" t="n">
        <x:v>48</x:v>
      </x:c>
      <x:c r="L192" s="55" t="n">
        <x:v>12062</x:v>
      </x:c>
      <x:c r="M192" s="56" t="n">
        <x:f>IF(AND(ISNUMBER(L192),L192&gt;0),ROUND(C192*D192*E192/16384/L192*100,1)/100,"")</x:f>
        <x:v>0.149</x:v>
      </x:c>
      <x:c r="N192" s="57" t="n">
        <x:f>IF(OR(F192="",G192="",H192=""),"",((I192+J192)*1024)/(F192*G192*H192/16384))</x:f>
        <x:v>384</x:v>
      </x:c>
      <x:c r="O192" s="57" t="n">
        <x:f>IF(OR(F192="",G192="",H192=""),"",(F192*G192*4)/(F192*G192*H192/16384))</x:f>
        <x:v>256</x:v>
      </x:c>
      <x:c r="P192" s="56" t="n">
        <x:f>IF(AND(ISNUMBER(N192),N192&gt;0),MIN(1,128/N192),"")</x:f>
        <x:v>0.3333333333333333</x:v>
      </x:c>
      <x:c r="Q192" s="56" t="n">
        <x:f>IF(AND(ISNUMBER(O192),O192&gt;0),MIN(1,512/O192),"")</x:f>
        <x:v>1</x:v>
      </x:c>
      <x:c r="R192" s="56" t="n">
        <x:f>IF(AND(ISNUMBER(P192),ISNUMBER(Q192)),MIN(P192,Q192),"")</x:f>
        <x:v>0.3333333333333333</x:v>
      </x:c>
      <x:c r="S192" s="57" t="n">
        <x:f>IF(AND(ISNUMBER(M192),ISNUMBER(R192)),(M192-R192)*100,"")</x:f>
        <x:v>-18.433333333333334</x:v>
      </x:c>
      <x:c r="T192" s="54" t="str">
        <x:v>PASS</x:v>
      </x:c>
      <x:c r="U192" s="58" t="str">
        <x:v>matmul_shared_lowp（MXFP4）；本轮 model-main 9b3a4405（6参数含SoC）2026-09-22</x:v>
      </x:c>
    </x:row>
    <x:row r="193" ht="19" customHeight="1">
      <x:c r="A193" s="74" t="str">
        <x:v>S5</x:v>
      </x:c>
      <x:c r="B193" s="74" t="str">
        <x:v>MXFP4</x:v>
      </x:c>
      <x:c r="C193" s="75" t="n">
        <x:v>64</x:v>
      </x:c>
      <x:c r="D193" s="75" t="n">
        <x:v>64</x:v>
      </x:c>
      <x:c r="E193" s="75" t="n">
        <x:v>7168</x:v>
      </x:c>
      <x:c r="F193" s="75" t="n">
        <x:v>128</x:v>
      </x:c>
      <x:c r="G193" s="75" t="n">
        <x:v>64</x:v>
      </x:c>
      <x:c r="H193" s="75" t="n">
        <x:v>512</x:v>
      </x:c>
      <x:c r="I193" s="75" t="n">
        <x:v>64</x:v>
      </x:c>
      <x:c r="J193" s="75" t="n">
        <x:v>32</x:v>
      </x:c>
      <x:c r="K193" s="75" t="n">
        <x:v>96</x:v>
      </x:c>
      <x:c r="L193" s="75" t="n">
        <x:v>14418</x:v>
      </x:c>
      <x:c r="M193" s="76" t="n">
        <x:f>IF(AND(ISNUMBER(L193),L193&gt;0),ROUND(C193*D193*E193/16384/L193*100,1)/100,"")</x:f>
        <x:v>0.124</x:v>
      </x:c>
      <x:c r="N193" s="77" t="n">
        <x:f>IF(OR(F193="",G193="",H193=""),"",((I193+J193)*1024)/(F193*G193*H193/16384))</x:f>
        <x:v>384</x:v>
      </x:c>
      <x:c r="O193" s="77" t="n">
        <x:f>IF(OR(F193="",G193="",H193=""),"",(F193*G193*4)/(F193*G193*H193/16384))</x:f>
        <x:v>128</x:v>
      </x:c>
      <x:c r="P193" s="76" t="n">
        <x:f>IF(AND(ISNUMBER(N193),N193&gt;0),MIN(1,128/N193),"")</x:f>
        <x:v>0.3333333333333333</x:v>
      </x:c>
      <x:c r="Q193" s="76" t="n">
        <x:f>IF(AND(ISNUMBER(O193),O193&gt;0),MIN(1,512/O193),"")</x:f>
        <x:v>1</x:v>
      </x:c>
      <x:c r="R193" s="76" t="n">
        <x:f>IF(AND(ISNUMBER(P193),ISNUMBER(Q193)),MIN(P193,Q193),"")</x:f>
        <x:v>0.3333333333333333</x:v>
      </x:c>
      <x:c r="S193" s="77" t="n">
        <x:f>IF(AND(ISNUMBER(M193),ISNUMBER(R193)),(M193-R193)*100,"")</x:f>
        <x:v>-20.93333333333333</x:v>
      </x:c>
      <x:c r="T193" s="74" t="str">
        <x:v>PASS</x:v>
      </x:c>
      <x:c r="U193" s="78" t="str">
        <x:v>matmul_shared_lowp（MXFP4）；本轮 model-main 9b3a4405（6参数含SoC）2026-09-22</x:v>
      </x:c>
    </x:row>
    <x:row r="194" ht="19" customHeight="1">
      <x:c r="A194" s="74" t="str">
        <x:v>S5</x:v>
      </x:c>
      <x:c r="B194" s="74" t="str">
        <x:v>MXFP4</x:v>
      </x:c>
      <x:c r="C194" s="75" t="n">
        <x:v>64</x:v>
      </x:c>
      <x:c r="D194" s="75" t="n">
        <x:v>64</x:v>
      </x:c>
      <x:c r="E194" s="75" t="n">
        <x:v>7168</x:v>
      </x:c>
      <x:c r="F194" s="75" t="n">
        <x:v>128</x:v>
      </x:c>
      <x:c r="G194" s="75" t="n">
        <x:v>64</x:v>
      </x:c>
      <x:c r="H194" s="75" t="n">
        <x:v>1024</x:v>
      </x:c>
      <x:c r="I194" s="75" t="n">
        <x:v>132</x:v>
      </x:c>
      <x:c r="J194" s="75" t="n">
        <x:v>66</x:v>
      </x:c>
      <x:c r="K194" s="75" t="n">
        <x:v>198</x:v>
      </x:c>
      <x:c r="L194" s="75" t="n">
        <x:v>15721</x:v>
      </x:c>
      <x:c r="M194" s="76" t="n">
        <x:f>IF(AND(ISNUMBER(L194),L194&gt;0),ROUND(C194*D194*E194/16384/L194*100,1)/100,"")</x:f>
        <x:v>0.114</x:v>
      </x:c>
      <x:c r="N194" s="77" t="n">
        <x:f>IF(OR(F194="",G194="",H194=""),"",((I194+J194)*1024)/(F194*G194*H194/16384))</x:f>
        <x:v>396</x:v>
      </x:c>
      <x:c r="O194" s="77" t="n">
        <x:f>IF(OR(F194="",G194="",H194=""),"",(F194*G194*4)/(F194*G194*H194/16384))</x:f>
        <x:v>64</x:v>
      </x:c>
      <x:c r="P194" s="76" t="n">
        <x:f>IF(AND(ISNUMBER(N194),N194&gt;0),MIN(1,128/N194),"")</x:f>
        <x:v>0.32323232323232326</x:v>
      </x:c>
      <x:c r="Q194" s="76" t="n">
        <x:f>IF(AND(ISNUMBER(O194),O194&gt;0),MIN(1,512/O194),"")</x:f>
        <x:v>1</x:v>
      </x:c>
      <x:c r="R194" s="76" t="n">
        <x:f>IF(AND(ISNUMBER(P194),ISNUMBER(Q194)),MIN(P194,Q194),"")</x:f>
        <x:v>0.32323232323232326</x:v>
      </x:c>
      <x:c r="S194" s="77" t="n">
        <x:f>IF(AND(ISNUMBER(M194),ISNUMBER(R194)),(M194-R194)*100,"")</x:f>
        <x:v>-20.923232323232327</x:v>
      </x:c>
      <x:c r="T194" s="74" t="str">
        <x:v>PASS</x:v>
      </x:c>
      <x:c r="U194" s="78" t="str">
        <x:v>matmul_shared_lowp（MXFP4）；本轮 model-main 9b3a4405（6参数含SoC）2026-09-22</x:v>
      </x:c>
    </x:row>
    <x:row r="195" ht="19" customHeight="1">
      <x:c r="A195" s="79" t="str">
        <x:v>S6</x:v>
      </x:c>
      <x:c r="B195" s="79" t="str">
        <x:v>FP32</x:v>
      </x:c>
      <x:c r="C195" s="80" t="n">
        <x:v>128</x:v>
      </x:c>
      <x:c r="D195" s="80" t="n">
        <x:v>256</x:v>
      </x:c>
      <x:c r="E195" s="80" t="n">
        <x:v>32768</x:v>
      </x:c>
      <x:c r="F195" s="80" t="n">
        <x:v>128</x:v>
      </x:c>
      <x:c r="G195" s="80" t="n">
        <x:v>64</x:v>
      </x:c>
      <x:c r="H195" s="80" t="n">
        <x:v>64</x:v>
      </x:c>
      <x:c r="I195" s="80" t="n">
        <x:v>32</x:v>
      </x:c>
      <x:c r="J195" s="80" t="n">
        <x:v>16</x:v>
      </x:c>
      <x:c r="K195" s="80" t="n">
        <x:v>48</x:v>
      </x:c>
      <x:c r="L195" s="80" t="n">
        <x:v>1359490</x:v>
      </x:c>
      <x:c r="M195" s="81" t="n">
        <x:f>IF(AND(ISNUMBER(L195),L195&gt;0),ROUND(C195*D195*E195/2048/L195*100,1)/100,"")</x:f>
        <x:v>0.386</x:v>
      </x:c>
      <x:c r="N195" s="82" t="n">
        <x:f>IF(OR(F195="",G195="",H195=""),"",((I195+J195)*1024)/(F195*G195*H195/2048))</x:f>
        <x:v>192</x:v>
      </x:c>
      <x:c r="O195" s="82" t="n">
        <x:f>IF(OR(F195="",G195="",H195=""),"",(F195*G195*4)/(F195*G195*H195/2048))</x:f>
        <x:v>128</x:v>
      </x:c>
      <x:c r="P195" s="81" t="n">
        <x:f>IF(AND(ISNUMBER(N195),N195&gt;0),MIN(1,128/N195),"")</x:f>
        <x:v>0.6666666666666666</x:v>
      </x:c>
      <x:c r="Q195" s="81" t="n">
        <x:f>IF(AND(ISNUMBER(O195),O195&gt;0),MIN(1,512/O195),"")</x:f>
        <x:v>1</x:v>
      </x:c>
      <x:c r="R195" s="81" t="n">
        <x:f>IF(AND(ISNUMBER(P195),ISNUMBER(Q195)),MIN(P195,Q195),"")</x:f>
        <x:v>0.6666666666666666</x:v>
      </x:c>
      <x:c r="S195" s="82" t="n">
        <x:f>IF(AND(ISNUMBER(M195),ISNUMBER(R195)),(M195-R195)*100,"")</x:f>
        <x:v>-28.066666666666663</x:v>
      </x:c>
      <x:c r="T195" s="79" t="str">
        <x:v>PASS</x:v>
      </x:c>
      <x:c r="U195" s="83" t="str">
        <x:v>本轮 model-main 9b3a4405（6参数含SoC）2026-09-22</x:v>
      </x:c>
    </x:row>
    <x:row r="196" ht="19" customHeight="1">
      <x:c r="A196" s="79" t="str">
        <x:v>S6</x:v>
      </x:c>
      <x:c r="B196" s="79" t="str">
        <x:v>FP32</x:v>
      </x:c>
      <x:c r="C196" s="80" t="n">
        <x:v>128</x:v>
      </x:c>
      <x:c r="D196" s="80" t="n">
        <x:v>256</x:v>
      </x:c>
      <x:c r="E196" s="80" t="n">
        <x:v>32768</x:v>
      </x:c>
      <x:c r="F196" s="80" t="n">
        <x:v>128</x:v>
      </x:c>
      <x:c r="G196" s="80" t="n">
        <x:v>64</x:v>
      </x:c>
      <x:c r="H196" s="80" t="n">
        <x:v>128</x:v>
      </x:c>
      <x:c r="I196" s="80" t="n">
        <x:v>64</x:v>
      </x:c>
      <x:c r="J196" s="80" t="n">
        <x:v>32</x:v>
      </x:c>
      <x:c r="K196" s="80" t="n">
        <x:v>96</x:v>
      </x:c>
      <x:c r="L196" s="80" t="n">
        <x:v>1401807</x:v>
      </x:c>
      <x:c r="M196" s="81" t="n">
        <x:f>IF(AND(ISNUMBER(L196),L196&gt;0),ROUND(C196*D196*E196/2048/L196*100,1)/100,"")</x:f>
        <x:v>0.374</x:v>
      </x:c>
      <x:c r="N196" s="82" t="n">
        <x:f>IF(OR(F196="",G196="",H196=""),"",((I196+J196)*1024)/(F196*G196*H196/2048))</x:f>
        <x:v>192</x:v>
      </x:c>
      <x:c r="O196" s="82" t="n">
        <x:f>IF(OR(F196="",G196="",H196=""),"",(F196*G196*4)/(F196*G196*H196/2048))</x:f>
        <x:v>64</x:v>
      </x:c>
      <x:c r="P196" s="81" t="n">
        <x:f>IF(AND(ISNUMBER(N196),N196&gt;0),MIN(1,128/N196),"")</x:f>
        <x:v>0.6666666666666666</x:v>
      </x:c>
      <x:c r="Q196" s="81" t="n">
        <x:f>IF(AND(ISNUMBER(O196),O196&gt;0),MIN(1,512/O196),"")</x:f>
        <x:v>1</x:v>
      </x:c>
      <x:c r="R196" s="81" t="n">
        <x:f>IF(AND(ISNUMBER(P196),ISNUMBER(Q196)),MIN(P196,Q196),"")</x:f>
        <x:v>0.6666666666666666</x:v>
      </x:c>
      <x:c r="S196" s="82" t="n">
        <x:f>IF(AND(ISNUMBER(M196),ISNUMBER(R196)),(M196-R196)*100,"")</x:f>
        <x:v>-29.266666666666662</x:v>
      </x:c>
      <x:c r="T196" s="79" t="str">
        <x:v>PASS</x:v>
      </x:c>
      <x:c r="U196" s="83" t="str">
        <x:v>本轮 model-main 9b3a4405（6参数含SoC）2026-09-22</x:v>
      </x:c>
    </x:row>
    <x:row r="197" ht="19" customHeight="1">
      <x:c r="A197" s="79" t="str">
        <x:v>S6</x:v>
      </x:c>
      <x:c r="B197" s="79" t="str">
        <x:v>FP32</x:v>
      </x:c>
      <x:c r="C197" s="80" t="n">
        <x:v>128</x:v>
      </x:c>
      <x:c r="D197" s="80" t="n">
        <x:v>256</x:v>
      </x:c>
      <x:c r="E197" s="80" t="n">
        <x:v>32768</x:v>
      </x:c>
      <x:c r="F197" s="80" t="n">
        <x:v>128</x:v>
      </x:c>
      <x:c r="G197" s="80" t="n">
        <x:v>64</x:v>
      </x:c>
      <x:c r="H197" s="80" t="n">
        <x:v>256</x:v>
      </x:c>
      <x:c r="I197" s="80" t="n">
        <x:v>128</x:v>
      </x:c>
      <x:c r="J197" s="80" t="n">
        <x:v>64</x:v>
      </x:c>
      <x:c r="K197" s="80" t="n">
        <x:v>192</x:v>
      </x:c>
      <x:c r="L197" s="80" t="n">
        <x:v>1359448</x:v>
      </x:c>
      <x:c r="M197" s="81" t="n">
        <x:f>IF(AND(ISNUMBER(L197),L197&gt;0),ROUND(C197*D197*E197/2048/L197*100,1)/100,"")</x:f>
        <x:v>0.386</x:v>
      </x:c>
      <x:c r="N197" s="82" t="n">
        <x:f>IF(OR(F197="",G197="",H197=""),"",((I197+J197)*1024)/(F197*G197*H197/2048))</x:f>
        <x:v>192</x:v>
      </x:c>
      <x:c r="O197" s="82" t="n">
        <x:f>IF(OR(F197="",G197="",H197=""),"",(F197*G197*4)/(F197*G197*H197/2048))</x:f>
        <x:v>32</x:v>
      </x:c>
      <x:c r="P197" s="81" t="n">
        <x:f>IF(AND(ISNUMBER(N197),N197&gt;0),MIN(1,128/N197),"")</x:f>
        <x:v>0.6666666666666666</x:v>
      </x:c>
      <x:c r="Q197" s="81" t="n">
        <x:f>IF(AND(ISNUMBER(O197),O197&gt;0),MIN(1,512/O197),"")</x:f>
        <x:v>1</x:v>
      </x:c>
      <x:c r="R197" s="81" t="n">
        <x:f>IF(AND(ISNUMBER(P197),ISNUMBER(Q197)),MIN(P197,Q197),"")</x:f>
        <x:v>0.6666666666666666</x:v>
      </x:c>
      <x:c r="S197" s="82" t="n">
        <x:f>IF(AND(ISNUMBER(M197),ISNUMBER(R197)),(M197-R197)*100,"")</x:f>
        <x:v>-28.066666666666663</x:v>
      </x:c>
      <x:c r="T197" s="79" t="str">
        <x:v>PASS</x:v>
      </x:c>
      <x:c r="U197" s="83" t="str">
        <x:v>本轮 model-main 9b3a4405（6参数含SoC）2026-09-22</x:v>
      </x:c>
    </x:row>
    <x:row r="198" ht="19" customHeight="1">
      <x:c r="A198" s="79" t="str">
        <x:v>S6</x:v>
      </x:c>
      <x:c r="B198" s="79" t="str">
        <x:v>FP32</x:v>
      </x:c>
      <x:c r="C198" s="80" t="n">
        <x:v>128</x:v>
      </x:c>
      <x:c r="D198" s="80" t="n">
        <x:v>256</x:v>
      </x:c>
      <x:c r="E198" s="80" t="n">
        <x:v>32768</x:v>
      </x:c>
      <x:c r="F198" s="80" t="n">
        <x:v>128</x:v>
      </x:c>
      <x:c r="G198" s="80" t="n">
        <x:v>128</x:v>
      </x:c>
      <x:c r="H198" s="80" t="n">
        <x:v>64</x:v>
      </x:c>
      <x:c r="I198" s="80" t="n">
        <x:v>32</x:v>
      </x:c>
      <x:c r="J198" s="80" t="n">
        <x:v>32</x:v>
      </x:c>
      <x:c r="K198" s="80" t="n">
        <x:v>64</x:v>
      </x:c>
      <x:c r="L198" s="80" t="n">
        <x:v>906945</x:v>
      </x:c>
      <x:c r="M198" s="81" t="n">
        <x:f>IF(AND(ISNUMBER(L198),L198&gt;0),ROUND(C198*D198*E198/2048/L198*100,1)/100,"")</x:f>
        <x:v>0.578</x:v>
      </x:c>
      <x:c r="N198" s="82" t="n">
        <x:f>IF(OR(F198="",G198="",H198=""),"",((I198+J198)*1024)/(F198*G198*H198/2048))</x:f>
        <x:v>128</x:v>
      </x:c>
      <x:c r="O198" s="82" t="n">
        <x:f>IF(OR(F198="",G198="",H198=""),"",(F198*G198*4)/(F198*G198*H198/2048))</x:f>
        <x:v>128</x:v>
      </x:c>
      <x:c r="P198" s="81" t="n">
        <x:f>IF(AND(ISNUMBER(N198),N198&gt;0),MIN(1,128/N198),"")</x:f>
        <x:v>1</x:v>
      </x:c>
      <x:c r="Q198" s="81" t="n">
        <x:f>IF(AND(ISNUMBER(O198),O198&gt;0),MIN(1,512/O198),"")</x:f>
        <x:v>1</x:v>
      </x:c>
      <x:c r="R198" s="81" t="n">
        <x:f>IF(AND(ISNUMBER(P198),ISNUMBER(Q198)),MIN(P198,Q198),"")</x:f>
        <x:v>1</x:v>
      </x:c>
      <x:c r="S198" s="82" t="n">
        <x:f>IF(AND(ISNUMBER(M198),ISNUMBER(R198)),(M198-R198)*100,"")</x:f>
        <x:v>-42.2</x:v>
      </x:c>
      <x:c r="T198" s="79" t="str">
        <x:v>PASS</x:v>
      </x:c>
      <x:c r="U198" s="83" t="str">
        <x:v>本轮 model-main 9b3a4405（6参数含SoC）2026-09-22</x:v>
      </x:c>
    </x:row>
    <x:row r="199" ht="19" customHeight="1">
      <x:c r="A199" s="79" t="str">
        <x:v>S6</x:v>
      </x:c>
      <x:c r="B199" s="79" t="str">
        <x:v>FP32</x:v>
      </x:c>
      <x:c r="C199" s="80" t="n">
        <x:v>128</x:v>
      </x:c>
      <x:c r="D199" s="80" t="n">
        <x:v>256</x:v>
      </x:c>
      <x:c r="E199" s="80" t="n">
        <x:v>32768</x:v>
      </x:c>
      <x:c r="F199" s="80" t="n">
        <x:v>128</x:v>
      </x:c>
      <x:c r="G199" s="80" t="n">
        <x:v>128</x:v>
      </x:c>
      <x:c r="H199" s="80" t="n">
        <x:v>128</x:v>
      </x:c>
      <x:c r="I199" s="80" t="n">
        <x:v>64</x:v>
      </x:c>
      <x:c r="J199" s="80" t="n">
        <x:v>64</x:v>
      </x:c>
      <x:c r="K199" s="80" t="n">
        <x:v>128</x:v>
      </x:c>
      <x:c r="L199" s="80" t="n">
        <x:v>907068</x:v>
      </x:c>
      <x:c r="M199" s="81" t="n">
        <x:f>IF(AND(ISNUMBER(L199),L199&gt;0),ROUND(C199*D199*E199/2048/L199*100,1)/100,"")</x:f>
        <x:v>0.578</x:v>
      </x:c>
      <x:c r="N199" s="82" t="n">
        <x:f>IF(OR(F199="",G199="",H199=""),"",((I199+J199)*1024)/(F199*G199*H199/2048))</x:f>
        <x:v>128</x:v>
      </x:c>
      <x:c r="O199" s="82" t="n">
        <x:f>IF(OR(F199="",G199="",H199=""),"",(F199*G199*4)/(F199*G199*H199/2048))</x:f>
        <x:v>64</x:v>
      </x:c>
      <x:c r="P199" s="81" t="n">
        <x:f>IF(AND(ISNUMBER(N199),N199&gt;0),MIN(1,128/N199),"")</x:f>
        <x:v>1</x:v>
      </x:c>
      <x:c r="Q199" s="81" t="n">
        <x:f>IF(AND(ISNUMBER(O199),O199&gt;0),MIN(1,512/O199),"")</x:f>
        <x:v>1</x:v>
      </x:c>
      <x:c r="R199" s="81" t="n">
        <x:f>IF(AND(ISNUMBER(P199),ISNUMBER(Q199)),MIN(P199,Q199),"")</x:f>
        <x:v>1</x:v>
      </x:c>
      <x:c r="S199" s="82" t="n">
        <x:f>IF(AND(ISNUMBER(M199),ISNUMBER(R199)),(M199-R199)*100,"")</x:f>
        <x:v>-42.2</x:v>
      </x:c>
      <x:c r="T199" s="79" t="str">
        <x:v>PASS</x:v>
      </x:c>
      <x:c r="U199" s="83" t="str">
        <x:v>本轮 model-main 9b3a4405（6参数含SoC）2026-09-22</x:v>
      </x:c>
    </x:row>
    <x:row r="200" ht="19" customHeight="1">
      <x:c r="A200" s="79" t="str">
        <x:v>S6</x:v>
      </x:c>
      <x:c r="B200" s="79" t="str">
        <x:v>FP32</x:v>
      </x:c>
      <x:c r="C200" s="80" t="n">
        <x:v>128</x:v>
      </x:c>
      <x:c r="D200" s="80" t="n">
        <x:v>256</x:v>
      </x:c>
      <x:c r="E200" s="80" t="n">
        <x:v>32768</x:v>
      </x:c>
      <x:c r="F200" s="80" t="n">
        <x:v>128</x:v>
      </x:c>
      <x:c r="G200" s="80" t="n">
        <x:v>128</x:v>
      </x:c>
      <x:c r="H200" s="80" t="n">
        <x:v>256</x:v>
      </x:c>
      <x:c r="I200" s="80" t="n">
        <x:v>128</x:v>
      </x:c>
      <x:c r="J200" s="80" t="n">
        <x:v>128</x:v>
      </x:c>
      <x:c r="K200" s="80" t="n">
        <x:v>256</x:v>
      </x:c>
      <x:c r="L200" s="80" t="n">
        <x:v>908088</x:v>
      </x:c>
      <x:c r="M200" s="81" t="n">
        <x:f>IF(AND(ISNUMBER(L200),L200&gt;0),ROUND(C200*D200*E200/2048/L200*100,1)/100,"")</x:f>
        <x:v>0.5770000000000001</x:v>
      </x:c>
      <x:c r="N200" s="82" t="n">
        <x:f>IF(OR(F200="",G200="",H200=""),"",((I200+J200)*1024)/(F200*G200*H200/2048))</x:f>
        <x:v>128</x:v>
      </x:c>
      <x:c r="O200" s="82" t="n">
        <x:f>IF(OR(F200="",G200="",H200=""),"",(F200*G200*4)/(F200*G200*H200/2048))</x:f>
        <x:v>32</x:v>
      </x:c>
      <x:c r="P200" s="81" t="n">
        <x:f>IF(AND(ISNUMBER(N200),N200&gt;0),MIN(1,128/N200),"")</x:f>
        <x:v>1</x:v>
      </x:c>
      <x:c r="Q200" s="81" t="n">
        <x:f>IF(AND(ISNUMBER(O200),O200&gt;0),MIN(1,512/O200),"")</x:f>
        <x:v>1</x:v>
      </x:c>
      <x:c r="R200" s="81" t="n">
        <x:f>IF(AND(ISNUMBER(P200),ISNUMBER(Q200)),MIN(P200,Q200),"")</x:f>
        <x:v>1</x:v>
      </x:c>
      <x:c r="S200" s="82" t="n">
        <x:f>IF(AND(ISNUMBER(M200),ISNUMBER(R200)),(M200-R200)*100,"")</x:f>
        <x:v>-42.29999999999999</x:v>
      </x:c>
      <x:c r="T200" s="79" t="str">
        <x:v>PASS</x:v>
      </x:c>
      <x:c r="U200" s="83" t="str">
        <x:v>本轮 model-main 9b3a4405（6参数含SoC）2026-09-22</x:v>
      </x:c>
    </x:row>
    <x:row r="201" ht="19" customHeight="1">
      <x:c r="A201" s="53" t="str">
        <x:v>S6</x:v>
      </x:c>
      <x:c r="B201" s="54" t="str">
        <x:v>FP32</x:v>
      </x:c>
      <x:c r="C201" s="55" t="n">
        <x:v>128</x:v>
      </x:c>
      <x:c r="D201" s="55" t="n">
        <x:v>256</x:v>
      </x:c>
      <x:c r="E201" s="55" t="n">
        <x:v>32768</x:v>
      </x:c>
      <x:c r="F201" s="55" t="n">
        <x:v>128</x:v>
      </x:c>
      <x:c r="G201" s="55" t="n">
        <x:v>256</x:v>
      </x:c>
      <x:c r="H201" s="55" t="n">
        <x:v>64</x:v>
      </x:c>
      <x:c r="I201" s="55" t="n">
        <x:v>32</x:v>
      </x:c>
      <x:c r="J201" s="55" t="n">
        <x:v>64</x:v>
      </x:c>
      <x:c r="K201" s="55" t="n">
        <x:v>96</x:v>
      </x:c>
      <x:c r="L201" s="55" t="n">
        <x:v>680533</x:v>
      </x:c>
      <x:c r="M201" s="56" t="n">
        <x:f>IF(AND(ISNUMBER(L201),L201&gt;0),ROUND(C201*D201*E201/2048/L201*100,1)/100,"")</x:f>
        <x:v>0.77</x:v>
      </x:c>
      <x:c r="N201" s="57" t="n">
        <x:f>IF(OR(F201="",G201="",H201=""),"",((I201+J201)*1024)/(F201*G201*H201/2048))</x:f>
        <x:v>96</x:v>
      </x:c>
      <x:c r="O201" s="57" t="n">
        <x:f>IF(OR(F201="",G201="",H201=""),"",(F201*G201*4)/(F201*G201*H201/2048))</x:f>
        <x:v>128</x:v>
      </x:c>
      <x:c r="P201" s="56" t="n">
        <x:f>IF(AND(ISNUMBER(N201),N201&gt;0),MIN(1,128/N201),"")</x:f>
        <x:v>1</x:v>
      </x:c>
      <x:c r="Q201" s="56" t="n">
        <x:f>IF(AND(ISNUMBER(O201),O201&gt;0),MIN(1,512/O201),"")</x:f>
        <x:v>1</x:v>
      </x:c>
      <x:c r="R201" s="56" t="n">
        <x:f>IF(AND(ISNUMBER(P201),ISNUMBER(Q201)),MIN(P201,Q201),"")</x:f>
        <x:v>1</x:v>
      </x:c>
      <x:c r="S201" s="57" t="n">
        <x:f>IF(AND(ISNUMBER(M201),ISNUMBER(R201)),(M201-R201)*100,"")</x:f>
        <x:v>-23</x:v>
      </x:c>
      <x:c r="T201" s="54" t="str">
        <x:v>PASS</x:v>
      </x:c>
      <x:c r="U201" s="58" t="str">
        <x:v>本轮 model-main 9b3a4405（6参数含SoC）2026-09-22</x:v>
      </x:c>
    </x:row>
    <x:row r="202" ht="19" customHeight="1">
      <x:c r="A202" s="79" t="str">
        <x:v>S6</x:v>
      </x:c>
      <x:c r="B202" s="79" t="str">
        <x:v>FP32</x:v>
      </x:c>
      <x:c r="C202" s="80" t="n">
        <x:v>128</x:v>
      </x:c>
      <x:c r="D202" s="80" t="n">
        <x:v>256</x:v>
      </x:c>
      <x:c r="E202" s="80" t="n">
        <x:v>32768</x:v>
      </x:c>
      <x:c r="F202" s="80" t="n">
        <x:v>128</x:v>
      </x:c>
      <x:c r="G202" s="80" t="n">
        <x:v>256</x:v>
      </x:c>
      <x:c r="H202" s="80" t="n">
        <x:v>128</x:v>
      </x:c>
      <x:c r="I202" s="80" t="n">
        <x:v>64</x:v>
      </x:c>
      <x:c r="J202" s="80" t="n">
        <x:v>128</x:v>
      </x:c>
      <x:c r="K202" s="80" t="n">
        <x:v>192</x:v>
      </x:c>
      <x:c r="L202" s="80" t="n">
        <x:v>681629</x:v>
      </x:c>
      <x:c r="M202" s="81" t="n">
        <x:f>IF(AND(ISNUMBER(L202),L202&gt;0),ROUND(C202*D202*E202/2048/L202*100,1)/100,"")</x:f>
        <x:v>0.769</x:v>
      </x:c>
      <x:c r="N202" s="82" t="n">
        <x:f>IF(OR(F202="",G202="",H202=""),"",((I202+J202)*1024)/(F202*G202*H202/2048))</x:f>
        <x:v>96</x:v>
      </x:c>
      <x:c r="O202" s="82" t="n">
        <x:f>IF(OR(F202="",G202="",H202=""),"",(F202*G202*4)/(F202*G202*H202/2048))</x:f>
        <x:v>64</x:v>
      </x:c>
      <x:c r="P202" s="81" t="n">
        <x:f>IF(AND(ISNUMBER(N202),N202&gt;0),MIN(1,128/N202),"")</x:f>
        <x:v>1</x:v>
      </x:c>
      <x:c r="Q202" s="81" t="n">
        <x:f>IF(AND(ISNUMBER(O202),O202&gt;0),MIN(1,512/O202),"")</x:f>
        <x:v>1</x:v>
      </x:c>
      <x:c r="R202" s="81" t="n">
        <x:f>IF(AND(ISNUMBER(P202),ISNUMBER(Q202)),MIN(P202,Q202),"")</x:f>
        <x:v>1</x:v>
      </x:c>
      <x:c r="S202" s="82" t="n">
        <x:f>IF(AND(ISNUMBER(M202),ISNUMBER(R202)),(M202-R202)*100,"")</x:f>
        <x:v>-23.099999999999998</x:v>
      </x:c>
      <x:c r="T202" s="79" t="str">
        <x:v>PASS</x:v>
      </x:c>
      <x:c r="U202" s="83" t="str">
        <x:v>本轮 model-main 9b3a4405（6参数含SoC）2026-09-22</x:v>
      </x:c>
    </x:row>
    <x:row r="203" ht="19" customHeight="1">
      <x:c r="A203" s="79" t="str">
        <x:v>S6</x:v>
      </x:c>
      <x:c r="B203" s="79" t="str">
        <x:v>BF16</x:v>
      </x:c>
      <x:c r="C203" s="80" t="n">
        <x:v>128</x:v>
      </x:c>
      <x:c r="D203" s="80" t="n">
        <x:v>256</x:v>
      </x:c>
      <x:c r="E203" s="80" t="n">
        <x:v>32768</x:v>
      </x:c>
      <x:c r="F203" s="80" t="n">
        <x:v>128</x:v>
      </x:c>
      <x:c r="G203" s="80" t="n">
        <x:v>64</x:v>
      </x:c>
      <x:c r="H203" s="80" t="n">
        <x:v>64</x:v>
      </x:c>
      <x:c r="I203" s="80" t="n">
        <x:v>16</x:v>
      </x:c>
      <x:c r="J203" s="80" t="n">
        <x:v>8</x:v>
      </x:c>
      <x:c r="K203" s="80" t="n">
        <x:v>24</x:v>
      </x:c>
      <x:c r="L203" s="80" t="n">
        <x:v>897982</x:v>
      </x:c>
      <x:c r="M203" s="81" t="n">
        <x:f>IF(AND(ISNUMBER(L203),L203&gt;0),ROUND(C203*D203*E203/4096/L203*100,1)/100,"")</x:f>
        <x:v>0.292</x:v>
      </x:c>
      <x:c r="N203" s="82" t="n">
        <x:f>IF(OR(F203="",G203="",H203=""),"",((I203+J203)*1024)/(F203*G203*H203/4096))</x:f>
        <x:v>192</x:v>
      </x:c>
      <x:c r="O203" s="82" t="n">
        <x:f>IF(OR(F203="",G203="",H203=""),"",(F203*G203*4)/(F203*G203*H203/4096))</x:f>
        <x:v>256</x:v>
      </x:c>
      <x:c r="P203" s="81" t="n">
        <x:f>IF(AND(ISNUMBER(N203),N203&gt;0),MIN(1,128/N203),"")</x:f>
        <x:v>0.6666666666666666</x:v>
      </x:c>
      <x:c r="Q203" s="81" t="n">
        <x:f>IF(AND(ISNUMBER(O203),O203&gt;0),MIN(1,512/O203),"")</x:f>
        <x:v>1</x:v>
      </x:c>
      <x:c r="R203" s="81" t="n">
        <x:f>IF(AND(ISNUMBER(P203),ISNUMBER(Q203)),MIN(P203,Q203),"")</x:f>
        <x:v>0.6666666666666666</x:v>
      </x:c>
      <x:c r="S203" s="82" t="n">
        <x:f>IF(AND(ISNUMBER(M203),ISNUMBER(R203)),(M203-R203)*100,"")</x:f>
        <x:v>-37.46666666666666</x:v>
      </x:c>
      <x:c r="T203" s="79" t="str">
        <x:v>PASS</x:v>
      </x:c>
      <x:c r="U203" s="83" t="str">
        <x:v>本轮 model-main 9b3a4405（6参数含SoC）2026-09-22</x:v>
      </x:c>
    </x:row>
    <x:row r="204" ht="19" customHeight="1">
      <x:c r="A204" s="79" t="str">
        <x:v>S6</x:v>
      </x:c>
      <x:c r="B204" s="79" t="str">
        <x:v>BF16</x:v>
      </x:c>
      <x:c r="C204" s="80" t="n">
        <x:v>128</x:v>
      </x:c>
      <x:c r="D204" s="80" t="n">
        <x:v>256</x:v>
      </x:c>
      <x:c r="E204" s="80" t="n">
        <x:v>32768</x:v>
      </x:c>
      <x:c r="F204" s="80" t="n">
        <x:v>128</x:v>
      </x:c>
      <x:c r="G204" s="80" t="n">
        <x:v>64</x:v>
      </x:c>
      <x:c r="H204" s="80" t="n">
        <x:v>128</x:v>
      </x:c>
      <x:c r="I204" s="80" t="n">
        <x:v>32</x:v>
      </x:c>
      <x:c r="J204" s="80" t="n">
        <x:v>16</x:v>
      </x:c>
      <x:c r="K204" s="80" t="n">
        <x:v>48</x:v>
      </x:c>
      <x:c r="L204" s="80" t="n">
        <x:v>723746</x:v>
      </x:c>
      <x:c r="M204" s="81" t="n">
        <x:f>IF(AND(ISNUMBER(L204),L204&gt;0),ROUND(C204*D204*E204/4096/L204*100,1)/100,"")</x:f>
        <x:v>0.36200000000000004</x:v>
      </x:c>
      <x:c r="N204" s="82" t="n">
        <x:f>IF(OR(F204="",G204="",H204=""),"",((I204+J204)*1024)/(F204*G204*H204/4096))</x:f>
        <x:v>192</x:v>
      </x:c>
      <x:c r="O204" s="82" t="n">
        <x:f>IF(OR(F204="",G204="",H204=""),"",(F204*G204*4)/(F204*G204*H204/4096))</x:f>
        <x:v>128</x:v>
      </x:c>
      <x:c r="P204" s="81" t="n">
        <x:f>IF(AND(ISNUMBER(N204),N204&gt;0),MIN(1,128/N204),"")</x:f>
        <x:v>0.6666666666666666</x:v>
      </x:c>
      <x:c r="Q204" s="81" t="n">
        <x:f>IF(AND(ISNUMBER(O204),O204&gt;0),MIN(1,512/O204),"")</x:f>
        <x:v>1</x:v>
      </x:c>
      <x:c r="R204" s="81" t="n">
        <x:f>IF(AND(ISNUMBER(P204),ISNUMBER(Q204)),MIN(P204,Q204),"")</x:f>
        <x:v>0.6666666666666666</x:v>
      </x:c>
      <x:c r="S204" s="82" t="n">
        <x:f>IF(AND(ISNUMBER(M204),ISNUMBER(R204)),(M204-R204)*100,"")</x:f>
        <x:v>-30.466666666666658</x:v>
      </x:c>
      <x:c r="T204" s="79" t="str">
        <x:v>PASS</x:v>
      </x:c>
      <x:c r="U204" s="83" t="str">
        <x:v>本轮 model-main 9b3a4405（6参数含SoC）2026-09-22</x:v>
      </x:c>
    </x:row>
    <x:row r="205" ht="19" customHeight="1">
      <x:c r="A205" s="79" t="str">
        <x:v>S6</x:v>
      </x:c>
      <x:c r="B205" s="79" t="str">
        <x:v>BF16</x:v>
      </x:c>
      <x:c r="C205" s="80" t="n">
        <x:v>128</x:v>
      </x:c>
      <x:c r="D205" s="80" t="n">
        <x:v>256</x:v>
      </x:c>
      <x:c r="E205" s="80" t="n">
        <x:v>32768</x:v>
      </x:c>
      <x:c r="F205" s="80" t="n">
        <x:v>128</x:v>
      </x:c>
      <x:c r="G205" s="80" t="n">
        <x:v>64</x:v>
      </x:c>
      <x:c r="H205" s="80" t="n">
        <x:v>256</x:v>
      </x:c>
      <x:c r="I205" s="80" t="n">
        <x:v>64</x:v>
      </x:c>
      <x:c r="J205" s="80" t="n">
        <x:v>32</x:v>
      </x:c>
      <x:c r="K205" s="80" t="n">
        <x:v>96</x:v>
      </x:c>
      <x:c r="L205" s="80" t="n">
        <x:v>735266</x:v>
      </x:c>
      <x:c r="M205" s="81" t="n">
        <x:f>IF(AND(ISNUMBER(L205),L205&gt;0),ROUND(C205*D205*E205/4096/L205*100,1)/100,"")</x:f>
        <x:v>0.35700000000000004</x:v>
      </x:c>
      <x:c r="N205" s="82" t="n">
        <x:f>IF(OR(F205="",G205="",H205=""),"",((I205+J205)*1024)/(F205*G205*H205/4096))</x:f>
        <x:v>192</x:v>
      </x:c>
      <x:c r="O205" s="82" t="n">
        <x:f>IF(OR(F205="",G205="",H205=""),"",(F205*G205*4)/(F205*G205*H205/4096))</x:f>
        <x:v>64</x:v>
      </x:c>
      <x:c r="P205" s="81" t="n">
        <x:f>IF(AND(ISNUMBER(N205),N205&gt;0),MIN(1,128/N205),"")</x:f>
        <x:v>0.6666666666666666</x:v>
      </x:c>
      <x:c r="Q205" s="81" t="n">
        <x:f>IF(AND(ISNUMBER(O205),O205&gt;0),MIN(1,512/O205),"")</x:f>
        <x:v>1</x:v>
      </x:c>
      <x:c r="R205" s="81" t="n">
        <x:f>IF(AND(ISNUMBER(P205),ISNUMBER(Q205)),MIN(P205,Q205),"")</x:f>
        <x:v>0.6666666666666666</x:v>
      </x:c>
      <x:c r="S205" s="82" t="n">
        <x:f>IF(AND(ISNUMBER(M205),ISNUMBER(R205)),(M205-R205)*100,"")</x:f>
        <x:v>-30.966666666666658</x:v>
      </x:c>
      <x:c r="T205" s="79" t="str">
        <x:v>PASS</x:v>
      </x:c>
      <x:c r="U205" s="83" t="str">
        <x:v>本轮 model-main 9b3a4405（6参数含SoC）2026-09-22</x:v>
      </x:c>
    </x:row>
    <x:row r="206" ht="19" customHeight="1">
      <x:c r="A206" s="79" t="str">
        <x:v>S6</x:v>
      </x:c>
      <x:c r="B206" s="79" t="str">
        <x:v>BF16</x:v>
      </x:c>
      <x:c r="C206" s="80" t="n">
        <x:v>128</x:v>
      </x:c>
      <x:c r="D206" s="80" t="n">
        <x:v>256</x:v>
      </x:c>
      <x:c r="E206" s="80" t="n">
        <x:v>32768</x:v>
      </x:c>
      <x:c r="F206" s="80" t="n">
        <x:v>128</x:v>
      </x:c>
      <x:c r="G206" s="80" t="n">
        <x:v>128</x:v>
      </x:c>
      <x:c r="H206" s="80" t="n">
        <x:v>64</x:v>
      </x:c>
      <x:c r="I206" s="80" t="n">
        <x:v>16</x:v>
      </x:c>
      <x:c r="J206" s="80" t="n">
        <x:v>16</x:v>
      </x:c>
      <x:c r="K206" s="80" t="n">
        <x:v>32</x:v>
      </x:c>
      <x:c r="L206" s="80" t="n">
        <x:v>473313</x:v>
      </x:c>
      <x:c r="M206" s="81" t="n">
        <x:f>IF(AND(ISNUMBER(L206),L206&gt;0),ROUND(C206*D206*E206/4096/L206*100,1)/100,"")</x:f>
        <x:v>0.5539999999999999</x:v>
      </x:c>
      <x:c r="N206" s="82" t="n">
        <x:f>IF(OR(F206="",G206="",H206=""),"",((I206+J206)*1024)/(F206*G206*H206/4096))</x:f>
        <x:v>128</x:v>
      </x:c>
      <x:c r="O206" s="82" t="n">
        <x:f>IF(OR(F206="",G206="",H206=""),"",(F206*G206*4)/(F206*G206*H206/4096))</x:f>
        <x:v>256</x:v>
      </x:c>
      <x:c r="P206" s="81" t="n">
        <x:f>IF(AND(ISNUMBER(N206),N206&gt;0),MIN(1,128/N206),"")</x:f>
        <x:v>1</x:v>
      </x:c>
      <x:c r="Q206" s="81" t="n">
        <x:f>IF(AND(ISNUMBER(O206),O206&gt;0),MIN(1,512/O206),"")</x:f>
        <x:v>1</x:v>
      </x:c>
      <x:c r="R206" s="81" t="n">
        <x:f>IF(AND(ISNUMBER(P206),ISNUMBER(Q206)),MIN(P206,Q206),"")</x:f>
        <x:v>1</x:v>
      </x:c>
      <x:c r="S206" s="82" t="n">
        <x:f>IF(AND(ISNUMBER(M206),ISNUMBER(R206)),(M206-R206)*100,"")</x:f>
        <x:v>-44.60000000000001</x:v>
      </x:c>
      <x:c r="T206" s="79" t="str">
        <x:v>PASS</x:v>
      </x:c>
      <x:c r="U206" s="83" t="str">
        <x:v>本轮 model-main 9b3a4405（6参数含SoC）2026-09-22</x:v>
      </x:c>
    </x:row>
    <x:row r="207" ht="19" customHeight="1">
      <x:c r="A207" s="79" t="str">
        <x:v>S6</x:v>
      </x:c>
      <x:c r="B207" s="79" t="str">
        <x:v>BF16</x:v>
      </x:c>
      <x:c r="C207" s="80" t="n">
        <x:v>128</x:v>
      </x:c>
      <x:c r="D207" s="80" t="n">
        <x:v>256</x:v>
      </x:c>
      <x:c r="E207" s="80" t="n">
        <x:v>32768</x:v>
      </x:c>
      <x:c r="F207" s="80" t="n">
        <x:v>128</x:v>
      </x:c>
      <x:c r="G207" s="80" t="n">
        <x:v>128</x:v>
      </x:c>
      <x:c r="H207" s="80" t="n">
        <x:v>128</x:v>
      </x:c>
      <x:c r="I207" s="80" t="n">
        <x:v>32</x:v>
      </x:c>
      <x:c r="J207" s="80" t="n">
        <x:v>32</x:v>
      </x:c>
      <x:c r="K207" s="80" t="n">
        <x:v>64</x:v>
      </x:c>
      <x:c r="L207" s="80" t="str">
        <x:v>—</x:v>
      </x:c>
      <x:c r="M207" s="81" t="str">
        <x:f>IF(AND(ISNUMBER(L207),L207&gt;0),ROUND(C207*D207*E207/4096/L207*100,1)/100,"")</x:f>
      </x:c>
      <x:c r="N207" s="82" t="n">
        <x:f>IF(OR(F207="",G207="",H207=""),"",((I207+J207)*1024)/(F207*G207*H207/4096))</x:f>
        <x:v>128</x:v>
      </x:c>
      <x:c r="O207" s="82" t="n">
        <x:f>IF(OR(F207="",G207="",H207=""),"",(F207*G207*4)/(F207*G207*H207/4096))</x:f>
        <x:v>128</x:v>
      </x:c>
      <x:c r="P207" s="81" t="n">
        <x:f>IF(AND(ISNUMBER(N207),N207&gt;0),MIN(1,128/N207),"")</x:f>
        <x:v>1</x:v>
      </x:c>
      <x:c r="Q207" s="81" t="n">
        <x:f>IF(AND(ISNUMBER(O207),O207&gt;0),MIN(1,512/O207),"")</x:f>
        <x:v>1</x:v>
      </x:c>
      <x:c r="R207" s="81" t="n">
        <x:f>IF(AND(ISNUMBER(P207),ISNUMBER(Q207)),MIN(P207,Q207),"")</x:f>
        <x:v>1</x:v>
      </x:c>
      <x:c r="S207" s="82" t="str">
        <x:f>IF(AND(ISNUMBER(M207),ISNUMBER(R207)),(M207-R207)*100,"")</x:f>
      </x:c>
      <x:c r="T207" s="79" t="str">
        <x:v>DEADLOCK</x:v>
      </x:c>
      <x:c r="U207" s="83" t="str">
        <x:v>gfsim 死锁：无新 block 提交；本轮 model-main 9b3a4405（6参数含SoC）2026-09-22</x:v>
      </x:c>
    </x:row>
    <x:row r="208" ht="19" customHeight="1">
      <x:c r="A208" s="79" t="str">
        <x:v>S6</x:v>
      </x:c>
      <x:c r="B208" s="79" t="str">
        <x:v>BF16</x:v>
      </x:c>
      <x:c r="C208" s="80" t="n">
        <x:v>128</x:v>
      </x:c>
      <x:c r="D208" s="80" t="n">
        <x:v>256</x:v>
      </x:c>
      <x:c r="E208" s="80" t="n">
        <x:v>32768</x:v>
      </x:c>
      <x:c r="F208" s="80" t="n">
        <x:v>128</x:v>
      </x:c>
      <x:c r="G208" s="80" t="n">
        <x:v>128</x:v>
      </x:c>
      <x:c r="H208" s="80" t="n">
        <x:v>256</x:v>
      </x:c>
      <x:c r="I208" s="80" t="n">
        <x:v>64</x:v>
      </x:c>
      <x:c r="J208" s="80" t="n">
        <x:v>64</x:v>
      </x:c>
      <x:c r="K208" s="80" t="n">
        <x:v>128</x:v>
      </x:c>
      <x:c r="L208" s="80" t="n">
        <x:v>454991</x:v>
      </x:c>
      <x:c r="M208" s="81" t="n">
        <x:f>IF(AND(ISNUMBER(L208),L208&gt;0),ROUND(C208*D208*E208/4096/L208*100,1)/100,"")</x:f>
        <x:v>0.5760000000000001</x:v>
      </x:c>
      <x:c r="N208" s="82" t="n">
        <x:f>IF(OR(F208="",G208="",H208=""),"",((I208+J208)*1024)/(F208*G208*H208/4096))</x:f>
        <x:v>128</x:v>
      </x:c>
      <x:c r="O208" s="82" t="n">
        <x:f>IF(OR(F208="",G208="",H208=""),"",(F208*G208*4)/(F208*G208*H208/4096))</x:f>
        <x:v>64</x:v>
      </x:c>
      <x:c r="P208" s="81" t="n">
        <x:f>IF(AND(ISNUMBER(N208),N208&gt;0),MIN(1,128/N208),"")</x:f>
        <x:v>1</x:v>
      </x:c>
      <x:c r="Q208" s="81" t="n">
        <x:f>IF(AND(ISNUMBER(O208),O208&gt;0),MIN(1,512/O208),"")</x:f>
        <x:v>1</x:v>
      </x:c>
      <x:c r="R208" s="81" t="n">
        <x:f>IF(AND(ISNUMBER(P208),ISNUMBER(Q208)),MIN(P208,Q208),"")</x:f>
        <x:v>1</x:v>
      </x:c>
      <x:c r="S208" s="82" t="n">
        <x:f>IF(AND(ISNUMBER(M208),ISNUMBER(R208)),(M208-R208)*100,"")</x:f>
        <x:v>-42.39999999999999</x:v>
      </x:c>
      <x:c r="T208" s="79" t="str">
        <x:v>PASS</x:v>
      </x:c>
      <x:c r="U208" s="83" t="str">
        <x:v>本轮 model-main 9b3a4405（6参数含SoC）2026-09-22</x:v>
      </x:c>
    </x:row>
    <x:row r="209" ht="19" customHeight="1">
      <x:c r="A209" s="79" t="str">
        <x:v>S6</x:v>
      </x:c>
      <x:c r="B209" s="79" t="str">
        <x:v>BF16</x:v>
      </x:c>
      <x:c r="C209" s="80" t="n">
        <x:v>128</x:v>
      </x:c>
      <x:c r="D209" s="80" t="n">
        <x:v>256</x:v>
      </x:c>
      <x:c r="E209" s="80" t="n">
        <x:v>32768</x:v>
      </x:c>
      <x:c r="F209" s="80" t="n">
        <x:v>128</x:v>
      </x:c>
      <x:c r="G209" s="80" t="n">
        <x:v>256</x:v>
      </x:c>
      <x:c r="H209" s="80" t="n">
        <x:v>64</x:v>
      </x:c>
      <x:c r="I209" s="80" t="n">
        <x:v>16</x:v>
      </x:c>
      <x:c r="J209" s="80" t="n">
        <x:v>32</x:v>
      </x:c>
      <x:c r="K209" s="80" t="n">
        <x:v>48</x:v>
      </x:c>
      <x:c r="L209" s="80" t="n">
        <x:v>362831</x:v>
      </x:c>
      <x:c r="M209" s="81" t="n">
        <x:f>IF(AND(ISNUMBER(L209),L209&gt;0),ROUND(C209*D209*E209/4096/L209*100,1)/100,"")</x:f>
        <x:v>0.722</x:v>
      </x:c>
      <x:c r="N209" s="82" t="n">
        <x:f>IF(OR(F209="",G209="",H209=""),"",((I209+J209)*1024)/(F209*G209*H209/4096))</x:f>
        <x:v>96</x:v>
      </x:c>
      <x:c r="O209" s="82" t="n">
        <x:f>IF(OR(F209="",G209="",H209=""),"",(F209*G209*4)/(F209*G209*H209/4096))</x:f>
        <x:v>256</x:v>
      </x:c>
      <x:c r="P209" s="81" t="n">
        <x:f>IF(AND(ISNUMBER(N209),N209&gt;0),MIN(1,128/N209),"")</x:f>
        <x:v>1</x:v>
      </x:c>
      <x:c r="Q209" s="81" t="n">
        <x:f>IF(AND(ISNUMBER(O209),O209&gt;0),MIN(1,512/O209),"")</x:f>
        <x:v>1</x:v>
      </x:c>
      <x:c r="R209" s="81" t="n">
        <x:f>IF(AND(ISNUMBER(P209),ISNUMBER(Q209)),MIN(P209,Q209),"")</x:f>
        <x:v>1</x:v>
      </x:c>
      <x:c r="S209" s="82" t="n">
        <x:f>IF(AND(ISNUMBER(M209),ISNUMBER(R209)),(M209-R209)*100,"")</x:f>
        <x:v>-27.800000000000004</x:v>
      </x:c>
      <x:c r="T209" s="79" t="str">
        <x:v>PASS</x:v>
      </x:c>
      <x:c r="U209" s="83" t="str">
        <x:v>本轮 model-main 9b3a4405（6参数含SoC）2026-09-22</x:v>
      </x:c>
    </x:row>
    <x:row r="210" ht="19" customHeight="1">
      <x:c r="A210" s="53" t="str">
        <x:v>S6</x:v>
      </x:c>
      <x:c r="B210" s="54" t="str">
        <x:v>BF16</x:v>
      </x:c>
      <x:c r="C210" s="55" t="n">
        <x:v>128</x:v>
      </x:c>
      <x:c r="D210" s="55" t="n">
        <x:v>256</x:v>
      </x:c>
      <x:c r="E210" s="55" t="n">
        <x:v>32768</x:v>
      </x:c>
      <x:c r="F210" s="55" t="n">
        <x:v>128</x:v>
      </x:c>
      <x:c r="G210" s="55" t="n">
        <x:v>256</x:v>
      </x:c>
      <x:c r="H210" s="55" t="n">
        <x:v>128</x:v>
      </x:c>
      <x:c r="I210" s="55" t="n">
        <x:v>32</x:v>
      </x:c>
      <x:c r="J210" s="55" t="n">
        <x:v>64</x:v>
      </x:c>
      <x:c r="K210" s="55" t="n">
        <x:v>96</x:v>
      </x:c>
      <x:c r="L210" s="55" t="n">
        <x:v>342070</x:v>
      </x:c>
      <x:c r="M210" s="56" t="n">
        <x:f>IF(AND(ISNUMBER(L210),L210&gt;0),ROUND(C210*D210*E210/4096/L210*100,1)/100,"")</x:f>
        <x:v>0.7659999999999999</x:v>
      </x:c>
      <x:c r="N210" s="57" t="n">
        <x:f>IF(OR(F210="",G210="",H210=""),"",((I210+J210)*1024)/(F210*G210*H210/4096))</x:f>
        <x:v>96</x:v>
      </x:c>
      <x:c r="O210" s="57" t="n">
        <x:f>IF(OR(F210="",G210="",H210=""),"",(F210*G210*4)/(F210*G210*H210/4096))</x:f>
        <x:v>128</x:v>
      </x:c>
      <x:c r="P210" s="56" t="n">
        <x:f>IF(AND(ISNUMBER(N210),N210&gt;0),MIN(1,128/N210),"")</x:f>
        <x:v>1</x:v>
      </x:c>
      <x:c r="Q210" s="56" t="n">
        <x:f>IF(AND(ISNUMBER(O210),O210&gt;0),MIN(1,512/O210),"")</x:f>
        <x:v>1</x:v>
      </x:c>
      <x:c r="R210" s="56" t="n">
        <x:f>IF(AND(ISNUMBER(P210),ISNUMBER(Q210)),MIN(P210,Q210),"")</x:f>
        <x:v>1</x:v>
      </x:c>
      <x:c r="S210" s="57" t="n">
        <x:f>IF(AND(ISNUMBER(M210),ISNUMBER(R210)),(M210-R210)*100,"")</x:f>
        <x:v>-23.40000000000001</x:v>
      </x:c>
      <x:c r="T210" s="54" t="str">
        <x:v>PASS</x:v>
      </x:c>
      <x:c r="U210" s="58" t="str">
        <x:v>本轮 model-main 9b3a4405（6参数含SoC）2026-09-22</x:v>
      </x:c>
    </x:row>
    <x:row r="211" ht="19" customHeight="1">
      <x:c r="A211" s="79" t="str">
        <x:v>S6</x:v>
      </x:c>
      <x:c r="B211" s="79" t="str">
        <x:v>BF16</x:v>
      </x:c>
      <x:c r="C211" s="80" t="n">
        <x:v>128</x:v>
      </x:c>
      <x:c r="D211" s="80" t="n">
        <x:v>256</x:v>
      </x:c>
      <x:c r="E211" s="80" t="n">
        <x:v>32768</x:v>
      </x:c>
      <x:c r="F211" s="80" t="n">
        <x:v>128</x:v>
      </x:c>
      <x:c r="G211" s="80" t="n">
        <x:v>256</x:v>
      </x:c>
      <x:c r="H211" s="80" t="n">
        <x:v>256</x:v>
      </x:c>
      <x:c r="I211" s="80" t="n">
        <x:v>64</x:v>
      </x:c>
      <x:c r="J211" s="80" t="n">
        <x:v>128</x:v>
      </x:c>
      <x:c r="K211" s="80" t="n">
        <x:v>192</x:v>
      </x:c>
      <x:c r="L211" s="80" t="n">
        <x:v>343079</x:v>
      </x:c>
      <x:c r="M211" s="81" t="n">
        <x:f>IF(AND(ISNUMBER(L211),L211&gt;0),ROUND(C211*D211*E211/4096/L211*100,1)/100,"")</x:f>
        <x:v>0.764</x:v>
      </x:c>
      <x:c r="N211" s="82" t="n">
        <x:f>IF(OR(F211="",G211="",H211=""),"",((I211+J211)*1024)/(F211*G211*H211/4096))</x:f>
        <x:v>96</x:v>
      </x:c>
      <x:c r="O211" s="82" t="n">
        <x:f>IF(OR(F211="",G211="",H211=""),"",(F211*G211*4)/(F211*G211*H211/4096))</x:f>
        <x:v>64</x:v>
      </x:c>
      <x:c r="P211" s="81" t="n">
        <x:f>IF(AND(ISNUMBER(N211),N211&gt;0),MIN(1,128/N211),"")</x:f>
        <x:v>1</x:v>
      </x:c>
      <x:c r="Q211" s="81" t="n">
        <x:f>IF(AND(ISNUMBER(O211),O211&gt;0),MIN(1,512/O211),"")</x:f>
        <x:v>1</x:v>
      </x:c>
      <x:c r="R211" s="81" t="n">
        <x:f>IF(AND(ISNUMBER(P211),ISNUMBER(Q211)),MIN(P211,Q211),"")</x:f>
        <x:v>1</x:v>
      </x:c>
      <x:c r="S211" s="82" t="n">
        <x:f>IF(AND(ISNUMBER(M211),ISNUMBER(R211)),(M211-R211)*100,"")</x:f>
        <x:v>-23.599999999999998</x:v>
      </x:c>
      <x:c r="T211" s="79" t="str">
        <x:v>PASS</x:v>
      </x:c>
      <x:c r="U211" s="83" t="str">
        <x:v>本轮 model-main 9b3a4405（6参数含SoC）2026-09-22</x:v>
      </x:c>
    </x:row>
    <x:row r="212" ht="19" customHeight="1">
      <x:c r="A212" s="79" t="str">
        <x:v>S6</x:v>
      </x:c>
      <x:c r="B212" s="79" t="str">
        <x:v>FP16</x:v>
      </x:c>
      <x:c r="C212" s="80" t="n">
        <x:v>128</x:v>
      </x:c>
      <x:c r="D212" s="80" t="n">
        <x:v>256</x:v>
      </x:c>
      <x:c r="E212" s="80" t="n">
        <x:v>32768</x:v>
      </x:c>
      <x:c r="F212" s="80" t="n">
        <x:v>128</x:v>
      </x:c>
      <x:c r="G212" s="80" t="n">
        <x:v>64</x:v>
      </x:c>
      <x:c r="H212" s="80" t="n">
        <x:v>64</x:v>
      </x:c>
      <x:c r="I212" s="80" t="n">
        <x:v>16</x:v>
      </x:c>
      <x:c r="J212" s="80" t="n">
        <x:v>8</x:v>
      </x:c>
      <x:c r="K212" s="80" t="n">
        <x:v>24</x:v>
      </x:c>
      <x:c r="L212" s="80" t="n">
        <x:v>897982</x:v>
      </x:c>
      <x:c r="M212" s="81" t="n">
        <x:f>IF(AND(ISNUMBER(L212),L212&gt;0),ROUND(C212*D212*E212/4096/L212*100,1)/100,"")</x:f>
        <x:v>0.292</x:v>
      </x:c>
      <x:c r="N212" s="82" t="n">
        <x:f>IF(OR(F212="",G212="",H212=""),"",((I212+J212)*1024)/(F212*G212*H212/4096))</x:f>
        <x:v>192</x:v>
      </x:c>
      <x:c r="O212" s="82" t="n">
        <x:f>IF(OR(F212="",G212="",H212=""),"",(F212*G212*4)/(F212*G212*H212/4096))</x:f>
        <x:v>256</x:v>
      </x:c>
      <x:c r="P212" s="81" t="n">
        <x:f>IF(AND(ISNUMBER(N212),N212&gt;0),MIN(1,128/N212),"")</x:f>
        <x:v>0.6666666666666666</x:v>
      </x:c>
      <x:c r="Q212" s="81" t="n">
        <x:f>IF(AND(ISNUMBER(O212),O212&gt;0),MIN(1,512/O212),"")</x:f>
        <x:v>1</x:v>
      </x:c>
      <x:c r="R212" s="81" t="n">
        <x:f>IF(AND(ISNUMBER(P212),ISNUMBER(Q212)),MIN(P212,Q212),"")</x:f>
        <x:v>0.6666666666666666</x:v>
      </x:c>
      <x:c r="S212" s="82" t="n">
        <x:f>IF(AND(ISNUMBER(M212),ISNUMBER(R212)),(M212-R212)*100,"")</x:f>
        <x:v>-37.46666666666666</x:v>
      </x:c>
      <x:c r="T212" s="79" t="str">
        <x:v>PASS</x:v>
      </x:c>
      <x:c r="U212" s="83" t="str">
        <x:v>本轮 model-main 9b3a4405（6参数含SoC）2026-09-22</x:v>
      </x:c>
    </x:row>
    <x:row r="213" ht="19" customHeight="1">
      <x:c r="A213" s="79" t="str">
        <x:v>S6</x:v>
      </x:c>
      <x:c r="B213" s="79" t="str">
        <x:v>FP16</x:v>
      </x:c>
      <x:c r="C213" s="80" t="n">
        <x:v>128</x:v>
      </x:c>
      <x:c r="D213" s="80" t="n">
        <x:v>256</x:v>
      </x:c>
      <x:c r="E213" s="80" t="n">
        <x:v>32768</x:v>
      </x:c>
      <x:c r="F213" s="80" t="n">
        <x:v>128</x:v>
      </x:c>
      <x:c r="G213" s="80" t="n">
        <x:v>64</x:v>
      </x:c>
      <x:c r="H213" s="80" t="n">
        <x:v>128</x:v>
      </x:c>
      <x:c r="I213" s="80" t="n">
        <x:v>32</x:v>
      </x:c>
      <x:c r="J213" s="80" t="n">
        <x:v>16</x:v>
      </x:c>
      <x:c r="K213" s="80" t="n">
        <x:v>48</x:v>
      </x:c>
      <x:c r="L213" s="80" t="n">
        <x:v>723746</x:v>
      </x:c>
      <x:c r="M213" s="81" t="n">
        <x:f>IF(AND(ISNUMBER(L213),L213&gt;0),ROUND(C213*D213*E213/4096/L213*100,1)/100,"")</x:f>
        <x:v>0.36200000000000004</x:v>
      </x:c>
      <x:c r="N213" s="82" t="n">
        <x:f>IF(OR(F213="",G213="",H213=""),"",((I213+J213)*1024)/(F213*G213*H213/4096))</x:f>
        <x:v>192</x:v>
      </x:c>
      <x:c r="O213" s="82" t="n">
        <x:f>IF(OR(F213="",G213="",H213=""),"",(F213*G213*4)/(F213*G213*H213/4096))</x:f>
        <x:v>128</x:v>
      </x:c>
      <x:c r="P213" s="81" t="n">
        <x:f>IF(AND(ISNUMBER(N213),N213&gt;0),MIN(1,128/N213),"")</x:f>
        <x:v>0.6666666666666666</x:v>
      </x:c>
      <x:c r="Q213" s="81" t="n">
        <x:f>IF(AND(ISNUMBER(O213),O213&gt;0),MIN(1,512/O213),"")</x:f>
        <x:v>1</x:v>
      </x:c>
      <x:c r="R213" s="81" t="n">
        <x:f>IF(AND(ISNUMBER(P213),ISNUMBER(Q213)),MIN(P213,Q213),"")</x:f>
        <x:v>0.6666666666666666</x:v>
      </x:c>
      <x:c r="S213" s="82" t="n">
        <x:f>IF(AND(ISNUMBER(M213),ISNUMBER(R213)),(M213-R213)*100,"")</x:f>
        <x:v>-30.466666666666658</x:v>
      </x:c>
      <x:c r="T213" s="79" t="str">
        <x:v>PASS</x:v>
      </x:c>
      <x:c r="U213" s="83" t="str">
        <x:v>本轮 model-main 9b3a4405（6参数含SoC）2026-09-22</x:v>
      </x:c>
    </x:row>
    <x:row r="214" ht="19" customHeight="1">
      <x:c r="A214" s="79" t="str">
        <x:v>S6</x:v>
      </x:c>
      <x:c r="B214" s="79" t="str">
        <x:v>FP16</x:v>
      </x:c>
      <x:c r="C214" s="80" t="n">
        <x:v>128</x:v>
      </x:c>
      <x:c r="D214" s="80" t="n">
        <x:v>256</x:v>
      </x:c>
      <x:c r="E214" s="80" t="n">
        <x:v>32768</x:v>
      </x:c>
      <x:c r="F214" s="80" t="n">
        <x:v>128</x:v>
      </x:c>
      <x:c r="G214" s="80" t="n">
        <x:v>64</x:v>
      </x:c>
      <x:c r="H214" s="80" t="n">
        <x:v>256</x:v>
      </x:c>
      <x:c r="I214" s="80" t="n">
        <x:v>64</x:v>
      </x:c>
      <x:c r="J214" s="80" t="n">
        <x:v>32</x:v>
      </x:c>
      <x:c r="K214" s="80" t="n">
        <x:v>96</x:v>
      </x:c>
      <x:c r="L214" s="80" t="n">
        <x:v>735266</x:v>
      </x:c>
      <x:c r="M214" s="81" t="n">
        <x:f>IF(AND(ISNUMBER(L214),L214&gt;0),ROUND(C214*D214*E214/4096/L214*100,1)/100,"")</x:f>
        <x:v>0.35700000000000004</x:v>
      </x:c>
      <x:c r="N214" s="82" t="n">
        <x:f>IF(OR(F214="",G214="",H214=""),"",((I214+J214)*1024)/(F214*G214*H214/4096))</x:f>
        <x:v>192</x:v>
      </x:c>
      <x:c r="O214" s="82" t="n">
        <x:f>IF(OR(F214="",G214="",H214=""),"",(F214*G214*4)/(F214*G214*H214/4096))</x:f>
        <x:v>64</x:v>
      </x:c>
      <x:c r="P214" s="81" t="n">
        <x:f>IF(AND(ISNUMBER(N214),N214&gt;0),MIN(1,128/N214),"")</x:f>
        <x:v>0.6666666666666666</x:v>
      </x:c>
      <x:c r="Q214" s="81" t="n">
        <x:f>IF(AND(ISNUMBER(O214),O214&gt;0),MIN(1,512/O214),"")</x:f>
        <x:v>1</x:v>
      </x:c>
      <x:c r="R214" s="81" t="n">
        <x:f>IF(AND(ISNUMBER(P214),ISNUMBER(Q214)),MIN(P214,Q214),"")</x:f>
        <x:v>0.6666666666666666</x:v>
      </x:c>
      <x:c r="S214" s="82" t="n">
        <x:f>IF(AND(ISNUMBER(M214),ISNUMBER(R214)),(M214-R214)*100,"")</x:f>
        <x:v>-30.966666666666658</x:v>
      </x:c>
      <x:c r="T214" s="79" t="str">
        <x:v>PASS</x:v>
      </x:c>
      <x:c r="U214" s="83" t="str">
        <x:v>本轮 model-main 9b3a4405（6参数含SoC）2026-09-22</x:v>
      </x:c>
    </x:row>
    <x:row r="215" ht="19" customHeight="1">
      <x:c r="A215" s="79" t="str">
        <x:v>S6</x:v>
      </x:c>
      <x:c r="B215" s="79" t="str">
        <x:v>FP16</x:v>
      </x:c>
      <x:c r="C215" s="80" t="n">
        <x:v>128</x:v>
      </x:c>
      <x:c r="D215" s="80" t="n">
        <x:v>256</x:v>
      </x:c>
      <x:c r="E215" s="80" t="n">
        <x:v>32768</x:v>
      </x:c>
      <x:c r="F215" s="80" t="n">
        <x:v>128</x:v>
      </x:c>
      <x:c r="G215" s="80" t="n">
        <x:v>128</x:v>
      </x:c>
      <x:c r="H215" s="80" t="n">
        <x:v>64</x:v>
      </x:c>
      <x:c r="I215" s="80" t="n">
        <x:v>16</x:v>
      </x:c>
      <x:c r="J215" s="80" t="n">
        <x:v>16</x:v>
      </x:c>
      <x:c r="K215" s="80" t="n">
        <x:v>32</x:v>
      </x:c>
      <x:c r="L215" s="80" t="n">
        <x:v>473313</x:v>
      </x:c>
      <x:c r="M215" s="81" t="n">
        <x:f>IF(AND(ISNUMBER(L215),L215&gt;0),ROUND(C215*D215*E215/4096/L215*100,1)/100,"")</x:f>
        <x:v>0.5539999999999999</x:v>
      </x:c>
      <x:c r="N215" s="82" t="n">
        <x:f>IF(OR(F215="",G215="",H215=""),"",((I215+J215)*1024)/(F215*G215*H215/4096))</x:f>
        <x:v>128</x:v>
      </x:c>
      <x:c r="O215" s="82" t="n">
        <x:f>IF(OR(F215="",G215="",H215=""),"",(F215*G215*4)/(F215*G215*H215/4096))</x:f>
        <x:v>256</x:v>
      </x:c>
      <x:c r="P215" s="81" t="n">
        <x:f>IF(AND(ISNUMBER(N215),N215&gt;0),MIN(1,128/N215),"")</x:f>
        <x:v>1</x:v>
      </x:c>
      <x:c r="Q215" s="81" t="n">
        <x:f>IF(AND(ISNUMBER(O215),O215&gt;0),MIN(1,512/O215),"")</x:f>
        <x:v>1</x:v>
      </x:c>
      <x:c r="R215" s="81" t="n">
        <x:f>IF(AND(ISNUMBER(P215),ISNUMBER(Q215)),MIN(P215,Q215),"")</x:f>
        <x:v>1</x:v>
      </x:c>
      <x:c r="S215" s="82" t="n">
        <x:f>IF(AND(ISNUMBER(M215),ISNUMBER(R215)),(M215-R215)*100,"")</x:f>
        <x:v>-44.60000000000001</x:v>
      </x:c>
      <x:c r="T215" s="79" t="str">
        <x:v>PASS</x:v>
      </x:c>
      <x:c r="U215" s="83" t="str">
        <x:v>本轮 model-main 9b3a4405（6参数含SoC）2026-09-22</x:v>
      </x:c>
    </x:row>
    <x:row r="216" ht="19" customHeight="1">
      <x:c r="A216" s="79" t="str">
        <x:v>S6</x:v>
      </x:c>
      <x:c r="B216" s="79" t="str">
        <x:v>FP16</x:v>
      </x:c>
      <x:c r="C216" s="80" t="n">
        <x:v>128</x:v>
      </x:c>
      <x:c r="D216" s="80" t="n">
        <x:v>256</x:v>
      </x:c>
      <x:c r="E216" s="80" t="n">
        <x:v>32768</x:v>
      </x:c>
      <x:c r="F216" s="80" t="n">
        <x:v>128</x:v>
      </x:c>
      <x:c r="G216" s="80" t="n">
        <x:v>128</x:v>
      </x:c>
      <x:c r="H216" s="80" t="n">
        <x:v>128</x:v>
      </x:c>
      <x:c r="I216" s="80" t="n">
        <x:v>32</x:v>
      </x:c>
      <x:c r="J216" s="80" t="n">
        <x:v>32</x:v>
      </x:c>
      <x:c r="K216" s="80" t="n">
        <x:v>64</x:v>
      </x:c>
      <x:c r="L216" s="80" t="str">
        <x:v>—</x:v>
      </x:c>
      <x:c r="M216" s="81" t="str">
        <x:f>IF(AND(ISNUMBER(L216),L216&gt;0),ROUND(C216*D216*E216/4096/L216*100,1)/100,"")</x:f>
      </x:c>
      <x:c r="N216" s="82" t="n">
        <x:f>IF(OR(F216="",G216="",H216=""),"",((I216+J216)*1024)/(F216*G216*H216/4096))</x:f>
        <x:v>128</x:v>
      </x:c>
      <x:c r="O216" s="82" t="n">
        <x:f>IF(OR(F216="",G216="",H216=""),"",(F216*G216*4)/(F216*G216*H216/4096))</x:f>
        <x:v>128</x:v>
      </x:c>
      <x:c r="P216" s="81" t="n">
        <x:f>IF(AND(ISNUMBER(N216),N216&gt;0),MIN(1,128/N216),"")</x:f>
        <x:v>1</x:v>
      </x:c>
      <x:c r="Q216" s="81" t="n">
        <x:f>IF(AND(ISNUMBER(O216),O216&gt;0),MIN(1,512/O216),"")</x:f>
        <x:v>1</x:v>
      </x:c>
      <x:c r="R216" s="81" t="n">
        <x:f>IF(AND(ISNUMBER(P216),ISNUMBER(Q216)),MIN(P216,Q216),"")</x:f>
        <x:v>1</x:v>
      </x:c>
      <x:c r="S216" s="82" t="str">
        <x:f>IF(AND(ISNUMBER(M216),ISNUMBER(R216)),(M216-R216)*100,"")</x:f>
      </x:c>
      <x:c r="T216" s="79" t="str">
        <x:v>DEADLOCK</x:v>
      </x:c>
      <x:c r="U216" s="83" t="str">
        <x:v>gfsim 死锁：无新 block 提交；本轮 model-main 9b3a4405（6参数含SoC）2026-09-22</x:v>
      </x:c>
    </x:row>
    <x:row r="217" ht="19" customHeight="1">
      <x:c r="A217" s="79" t="str">
        <x:v>S6</x:v>
      </x:c>
      <x:c r="B217" s="79" t="str">
        <x:v>FP16</x:v>
      </x:c>
      <x:c r="C217" s="80" t="n">
        <x:v>128</x:v>
      </x:c>
      <x:c r="D217" s="80" t="n">
        <x:v>256</x:v>
      </x:c>
      <x:c r="E217" s="80" t="n">
        <x:v>32768</x:v>
      </x:c>
      <x:c r="F217" s="80" t="n">
        <x:v>128</x:v>
      </x:c>
      <x:c r="G217" s="80" t="n">
        <x:v>128</x:v>
      </x:c>
      <x:c r="H217" s="80" t="n">
        <x:v>256</x:v>
      </x:c>
      <x:c r="I217" s="80" t="n">
        <x:v>64</x:v>
      </x:c>
      <x:c r="J217" s="80" t="n">
        <x:v>64</x:v>
      </x:c>
      <x:c r="K217" s="80" t="n">
        <x:v>128</x:v>
      </x:c>
      <x:c r="L217" s="80" t="n">
        <x:v>454991</x:v>
      </x:c>
      <x:c r="M217" s="81" t="n">
        <x:f>IF(AND(ISNUMBER(L217),L217&gt;0),ROUND(C217*D217*E217/4096/L217*100,1)/100,"")</x:f>
        <x:v>0.5760000000000001</x:v>
      </x:c>
      <x:c r="N217" s="82" t="n">
        <x:f>IF(OR(F217="",G217="",H217=""),"",((I217+J217)*1024)/(F217*G217*H217/4096))</x:f>
        <x:v>128</x:v>
      </x:c>
      <x:c r="O217" s="82" t="n">
        <x:f>IF(OR(F217="",G217="",H217=""),"",(F217*G217*4)/(F217*G217*H217/4096))</x:f>
        <x:v>64</x:v>
      </x:c>
      <x:c r="P217" s="81" t="n">
        <x:f>IF(AND(ISNUMBER(N217),N217&gt;0),MIN(1,128/N217),"")</x:f>
        <x:v>1</x:v>
      </x:c>
      <x:c r="Q217" s="81" t="n">
        <x:f>IF(AND(ISNUMBER(O217),O217&gt;0),MIN(1,512/O217),"")</x:f>
        <x:v>1</x:v>
      </x:c>
      <x:c r="R217" s="81" t="n">
        <x:f>IF(AND(ISNUMBER(P217),ISNUMBER(Q217)),MIN(P217,Q217),"")</x:f>
        <x:v>1</x:v>
      </x:c>
      <x:c r="S217" s="82" t="n">
        <x:f>IF(AND(ISNUMBER(M217),ISNUMBER(R217)),(M217-R217)*100,"")</x:f>
        <x:v>-42.39999999999999</x:v>
      </x:c>
      <x:c r="T217" s="79" t="str">
        <x:v>PASS</x:v>
      </x:c>
      <x:c r="U217" s="83" t="str">
        <x:v>本轮 model-main 9b3a4405（6参数含SoC）2026-09-22</x:v>
      </x:c>
    </x:row>
    <x:row r="218" ht="19" customHeight="1">
      <x:c r="A218" s="79" t="str">
        <x:v>S6</x:v>
      </x:c>
      <x:c r="B218" s="79" t="str">
        <x:v>FP16</x:v>
      </x:c>
      <x:c r="C218" s="80" t="n">
        <x:v>128</x:v>
      </x:c>
      <x:c r="D218" s="80" t="n">
        <x:v>256</x:v>
      </x:c>
      <x:c r="E218" s="80" t="n">
        <x:v>32768</x:v>
      </x:c>
      <x:c r="F218" s="80" t="n">
        <x:v>128</x:v>
      </x:c>
      <x:c r="G218" s="80" t="n">
        <x:v>256</x:v>
      </x:c>
      <x:c r="H218" s="80" t="n">
        <x:v>64</x:v>
      </x:c>
      <x:c r="I218" s="80" t="n">
        <x:v>16</x:v>
      </x:c>
      <x:c r="J218" s="80" t="n">
        <x:v>32</x:v>
      </x:c>
      <x:c r="K218" s="80" t="n">
        <x:v>48</x:v>
      </x:c>
      <x:c r="L218" s="80" t="n">
        <x:v>362831</x:v>
      </x:c>
      <x:c r="M218" s="81" t="n">
        <x:f>IF(AND(ISNUMBER(L218),L218&gt;0),ROUND(C218*D218*E218/4096/L218*100,1)/100,"")</x:f>
        <x:v>0.722</x:v>
      </x:c>
      <x:c r="N218" s="82" t="n">
        <x:f>IF(OR(F218="",G218="",H218=""),"",((I218+J218)*1024)/(F218*G218*H218/4096))</x:f>
        <x:v>96</x:v>
      </x:c>
      <x:c r="O218" s="82" t="n">
        <x:f>IF(OR(F218="",G218="",H218=""),"",(F218*G218*4)/(F218*G218*H218/4096))</x:f>
        <x:v>256</x:v>
      </x:c>
      <x:c r="P218" s="81" t="n">
        <x:f>IF(AND(ISNUMBER(N218),N218&gt;0),MIN(1,128/N218),"")</x:f>
        <x:v>1</x:v>
      </x:c>
      <x:c r="Q218" s="81" t="n">
        <x:f>IF(AND(ISNUMBER(O218),O218&gt;0),MIN(1,512/O218),"")</x:f>
        <x:v>1</x:v>
      </x:c>
      <x:c r="R218" s="81" t="n">
        <x:f>IF(AND(ISNUMBER(P218),ISNUMBER(Q218)),MIN(P218,Q218),"")</x:f>
        <x:v>1</x:v>
      </x:c>
      <x:c r="S218" s="82" t="n">
        <x:f>IF(AND(ISNUMBER(M218),ISNUMBER(R218)),(M218-R218)*100,"")</x:f>
        <x:v>-27.800000000000004</x:v>
      </x:c>
      <x:c r="T218" s="79" t="str">
        <x:v>PASS</x:v>
      </x:c>
      <x:c r="U218" s="83" t="str">
        <x:v>本轮 model-main 9b3a4405（6参数含SoC）2026-09-22</x:v>
      </x:c>
    </x:row>
    <x:row r="219" ht="19" customHeight="1">
      <x:c r="A219" s="53" t="str">
        <x:v>S6</x:v>
      </x:c>
      <x:c r="B219" s="54" t="str">
        <x:v>FP16</x:v>
      </x:c>
      <x:c r="C219" s="55" t="n">
        <x:v>128</x:v>
      </x:c>
      <x:c r="D219" s="55" t="n">
        <x:v>256</x:v>
      </x:c>
      <x:c r="E219" s="55" t="n">
        <x:v>32768</x:v>
      </x:c>
      <x:c r="F219" s="55" t="n">
        <x:v>128</x:v>
      </x:c>
      <x:c r="G219" s="55" t="n">
        <x:v>256</x:v>
      </x:c>
      <x:c r="H219" s="55" t="n">
        <x:v>128</x:v>
      </x:c>
      <x:c r="I219" s="55" t="n">
        <x:v>32</x:v>
      </x:c>
      <x:c r="J219" s="55" t="n">
        <x:v>64</x:v>
      </x:c>
      <x:c r="K219" s="55" t="n">
        <x:v>96</x:v>
      </x:c>
      <x:c r="L219" s="55" t="n">
        <x:v>342070</x:v>
      </x:c>
      <x:c r="M219" s="56" t="n">
        <x:f>IF(AND(ISNUMBER(L219),L219&gt;0),ROUND(C219*D219*E219/4096/L219*100,1)/100,"")</x:f>
        <x:v>0.7659999999999999</x:v>
      </x:c>
      <x:c r="N219" s="57" t="n">
        <x:f>IF(OR(F219="",G219="",H219=""),"",((I219+J219)*1024)/(F219*G219*H219/4096))</x:f>
        <x:v>96</x:v>
      </x:c>
      <x:c r="O219" s="57" t="n">
        <x:f>IF(OR(F219="",G219="",H219=""),"",(F219*G219*4)/(F219*G219*H219/4096))</x:f>
        <x:v>128</x:v>
      </x:c>
      <x:c r="P219" s="56" t="n">
        <x:f>IF(AND(ISNUMBER(N219),N219&gt;0),MIN(1,128/N219),"")</x:f>
        <x:v>1</x:v>
      </x:c>
      <x:c r="Q219" s="56" t="n">
        <x:f>IF(AND(ISNUMBER(O219),O219&gt;0),MIN(1,512/O219),"")</x:f>
        <x:v>1</x:v>
      </x:c>
      <x:c r="R219" s="56" t="n">
        <x:f>IF(AND(ISNUMBER(P219),ISNUMBER(Q219)),MIN(P219,Q219),"")</x:f>
        <x:v>1</x:v>
      </x:c>
      <x:c r="S219" s="57" t="n">
        <x:f>IF(AND(ISNUMBER(M219),ISNUMBER(R219)),(M219-R219)*100,"")</x:f>
        <x:v>-23.40000000000001</x:v>
      </x:c>
      <x:c r="T219" s="54" t="str">
        <x:v>PASS</x:v>
      </x:c>
      <x:c r="U219" s="58" t="str">
        <x:v>本轮 model-main 9b3a4405（6参数含SoC）2026-09-22</x:v>
      </x:c>
    </x:row>
    <x:row r="220" ht="19" customHeight="1">
      <x:c r="A220" s="79" t="str">
        <x:v>S6</x:v>
      </x:c>
      <x:c r="B220" s="79" t="str">
        <x:v>FP16</x:v>
      </x:c>
      <x:c r="C220" s="80" t="n">
        <x:v>128</x:v>
      </x:c>
      <x:c r="D220" s="80" t="n">
        <x:v>256</x:v>
      </x:c>
      <x:c r="E220" s="80" t="n">
        <x:v>32768</x:v>
      </x:c>
      <x:c r="F220" s="80" t="n">
        <x:v>128</x:v>
      </x:c>
      <x:c r="G220" s="80" t="n">
        <x:v>256</x:v>
      </x:c>
      <x:c r="H220" s="80" t="n">
        <x:v>256</x:v>
      </x:c>
      <x:c r="I220" s="80" t="n">
        <x:v>64</x:v>
      </x:c>
      <x:c r="J220" s="80" t="n">
        <x:v>128</x:v>
      </x:c>
      <x:c r="K220" s="80" t="n">
        <x:v>192</x:v>
      </x:c>
      <x:c r="L220" s="80" t="n">
        <x:v>343079</x:v>
      </x:c>
      <x:c r="M220" s="81" t="n">
        <x:f>IF(AND(ISNUMBER(L220),L220&gt;0),ROUND(C220*D220*E220/4096/L220*100,1)/100,"")</x:f>
        <x:v>0.764</x:v>
      </x:c>
      <x:c r="N220" s="82" t="n">
        <x:f>IF(OR(F220="",G220="",H220=""),"",((I220+J220)*1024)/(F220*G220*H220/4096))</x:f>
        <x:v>96</x:v>
      </x:c>
      <x:c r="O220" s="82" t="n">
        <x:f>IF(OR(F220="",G220="",H220=""),"",(F220*G220*4)/(F220*G220*H220/4096))</x:f>
        <x:v>64</x:v>
      </x:c>
      <x:c r="P220" s="81" t="n">
        <x:f>IF(AND(ISNUMBER(N220),N220&gt;0),MIN(1,128/N220),"")</x:f>
        <x:v>1</x:v>
      </x:c>
      <x:c r="Q220" s="81" t="n">
        <x:f>IF(AND(ISNUMBER(O220),O220&gt;0),MIN(1,512/O220),"")</x:f>
        <x:v>1</x:v>
      </x:c>
      <x:c r="R220" s="81" t="n">
        <x:f>IF(AND(ISNUMBER(P220),ISNUMBER(Q220)),MIN(P220,Q220),"")</x:f>
        <x:v>1</x:v>
      </x:c>
      <x:c r="S220" s="82" t="n">
        <x:f>IF(AND(ISNUMBER(M220),ISNUMBER(R220)),(M220-R220)*100,"")</x:f>
        <x:v>-23.599999999999998</x:v>
      </x:c>
      <x:c r="T220" s="79" t="str">
        <x:v>PASS</x:v>
      </x:c>
      <x:c r="U220" s="83" t="str">
        <x:v>本轮 model-main 9b3a4405（6参数含SoC）2026-09-22</x:v>
      </x:c>
    </x:row>
    <x:row r="221" ht="19" customHeight="1">
      <x:c r="A221" s="79" t="str">
        <x:v>S6</x:v>
      </x:c>
      <x:c r="B221" s="79" t="str">
        <x:v>FP8</x:v>
      </x:c>
      <x:c r="C221" s="80" t="n">
        <x:v>128</x:v>
      </x:c>
      <x:c r="D221" s="80" t="n">
        <x:v>256</x:v>
      </x:c>
      <x:c r="E221" s="80" t="n">
        <x:v>32768</x:v>
      </x:c>
      <x:c r="F221" s="80" t="n">
        <x:v>128</x:v>
      </x:c>
      <x:c r="G221" s="80" t="n">
        <x:v>64</x:v>
      </x:c>
      <x:c r="H221" s="80" t="n">
        <x:v>256</x:v>
      </x:c>
      <x:c r="I221" s="80" t="n">
        <x:v>32</x:v>
      </x:c>
      <x:c r="J221" s="80" t="n">
        <x:v>16</x:v>
      </x:c>
      <x:c r="K221" s="80" t="n">
        <x:v>48</x:v>
      </x:c>
      <x:c r="L221" s="80" t="n">
        <x:v>511750</x:v>
      </x:c>
      <x:c r="M221" s="81" t="n">
        <x:f>IF(AND(ISNUMBER(L221),L221&gt;0),ROUND(C221*D221*E221/8192/L221*100,1)/100,"")</x:f>
        <x:v>0.256</x:v>
      </x:c>
      <x:c r="N221" s="82" t="n">
        <x:f>IF(OR(F221="",G221="",H221=""),"",((I221+J221)*1024)/(F221*G221*H221/8192))</x:f>
        <x:v>192</x:v>
      </x:c>
      <x:c r="O221" s="82" t="n">
        <x:f>IF(OR(F221="",G221="",H221=""),"",(F221*G221*4)/(F221*G221*H221/8192))</x:f>
        <x:v>128</x:v>
      </x:c>
      <x:c r="P221" s="81" t="n">
        <x:f>IF(AND(ISNUMBER(N221),N221&gt;0),MIN(1,128/N221),"")</x:f>
        <x:v>0.6666666666666666</x:v>
      </x:c>
      <x:c r="Q221" s="81" t="n">
        <x:f>IF(AND(ISNUMBER(O221),O221&gt;0),MIN(1,512/O221),"")</x:f>
        <x:v>1</x:v>
      </x:c>
      <x:c r="R221" s="81" t="n">
        <x:f>IF(AND(ISNUMBER(P221),ISNUMBER(Q221)),MIN(P221,Q221),"")</x:f>
        <x:v>0.6666666666666666</x:v>
      </x:c>
      <x:c r="S221" s="82" t="n">
        <x:f>IF(AND(ISNUMBER(M221),ISNUMBER(R221)),(M221-R221)*100,"")</x:f>
        <x:v>-41.06666666666666</x:v>
      </x:c>
      <x:c r="T221" s="79" t="str">
        <x:v>PASS</x:v>
      </x:c>
      <x:c r="U221" s="83" t="str">
        <x:v>matmul_shared_lowp（FP8）；本轮 model-main 9b3a4405（6参数含SoC）2026-09-22</x:v>
      </x:c>
    </x:row>
    <x:row r="222" ht="19" customHeight="1">
      <x:c r="A222" s="79" t="str">
        <x:v>S6</x:v>
      </x:c>
      <x:c r="B222" s="79" t="str">
        <x:v>FP8</x:v>
      </x:c>
      <x:c r="C222" s="80" t="n">
        <x:v>128</x:v>
      </x:c>
      <x:c r="D222" s="80" t="n">
        <x:v>256</x:v>
      </x:c>
      <x:c r="E222" s="80" t="n">
        <x:v>32768</x:v>
      </x:c>
      <x:c r="F222" s="80" t="n">
        <x:v>128</x:v>
      </x:c>
      <x:c r="G222" s="80" t="n">
        <x:v>64</x:v>
      </x:c>
      <x:c r="H222" s="80" t="n">
        <x:v>512</x:v>
      </x:c>
      <x:c r="I222" s="80" t="n">
        <x:v>64</x:v>
      </x:c>
      <x:c r="J222" s="80" t="n">
        <x:v>32</x:v>
      </x:c>
      <x:c r="K222" s="80" t="n">
        <x:v>96</x:v>
      </x:c>
      <x:c r="L222" s="80" t="n">
        <x:v>517124</x:v>
      </x:c>
      <x:c r="M222" s="81" t="n">
        <x:f>IF(AND(ISNUMBER(L222),L222&gt;0),ROUND(C222*D222*E222/8192/L222*100,1)/100,"")</x:f>
        <x:v>0.253</x:v>
      </x:c>
      <x:c r="N222" s="82" t="n">
        <x:f>IF(OR(F222="",G222="",H222=""),"",((I222+J222)*1024)/(F222*G222*H222/8192))</x:f>
        <x:v>192</x:v>
      </x:c>
      <x:c r="O222" s="82" t="n">
        <x:f>IF(OR(F222="",G222="",H222=""),"",(F222*G222*4)/(F222*G222*H222/8192))</x:f>
        <x:v>64</x:v>
      </x:c>
      <x:c r="P222" s="81" t="n">
        <x:f>IF(AND(ISNUMBER(N222),N222&gt;0),MIN(1,128/N222),"")</x:f>
        <x:v>0.6666666666666666</x:v>
      </x:c>
      <x:c r="Q222" s="81" t="n">
        <x:f>IF(AND(ISNUMBER(O222),O222&gt;0),MIN(1,512/O222),"")</x:f>
        <x:v>1</x:v>
      </x:c>
      <x:c r="R222" s="81" t="n">
        <x:f>IF(AND(ISNUMBER(P222),ISNUMBER(Q222)),MIN(P222,Q222),"")</x:f>
        <x:v>0.6666666666666666</x:v>
      </x:c>
      <x:c r="S222" s="82" t="n">
        <x:f>IF(AND(ISNUMBER(M222),ISNUMBER(R222)),(M222-R222)*100,"")</x:f>
        <x:v>-41.36666666666666</x:v>
      </x:c>
      <x:c r="T222" s="79" t="str">
        <x:v>PASS</x:v>
      </x:c>
      <x:c r="U222" s="83" t="str">
        <x:v>matmul_shared_lowp（FP8）；本轮 model-main 9b3a4405（6参数含SoC）2026-09-22</x:v>
      </x:c>
    </x:row>
    <x:row r="223" ht="19" customHeight="1">
      <x:c r="A223" s="79" t="str">
        <x:v>S6</x:v>
      </x:c>
      <x:c r="B223" s="79" t="str">
        <x:v>FP8</x:v>
      </x:c>
      <x:c r="C223" s="80" t="n">
        <x:v>128</x:v>
      </x:c>
      <x:c r="D223" s="80" t="n">
        <x:v>256</x:v>
      </x:c>
      <x:c r="E223" s="80" t="n">
        <x:v>32768</x:v>
      </x:c>
      <x:c r="F223" s="80" t="n">
        <x:v>128</x:v>
      </x:c>
      <x:c r="G223" s="80" t="n">
        <x:v>64</x:v>
      </x:c>
      <x:c r="H223" s="80" t="n">
        <x:v>1024</x:v>
      </x:c>
      <x:c r="I223" s="80" t="n">
        <x:v>128</x:v>
      </x:c>
      <x:c r="J223" s="80" t="n">
        <x:v>64</x:v>
      </x:c>
      <x:c r="K223" s="80" t="n">
        <x:v>192</x:v>
      </x:c>
      <x:c r="L223" s="80" t="n">
        <x:v>521495</x:v>
      </x:c>
      <x:c r="M223" s="81" t="n">
        <x:f>IF(AND(ISNUMBER(L223),L223&gt;0),ROUND(C223*D223*E223/8192/L223*100,1)/100,"")</x:f>
        <x:v>0.251</x:v>
      </x:c>
      <x:c r="N223" s="82" t="n">
        <x:f>IF(OR(F223="",G223="",H223=""),"",((I223+J223)*1024)/(F223*G223*H223/8192))</x:f>
        <x:v>192</x:v>
      </x:c>
      <x:c r="O223" s="82" t="n">
        <x:f>IF(OR(F223="",G223="",H223=""),"",(F223*G223*4)/(F223*G223*H223/8192))</x:f>
        <x:v>32</x:v>
      </x:c>
      <x:c r="P223" s="81" t="n">
        <x:f>IF(AND(ISNUMBER(N223),N223&gt;0),MIN(1,128/N223),"")</x:f>
        <x:v>0.6666666666666666</x:v>
      </x:c>
      <x:c r="Q223" s="81" t="n">
        <x:f>IF(AND(ISNUMBER(O223),O223&gt;0),MIN(1,512/O223),"")</x:f>
        <x:v>1</x:v>
      </x:c>
      <x:c r="R223" s="81" t="n">
        <x:f>IF(AND(ISNUMBER(P223),ISNUMBER(Q223)),MIN(P223,Q223),"")</x:f>
        <x:v>0.6666666666666666</x:v>
      </x:c>
      <x:c r="S223" s="82" t="n">
        <x:f>IF(AND(ISNUMBER(M223),ISNUMBER(R223)),(M223-R223)*100,"")</x:f>
        <x:v>-41.56666666666666</x:v>
      </x:c>
      <x:c r="T223" s="79" t="str">
        <x:v>PASS</x:v>
      </x:c>
      <x:c r="U223" s="83" t="str">
        <x:v>matmul_shared_lowp（FP8）；本轮 model-main 9b3a4405（6参数含SoC）2026-09-22</x:v>
      </x:c>
    </x:row>
    <x:row r="224" ht="19" customHeight="1">
      <x:c r="A224" s="79" t="str">
        <x:v>S6</x:v>
      </x:c>
      <x:c r="B224" s="79" t="str">
        <x:v>FP8</x:v>
      </x:c>
      <x:c r="C224" s="80" t="n">
        <x:v>128</x:v>
      </x:c>
      <x:c r="D224" s="80" t="n">
        <x:v>256</x:v>
      </x:c>
      <x:c r="E224" s="80" t="n">
        <x:v>32768</x:v>
      </x:c>
      <x:c r="F224" s="80" t="n">
        <x:v>128</x:v>
      </x:c>
      <x:c r="G224" s="80" t="n">
        <x:v>128</x:v>
      </x:c>
      <x:c r="H224" s="80" t="n">
        <x:v>256</x:v>
      </x:c>
      <x:c r="I224" s="80" t="n">
        <x:v>32</x:v>
      </x:c>
      <x:c r="J224" s="80" t="n">
        <x:v>32</x:v>
      </x:c>
      <x:c r="K224" s="80" t="n">
        <x:v>64</x:v>
      </x:c>
      <x:c r="L224" s="80" t="n">
        <x:v>257766</x:v>
      </x:c>
      <x:c r="M224" s="81" t="n">
        <x:f>IF(AND(ISNUMBER(L224),L224&gt;0),ROUND(C224*D224*E224/8192/L224*100,1)/100,"")</x:f>
        <x:v>0.508</x:v>
      </x:c>
      <x:c r="N224" s="82" t="n">
        <x:f>IF(OR(F224="",G224="",H224=""),"",((I224+J224)*1024)/(F224*G224*H224/8192))</x:f>
        <x:v>128</x:v>
      </x:c>
      <x:c r="O224" s="82" t="n">
        <x:f>IF(OR(F224="",G224="",H224=""),"",(F224*G224*4)/(F224*G224*H224/8192))</x:f>
        <x:v>128</x:v>
      </x:c>
      <x:c r="P224" s="81" t="n">
        <x:f>IF(AND(ISNUMBER(N224),N224&gt;0),MIN(1,128/N224),"")</x:f>
        <x:v>1</x:v>
      </x:c>
      <x:c r="Q224" s="81" t="n">
        <x:f>IF(AND(ISNUMBER(O224),O224&gt;0),MIN(1,512/O224),"")</x:f>
        <x:v>1</x:v>
      </x:c>
      <x:c r="R224" s="81" t="n">
        <x:f>IF(AND(ISNUMBER(P224),ISNUMBER(Q224)),MIN(P224,Q224),"")</x:f>
        <x:v>1</x:v>
      </x:c>
      <x:c r="S224" s="82" t="n">
        <x:f>IF(AND(ISNUMBER(M224),ISNUMBER(R224)),(M224-R224)*100,"")</x:f>
        <x:v>-49.2</x:v>
      </x:c>
      <x:c r="T224" s="79" t="str">
        <x:v>PASS</x:v>
      </x:c>
      <x:c r="U224" s="83" t="str">
        <x:v>matmul_shared_lowp（FP8）；本轮 model-main 9b3a4405（6参数含SoC）2026-09-22</x:v>
      </x:c>
    </x:row>
    <x:row r="225" ht="19" customHeight="1">
      <x:c r="A225" s="79" t="str">
        <x:v>S6</x:v>
      </x:c>
      <x:c r="B225" s="79" t="str">
        <x:v>FP8</x:v>
      </x:c>
      <x:c r="C225" s="80" t="n">
        <x:v>128</x:v>
      </x:c>
      <x:c r="D225" s="80" t="n">
        <x:v>256</x:v>
      </x:c>
      <x:c r="E225" s="80" t="n">
        <x:v>32768</x:v>
      </x:c>
      <x:c r="F225" s="80" t="n">
        <x:v>128</x:v>
      </x:c>
      <x:c r="G225" s="80" t="n">
        <x:v>128</x:v>
      </x:c>
      <x:c r="H225" s="80" t="n">
        <x:v>512</x:v>
      </x:c>
      <x:c r="I225" s="80" t="n">
        <x:v>64</x:v>
      </x:c>
      <x:c r="J225" s="80" t="n">
        <x:v>64</x:v>
      </x:c>
      <x:c r="K225" s="80" t="n">
        <x:v>128</x:v>
      </x:c>
      <x:c r="L225" s="80" t="n">
        <x:v>259906</x:v>
      </x:c>
      <x:c r="M225" s="81" t="n">
        <x:f>IF(AND(ISNUMBER(L225),L225&gt;0),ROUND(C225*D225*E225/8192/L225*100,1)/100,"")</x:f>
        <x:v>0.504</x:v>
      </x:c>
      <x:c r="N225" s="82" t="n">
        <x:f>IF(OR(F225="",G225="",H225=""),"",((I225+J225)*1024)/(F225*G225*H225/8192))</x:f>
        <x:v>128</x:v>
      </x:c>
      <x:c r="O225" s="82" t="n">
        <x:f>IF(OR(F225="",G225="",H225=""),"",(F225*G225*4)/(F225*G225*H225/8192))</x:f>
        <x:v>64</x:v>
      </x:c>
      <x:c r="P225" s="81" t="n">
        <x:f>IF(AND(ISNUMBER(N225),N225&gt;0),MIN(1,128/N225),"")</x:f>
        <x:v>1</x:v>
      </x:c>
      <x:c r="Q225" s="81" t="n">
        <x:f>IF(AND(ISNUMBER(O225),O225&gt;0),MIN(1,512/O225),"")</x:f>
        <x:v>1</x:v>
      </x:c>
      <x:c r="R225" s="81" t="n">
        <x:f>IF(AND(ISNUMBER(P225),ISNUMBER(Q225)),MIN(P225,Q225),"")</x:f>
        <x:v>1</x:v>
      </x:c>
      <x:c r="S225" s="82" t="n">
        <x:f>IF(AND(ISNUMBER(M225),ISNUMBER(R225)),(M225-R225)*100,"")</x:f>
        <x:v>-49.6</x:v>
      </x:c>
      <x:c r="T225" s="79" t="str">
        <x:v>PASS</x:v>
      </x:c>
      <x:c r="U225" s="83" t="str">
        <x:v>matmul_shared_lowp（FP8）；本轮 model-main 9b3a4405（6参数含SoC）2026-09-22</x:v>
      </x:c>
    </x:row>
    <x:row r="226" ht="19" customHeight="1">
      <x:c r="A226" s="79" t="str">
        <x:v>S6</x:v>
      </x:c>
      <x:c r="B226" s="79" t="str">
        <x:v>FP8</x:v>
      </x:c>
      <x:c r="C226" s="80" t="n">
        <x:v>128</x:v>
      </x:c>
      <x:c r="D226" s="80" t="n">
        <x:v>256</x:v>
      </x:c>
      <x:c r="E226" s="80" t="n">
        <x:v>32768</x:v>
      </x:c>
      <x:c r="F226" s="80" t="n">
        <x:v>128</x:v>
      </x:c>
      <x:c r="G226" s="80" t="n">
        <x:v>128</x:v>
      </x:c>
      <x:c r="H226" s="80" t="n">
        <x:v>1024</x:v>
      </x:c>
      <x:c r="I226" s="80" t="n">
        <x:v>128</x:v>
      </x:c>
      <x:c r="J226" s="80" t="n">
        <x:v>128</x:v>
      </x:c>
      <x:c r="K226" s="80" t="n">
        <x:v>256</x:v>
      </x:c>
      <x:c r="L226" s="80" t="n">
        <x:v>263856</x:v>
      </x:c>
      <x:c r="M226" s="81" t="n">
        <x:f>IF(AND(ISNUMBER(L226),L226&gt;0),ROUND(C226*D226*E226/8192/L226*100,1)/100,"")</x:f>
        <x:v>0.49700000000000005</x:v>
      </x:c>
      <x:c r="N226" s="82" t="n">
        <x:f>IF(OR(F226="",G226="",H226=""),"",((I226+J226)*1024)/(F226*G226*H226/8192))</x:f>
        <x:v>128</x:v>
      </x:c>
      <x:c r="O226" s="82" t="n">
        <x:f>IF(OR(F226="",G226="",H226=""),"",(F226*G226*4)/(F226*G226*H226/8192))</x:f>
        <x:v>32</x:v>
      </x:c>
      <x:c r="P226" s="81" t="n">
        <x:f>IF(AND(ISNUMBER(N226),N226&gt;0),MIN(1,128/N226),"")</x:f>
        <x:v>1</x:v>
      </x:c>
      <x:c r="Q226" s="81" t="n">
        <x:f>IF(AND(ISNUMBER(O226),O226&gt;0),MIN(1,512/O226),"")</x:f>
        <x:v>1</x:v>
      </x:c>
      <x:c r="R226" s="81" t="n">
        <x:f>IF(AND(ISNUMBER(P226),ISNUMBER(Q226)),MIN(P226,Q226),"")</x:f>
        <x:v>1</x:v>
      </x:c>
      <x:c r="S226" s="82" t="n">
        <x:f>IF(AND(ISNUMBER(M226),ISNUMBER(R226)),(M226-R226)*100,"")</x:f>
        <x:v>-50.29999999999999</x:v>
      </x:c>
      <x:c r="T226" s="79" t="str">
        <x:v>PASS</x:v>
      </x:c>
      <x:c r="U226" s="83" t="str">
        <x:v>matmul_shared_lowp（FP8）；本轮 model-main 9b3a4405（6参数含SoC）2026-09-22</x:v>
      </x:c>
    </x:row>
    <x:row r="227" ht="19" customHeight="1">
      <x:c r="A227" s="53" t="str">
        <x:v>S6</x:v>
      </x:c>
      <x:c r="B227" s="54" t="str">
        <x:v>FP8</x:v>
      </x:c>
      <x:c r="C227" s="55" t="n">
        <x:v>128</x:v>
      </x:c>
      <x:c r="D227" s="55" t="n">
        <x:v>256</x:v>
      </x:c>
      <x:c r="E227" s="55" t="n">
        <x:v>32768</x:v>
      </x:c>
      <x:c r="F227" s="55" t="n">
        <x:v>128</x:v>
      </x:c>
      <x:c r="G227" s="55" t="n">
        <x:v>256</x:v>
      </x:c>
      <x:c r="H227" s="55" t="n">
        <x:v>256</x:v>
      </x:c>
      <x:c r="I227" s="55" t="n">
        <x:v>32</x:v>
      </x:c>
      <x:c r="J227" s="55" t="n">
        <x:v>64</x:v>
      </x:c>
      <x:c r="K227" s="55" t="n">
        <x:v>96</x:v>
      </x:c>
      <x:c r="L227" s="55" t="n">
        <x:v>172803</x:v>
      </x:c>
      <x:c r="M227" s="56" t="n">
        <x:f>IF(AND(ISNUMBER(L227),L227&gt;0),ROUND(C227*D227*E227/8192/L227*100,1)/100,"")</x:f>
        <x:v>0.759</x:v>
      </x:c>
      <x:c r="N227" s="57" t="n">
        <x:f>IF(OR(F227="",G227="",H227=""),"",((I227+J227)*1024)/(F227*G227*H227/8192))</x:f>
        <x:v>96</x:v>
      </x:c>
      <x:c r="O227" s="57" t="n">
        <x:f>IF(OR(F227="",G227="",H227=""),"",(F227*G227*4)/(F227*G227*H227/8192))</x:f>
        <x:v>128</x:v>
      </x:c>
      <x:c r="P227" s="56" t="n">
        <x:f>IF(AND(ISNUMBER(N227),N227&gt;0),MIN(1,128/N227),"")</x:f>
        <x:v>1</x:v>
      </x:c>
      <x:c r="Q227" s="56" t="n">
        <x:f>IF(AND(ISNUMBER(O227),O227&gt;0),MIN(1,512/O227),"")</x:f>
        <x:v>1</x:v>
      </x:c>
      <x:c r="R227" s="56" t="n">
        <x:f>IF(AND(ISNUMBER(P227),ISNUMBER(Q227)),MIN(P227,Q227),"")</x:f>
        <x:v>1</x:v>
      </x:c>
      <x:c r="S227" s="57" t="n">
        <x:f>IF(AND(ISNUMBER(M227),ISNUMBER(R227)),(M227-R227)*100,"")</x:f>
        <x:v>-24.099999999999998</x:v>
      </x:c>
      <x:c r="T227" s="54" t="str">
        <x:v>PASS</x:v>
      </x:c>
      <x:c r="U227" s="58" t="str">
        <x:v>matmul_shared_lowp（FP8）；本轮 model-main 9b3a4405（6参数含SoC）2026-09-22</x:v>
      </x:c>
    </x:row>
    <x:row r="228" ht="19" customHeight="1">
      <x:c r="A228" s="79" t="str">
        <x:v>S6</x:v>
      </x:c>
      <x:c r="B228" s="79" t="str">
        <x:v>FP8</x:v>
      </x:c>
      <x:c r="C228" s="80" t="n">
        <x:v>128</x:v>
      </x:c>
      <x:c r="D228" s="80" t="n">
        <x:v>256</x:v>
      </x:c>
      <x:c r="E228" s="80" t="n">
        <x:v>32768</x:v>
      </x:c>
      <x:c r="F228" s="80" t="n">
        <x:v>128</x:v>
      </x:c>
      <x:c r="G228" s="80" t="n">
        <x:v>256</x:v>
      </x:c>
      <x:c r="H228" s="80" t="n">
        <x:v>512</x:v>
      </x:c>
      <x:c r="I228" s="80" t="n">
        <x:v>64</x:v>
      </x:c>
      <x:c r="J228" s="80" t="n">
        <x:v>128</x:v>
      </x:c>
      <x:c r="K228" s="80" t="n">
        <x:v>192</x:v>
      </x:c>
      <x:c r="L228" s="80" t="n">
        <x:v>173977</x:v>
      </x:c>
      <x:c r="M228" s="81" t="n">
        <x:f>IF(AND(ISNUMBER(L228),L228&gt;0),ROUND(C228*D228*E228/8192/L228*100,1)/100,"")</x:f>
        <x:v>0.753</x:v>
      </x:c>
      <x:c r="N228" s="82" t="n">
        <x:f>IF(OR(F228="",G228="",H228=""),"",((I228+J228)*1024)/(F228*G228*H228/8192))</x:f>
        <x:v>96</x:v>
      </x:c>
      <x:c r="O228" s="82" t="n">
        <x:f>IF(OR(F228="",G228="",H228=""),"",(F228*G228*4)/(F228*G228*H228/8192))</x:f>
        <x:v>64</x:v>
      </x:c>
      <x:c r="P228" s="81" t="n">
        <x:f>IF(AND(ISNUMBER(N228),N228&gt;0),MIN(1,128/N228),"")</x:f>
        <x:v>1</x:v>
      </x:c>
      <x:c r="Q228" s="81" t="n">
        <x:f>IF(AND(ISNUMBER(O228),O228&gt;0),MIN(1,512/O228),"")</x:f>
        <x:v>1</x:v>
      </x:c>
      <x:c r="R228" s="81" t="n">
        <x:f>IF(AND(ISNUMBER(P228),ISNUMBER(Q228)),MIN(P228,Q228),"")</x:f>
        <x:v>1</x:v>
      </x:c>
      <x:c r="S228" s="82" t="n">
        <x:f>IF(AND(ISNUMBER(M228),ISNUMBER(R228)),(M228-R228)*100,"")</x:f>
        <x:v>-24.7</x:v>
      </x:c>
      <x:c r="T228" s="79" t="str">
        <x:v>PASS</x:v>
      </x:c>
      <x:c r="U228" s="83" t="str">
        <x:v>matmul_shared_lowp（FP8）；本轮 model-main 9b3a4405（6参数含SoC）2026-09-22</x:v>
      </x:c>
    </x:row>
    <x:row r="229" ht="19" customHeight="1">
      <x:c r="A229" s="79" t="str">
        <x:v>S6</x:v>
      </x:c>
      <x:c r="B229" s="79" t="str">
        <x:v>MXFP8</x:v>
      </x:c>
      <x:c r="C229" s="80" t="n">
        <x:v>128</x:v>
      </x:c>
      <x:c r="D229" s="80" t="n">
        <x:v>256</x:v>
      </x:c>
      <x:c r="E229" s="80" t="n">
        <x:v>32768</x:v>
      </x:c>
      <x:c r="F229" s="80" t="n">
        <x:v>128</x:v>
      </x:c>
      <x:c r="G229" s="80" t="n">
        <x:v>64</x:v>
      </x:c>
      <x:c r="H229" s="80" t="n">
        <x:v>256</x:v>
      </x:c>
      <x:c r="I229" s="80" t="n">
        <x:v>32</x:v>
      </x:c>
      <x:c r="J229" s="80" t="n">
        <x:v>16</x:v>
      </x:c>
      <x:c r="K229" s="80" t="n">
        <x:v>48</x:v>
      </x:c>
      <x:c r="L229" s="80" t="str">
        <x:v>—</x:v>
      </x:c>
      <x:c r="M229" s="81" t="str">
        <x:f>IF(AND(ISNUMBER(L229),L229&gt;0),ROUND(C229*D229*E229/8192/L229*100,1)/100,"")</x:f>
      </x:c>
      <x:c r="N229" s="82" t="n">
        <x:f>IF(OR(F229="",G229="",H229=""),"",((I229+J229)*1024)/(F229*G229*H229/8192))</x:f>
        <x:v>192</x:v>
      </x:c>
      <x:c r="O229" s="82" t="n">
        <x:f>IF(OR(F229="",G229="",H229=""),"",(F229*G229*4)/(F229*G229*H229/8192))</x:f>
        <x:v>128</x:v>
      </x:c>
      <x:c r="P229" s="81" t="n">
        <x:f>IF(AND(ISNUMBER(N229),N229&gt;0),MIN(1,128/N229),"")</x:f>
        <x:v>0.6666666666666666</x:v>
      </x:c>
      <x:c r="Q229" s="81" t="n">
        <x:f>IF(AND(ISNUMBER(O229),O229&gt;0),MIN(1,512/O229),"")</x:f>
        <x:v>1</x:v>
      </x:c>
      <x:c r="R229" s="81" t="n">
        <x:f>IF(AND(ISNUMBER(P229),ISNUMBER(Q229)),MIN(P229,Q229),"")</x:f>
        <x:v>0.6666666666666666</x:v>
      </x:c>
      <x:c r="S229" s="82" t="str">
        <x:f>IF(AND(ISNUMBER(M229),ISNUMBER(R229)),(M229-R229)*100,"")</x:f>
      </x:c>
      <x:c r="T229" s="79" t="str">
        <x:v>ASSERT_FAIL</x:v>
      </x:c>
      <x:c r="U229" s="83" t="str">
        <x:v>gfsim 断言：Calculate error（S6+MX 特有）；本轮 model-main 9b3a4405（6参数含SoC）2026-09-22</x:v>
      </x:c>
    </x:row>
    <x:row r="230" ht="19" customHeight="1">
      <x:c r="A230" s="79" t="str">
        <x:v>S6</x:v>
      </x:c>
      <x:c r="B230" s="79" t="str">
        <x:v>MXFP8</x:v>
      </x:c>
      <x:c r="C230" s="80" t="n">
        <x:v>128</x:v>
      </x:c>
      <x:c r="D230" s="80" t="n">
        <x:v>256</x:v>
      </x:c>
      <x:c r="E230" s="80" t="n">
        <x:v>32768</x:v>
      </x:c>
      <x:c r="F230" s="80" t="n">
        <x:v>128</x:v>
      </x:c>
      <x:c r="G230" s="80" t="n">
        <x:v>64</x:v>
      </x:c>
      <x:c r="H230" s="80" t="n">
        <x:v>512</x:v>
      </x:c>
      <x:c r="I230" s="80" t="n">
        <x:v>64</x:v>
      </x:c>
      <x:c r="J230" s="80" t="n">
        <x:v>32</x:v>
      </x:c>
      <x:c r="K230" s="80" t="n">
        <x:v>96</x:v>
      </x:c>
      <x:c r="L230" s="80" t="str">
        <x:v>—</x:v>
      </x:c>
      <x:c r="M230" s="81" t="str">
        <x:f>IF(AND(ISNUMBER(L230),L230&gt;0),ROUND(C230*D230*E230/8192/L230*100,1)/100,"")</x:f>
      </x:c>
      <x:c r="N230" s="82" t="n">
        <x:f>IF(OR(F230="",G230="",H230=""),"",((I230+J230)*1024)/(F230*G230*H230/8192))</x:f>
        <x:v>192</x:v>
      </x:c>
      <x:c r="O230" s="82" t="n">
        <x:f>IF(OR(F230="",G230="",H230=""),"",(F230*G230*4)/(F230*G230*H230/8192))</x:f>
        <x:v>64</x:v>
      </x:c>
      <x:c r="P230" s="81" t="n">
        <x:f>IF(AND(ISNUMBER(N230),N230&gt;0),MIN(1,128/N230),"")</x:f>
        <x:v>0.6666666666666666</x:v>
      </x:c>
      <x:c r="Q230" s="81" t="n">
        <x:f>IF(AND(ISNUMBER(O230),O230&gt;0),MIN(1,512/O230),"")</x:f>
        <x:v>1</x:v>
      </x:c>
      <x:c r="R230" s="81" t="n">
        <x:f>IF(AND(ISNUMBER(P230),ISNUMBER(Q230)),MIN(P230,Q230),"")</x:f>
        <x:v>0.6666666666666666</x:v>
      </x:c>
      <x:c r="S230" s="82" t="str">
        <x:f>IF(AND(ISNUMBER(M230),ISNUMBER(R230)),(M230-R230)*100,"")</x:f>
      </x:c>
      <x:c r="T230" s="79" t="str">
        <x:v>ASSERT_FAIL</x:v>
      </x:c>
      <x:c r="U230" s="83" t="str">
        <x:v>gfsim 断言：Calculate error（S6+MX 特有）；本轮 model-main 9b3a4405（6参数含SoC）2026-09-22</x:v>
      </x:c>
    </x:row>
    <x:row r="231" ht="19" customHeight="1">
      <x:c r="A231" s="79" t="str">
        <x:v>S6</x:v>
      </x:c>
      <x:c r="B231" s="79" t="str">
        <x:v>MXFP8</x:v>
      </x:c>
      <x:c r="C231" s="80" t="n">
        <x:v>128</x:v>
      </x:c>
      <x:c r="D231" s="80" t="n">
        <x:v>256</x:v>
      </x:c>
      <x:c r="E231" s="80" t="n">
        <x:v>32768</x:v>
      </x:c>
      <x:c r="F231" s="80" t="n">
        <x:v>128</x:v>
      </x:c>
      <x:c r="G231" s="80" t="n">
        <x:v>64</x:v>
      </x:c>
      <x:c r="H231" s="80" t="n">
        <x:v>1024</x:v>
      </x:c>
      <x:c r="I231" s="80" t="n">
        <x:v>132</x:v>
      </x:c>
      <x:c r="J231" s="80" t="n">
        <x:v>66</x:v>
      </x:c>
      <x:c r="K231" s="80" t="n">
        <x:v>198</x:v>
      </x:c>
      <x:c r="L231" s="80" t="str">
        <x:v>—</x:v>
      </x:c>
      <x:c r="M231" s="81" t="str">
        <x:f>IF(AND(ISNUMBER(L231),L231&gt;0),ROUND(C231*D231*E231/8192/L231*100,1)/100,"")</x:f>
      </x:c>
      <x:c r="N231" s="82" t="n">
        <x:f>IF(OR(F231="",G231="",H231=""),"",((I231+J231)*1024)/(F231*G231*H231/8192))</x:f>
        <x:v>198</x:v>
      </x:c>
      <x:c r="O231" s="82" t="n">
        <x:f>IF(OR(F231="",G231="",H231=""),"",(F231*G231*4)/(F231*G231*H231/8192))</x:f>
        <x:v>32</x:v>
      </x:c>
      <x:c r="P231" s="81" t="n">
        <x:f>IF(AND(ISNUMBER(N231),N231&gt;0),MIN(1,128/N231),"")</x:f>
        <x:v>0.6464646464646465</x:v>
      </x:c>
      <x:c r="Q231" s="81" t="n">
        <x:f>IF(AND(ISNUMBER(O231),O231&gt;0),MIN(1,512/O231),"")</x:f>
        <x:v>1</x:v>
      </x:c>
      <x:c r="R231" s="81" t="n">
        <x:f>IF(AND(ISNUMBER(P231),ISNUMBER(Q231)),MIN(P231,Q231),"")</x:f>
        <x:v>0.6464646464646465</x:v>
      </x:c>
      <x:c r="S231" s="82" t="str">
        <x:f>IF(AND(ISNUMBER(M231),ISNUMBER(R231)),(M231-R231)*100,"")</x:f>
      </x:c>
      <x:c r="T231" s="79" t="str">
        <x:v>ASSERT_FAIL</x:v>
      </x:c>
      <x:c r="U231" s="83" t="str">
        <x:v>gfsim 断言：Calculate error（S6+MX 特有）；本轮 model-main 9b3a4405（6参数含SoC）2026-09-22</x:v>
      </x:c>
    </x:row>
    <x:row r="232" ht="19" customHeight="1">
      <x:c r="A232" s="79" t="str">
        <x:v>S6</x:v>
      </x:c>
      <x:c r="B232" s="79" t="str">
        <x:v>MXFP8</x:v>
      </x:c>
      <x:c r="C232" s="80" t="n">
        <x:v>128</x:v>
      </x:c>
      <x:c r="D232" s="80" t="n">
        <x:v>256</x:v>
      </x:c>
      <x:c r="E232" s="80" t="n">
        <x:v>32768</x:v>
      </x:c>
      <x:c r="F232" s="80" t="n">
        <x:v>128</x:v>
      </x:c>
      <x:c r="G232" s="80" t="n">
        <x:v>128</x:v>
      </x:c>
      <x:c r="H232" s="80" t="n">
        <x:v>256</x:v>
      </x:c>
      <x:c r="I232" s="80" t="n">
        <x:v>32</x:v>
      </x:c>
      <x:c r="J232" s="80" t="n">
        <x:v>32</x:v>
      </x:c>
      <x:c r="K232" s="80" t="n">
        <x:v>64</x:v>
      </x:c>
      <x:c r="L232" s="80" t="str">
        <x:v>—</x:v>
      </x:c>
      <x:c r="M232" s="81" t="str">
        <x:f>IF(AND(ISNUMBER(L232),L232&gt;0),ROUND(C232*D232*E232/8192/L232*100,1)/100,"")</x:f>
      </x:c>
      <x:c r="N232" s="82" t="n">
        <x:f>IF(OR(F232="",G232="",H232=""),"",((I232+J232)*1024)/(F232*G232*H232/8192))</x:f>
        <x:v>128</x:v>
      </x:c>
      <x:c r="O232" s="82" t="n">
        <x:f>IF(OR(F232="",G232="",H232=""),"",(F232*G232*4)/(F232*G232*H232/8192))</x:f>
        <x:v>128</x:v>
      </x:c>
      <x:c r="P232" s="81" t="n">
        <x:f>IF(AND(ISNUMBER(N232),N232&gt;0),MIN(1,128/N232),"")</x:f>
        <x:v>1</x:v>
      </x:c>
      <x:c r="Q232" s="81" t="n">
        <x:f>IF(AND(ISNUMBER(O232),O232&gt;0),MIN(1,512/O232),"")</x:f>
        <x:v>1</x:v>
      </x:c>
      <x:c r="R232" s="81" t="n">
        <x:f>IF(AND(ISNUMBER(P232),ISNUMBER(Q232)),MIN(P232,Q232),"")</x:f>
        <x:v>1</x:v>
      </x:c>
      <x:c r="S232" s="82" t="str">
        <x:f>IF(AND(ISNUMBER(M232),ISNUMBER(R232)),(M232-R232)*100,"")</x:f>
      </x:c>
      <x:c r="T232" s="79" t="str">
        <x:v>ASSERT_FAIL</x:v>
      </x:c>
      <x:c r="U232" s="83" t="str">
        <x:v>gfsim 断言：Calculate error（S6+MX 特有）；本轮 model-main 9b3a4405（6参数含SoC）2026-09-22</x:v>
      </x:c>
    </x:row>
    <x:row r="233" ht="19" customHeight="1">
      <x:c r="A233" s="79" t="str">
        <x:v>S6</x:v>
      </x:c>
      <x:c r="B233" s="79" t="str">
        <x:v>MXFP8</x:v>
      </x:c>
      <x:c r="C233" s="80" t="n">
        <x:v>128</x:v>
      </x:c>
      <x:c r="D233" s="80" t="n">
        <x:v>256</x:v>
      </x:c>
      <x:c r="E233" s="80" t="n">
        <x:v>32768</x:v>
      </x:c>
      <x:c r="F233" s="80" t="n">
        <x:v>128</x:v>
      </x:c>
      <x:c r="G233" s="80" t="n">
        <x:v>128</x:v>
      </x:c>
      <x:c r="H233" s="80" t="n">
        <x:v>512</x:v>
      </x:c>
      <x:c r="I233" s="80" t="n">
        <x:v>64</x:v>
      </x:c>
      <x:c r="J233" s="80" t="n">
        <x:v>64</x:v>
      </x:c>
      <x:c r="K233" s="80" t="n">
        <x:v>128</x:v>
      </x:c>
      <x:c r="L233" s="80" t="str">
        <x:v>—</x:v>
      </x:c>
      <x:c r="M233" s="81" t="str">
        <x:f>IF(AND(ISNUMBER(L233),L233&gt;0),ROUND(C233*D233*E233/8192/L233*100,1)/100,"")</x:f>
      </x:c>
      <x:c r="N233" s="82" t="n">
        <x:f>IF(OR(F233="",G233="",H233=""),"",((I233+J233)*1024)/(F233*G233*H233/8192))</x:f>
        <x:v>128</x:v>
      </x:c>
      <x:c r="O233" s="82" t="n">
        <x:f>IF(OR(F233="",G233="",H233=""),"",(F233*G233*4)/(F233*G233*H233/8192))</x:f>
        <x:v>64</x:v>
      </x:c>
      <x:c r="P233" s="81" t="n">
        <x:f>IF(AND(ISNUMBER(N233),N233&gt;0),MIN(1,128/N233),"")</x:f>
        <x:v>1</x:v>
      </x:c>
      <x:c r="Q233" s="81" t="n">
        <x:f>IF(AND(ISNUMBER(O233),O233&gt;0),MIN(1,512/O233),"")</x:f>
        <x:v>1</x:v>
      </x:c>
      <x:c r="R233" s="81" t="n">
        <x:f>IF(AND(ISNUMBER(P233),ISNUMBER(Q233)),MIN(P233,Q233),"")</x:f>
        <x:v>1</x:v>
      </x:c>
      <x:c r="S233" s="82" t="str">
        <x:f>IF(AND(ISNUMBER(M233),ISNUMBER(R233)),(M233-R233)*100,"")</x:f>
      </x:c>
      <x:c r="T233" s="79" t="str">
        <x:v>ASSERT_FAIL</x:v>
      </x:c>
      <x:c r="U233" s="83" t="str">
        <x:v>gfsim 断言：Calculate error（S6+MX 特有）；本轮 model-main 9b3a4405（6参数含SoC）2026-09-22</x:v>
      </x:c>
    </x:row>
    <x:row r="234" ht="19" customHeight="1">
      <x:c r="A234" s="79" t="str">
        <x:v>S6</x:v>
      </x:c>
      <x:c r="B234" s="79" t="str">
        <x:v>MXFP8</x:v>
      </x:c>
      <x:c r="C234" s="80" t="n">
        <x:v>128</x:v>
      </x:c>
      <x:c r="D234" s="80" t="n">
        <x:v>256</x:v>
      </x:c>
      <x:c r="E234" s="80" t="n">
        <x:v>32768</x:v>
      </x:c>
      <x:c r="F234" s="80" t="n">
        <x:v>128</x:v>
      </x:c>
      <x:c r="G234" s="80" t="n">
        <x:v>256</x:v>
      </x:c>
      <x:c r="H234" s="80" t="n">
        <x:v>256</x:v>
      </x:c>
      <x:c r="I234" s="80" t="n">
        <x:v>32</x:v>
      </x:c>
      <x:c r="J234" s="80" t="n">
        <x:v>64</x:v>
      </x:c>
      <x:c r="K234" s="80" t="n">
        <x:v>96</x:v>
      </x:c>
      <x:c r="L234" s="80" t="str">
        <x:v>—</x:v>
      </x:c>
      <x:c r="M234" s="81" t="str">
        <x:f>IF(AND(ISNUMBER(L234),L234&gt;0),ROUND(C234*D234*E234/8192/L234*100,1)/100,"")</x:f>
      </x:c>
      <x:c r="N234" s="82" t="n">
        <x:f>IF(OR(F234="",G234="",H234=""),"",((I234+J234)*1024)/(F234*G234*H234/8192))</x:f>
        <x:v>96</x:v>
      </x:c>
      <x:c r="O234" s="82" t="n">
        <x:f>IF(OR(F234="",G234="",H234=""),"",(F234*G234*4)/(F234*G234*H234/8192))</x:f>
        <x:v>128</x:v>
      </x:c>
      <x:c r="P234" s="81" t="n">
        <x:f>IF(AND(ISNUMBER(N234),N234&gt;0),MIN(1,128/N234),"")</x:f>
        <x:v>1</x:v>
      </x:c>
      <x:c r="Q234" s="81" t="n">
        <x:f>IF(AND(ISNUMBER(O234),O234&gt;0),MIN(1,512/O234),"")</x:f>
        <x:v>1</x:v>
      </x:c>
      <x:c r="R234" s="81" t="n">
        <x:f>IF(AND(ISNUMBER(P234),ISNUMBER(Q234)),MIN(P234,Q234),"")</x:f>
        <x:v>1</x:v>
      </x:c>
      <x:c r="S234" s="82" t="str">
        <x:f>IF(AND(ISNUMBER(M234),ISNUMBER(R234)),(M234-R234)*100,"")</x:f>
      </x:c>
      <x:c r="T234" s="79" t="str">
        <x:v>ASSERT_FAIL</x:v>
      </x:c>
      <x:c r="U234" s="83" t="str">
        <x:v>gfsim 断言：Calculate error（S6+MX 特有）；本轮 model-main 9b3a4405（6参数含SoC）2026-09-22</x:v>
      </x:c>
    </x:row>
    <x:row r="235" ht="19" customHeight="1">
      <x:c r="A235" s="79" t="str">
        <x:v>S6</x:v>
      </x:c>
      <x:c r="B235" s="79" t="str">
        <x:v>MXFP8</x:v>
      </x:c>
      <x:c r="C235" s="80" t="n">
        <x:v>128</x:v>
      </x:c>
      <x:c r="D235" s="80" t="n">
        <x:v>256</x:v>
      </x:c>
      <x:c r="E235" s="80" t="n">
        <x:v>32768</x:v>
      </x:c>
      <x:c r="F235" s="80" t="n">
        <x:v>128</x:v>
      </x:c>
      <x:c r="G235" s="80" t="n">
        <x:v>256</x:v>
      </x:c>
      <x:c r="H235" s="80" t="n">
        <x:v>512</x:v>
      </x:c>
      <x:c r="I235" s="80" t="n">
        <x:v>64</x:v>
      </x:c>
      <x:c r="J235" s="80" t="n">
        <x:v>128</x:v>
      </x:c>
      <x:c r="K235" s="80" t="n">
        <x:v>192</x:v>
      </x:c>
      <x:c r="L235" s="80" t="str">
        <x:v>—</x:v>
      </x:c>
      <x:c r="M235" s="81" t="str">
        <x:f>IF(AND(ISNUMBER(L235),L235&gt;0),ROUND(C235*D235*E235/8192/L235*100,1)/100,"")</x:f>
      </x:c>
      <x:c r="N235" s="82" t="n">
        <x:f>IF(OR(F235="",G235="",H235=""),"",((I235+J235)*1024)/(F235*G235*H235/8192))</x:f>
        <x:v>96</x:v>
      </x:c>
      <x:c r="O235" s="82" t="n">
        <x:f>IF(OR(F235="",G235="",H235=""),"",(F235*G235*4)/(F235*G235*H235/8192))</x:f>
        <x:v>64</x:v>
      </x:c>
      <x:c r="P235" s="81" t="n">
        <x:f>IF(AND(ISNUMBER(N235),N235&gt;0),MIN(1,128/N235),"")</x:f>
        <x:v>1</x:v>
      </x:c>
      <x:c r="Q235" s="81" t="n">
        <x:f>IF(AND(ISNUMBER(O235),O235&gt;0),MIN(1,512/O235),"")</x:f>
        <x:v>1</x:v>
      </x:c>
      <x:c r="R235" s="81" t="n">
        <x:f>IF(AND(ISNUMBER(P235),ISNUMBER(Q235)),MIN(P235,Q235),"")</x:f>
        <x:v>1</x:v>
      </x:c>
      <x:c r="S235" s="82" t="str">
        <x:f>IF(AND(ISNUMBER(M235),ISNUMBER(R235)),(M235-R235)*100,"")</x:f>
      </x:c>
      <x:c r="T235" s="79" t="str">
        <x:v>ASSERT_FAIL</x:v>
      </x:c>
      <x:c r="U235" s="83" t="str">
        <x:v>gfsim 断言：Calculate error（S6+MX 特有）；本轮 model-main 9b3a4405（6参数含SoC）2026-09-22</x:v>
      </x:c>
    </x:row>
    <x:row r="236" ht="19" customHeight="1">
      <x:c r="A236" s="79" t="str">
        <x:v>S6</x:v>
      </x:c>
      <x:c r="B236" s="79" t="str">
        <x:v>MXFP4</x:v>
      </x:c>
      <x:c r="C236" s="80" t="n">
        <x:v>128</x:v>
      </x:c>
      <x:c r="D236" s="80" t="n">
        <x:v>256</x:v>
      </x:c>
      <x:c r="E236" s="80" t="n">
        <x:v>32768</x:v>
      </x:c>
      <x:c r="F236" s="80" t="n">
        <x:v>128</x:v>
      </x:c>
      <x:c r="G236" s="80" t="n">
        <x:v>64</x:v>
      </x:c>
      <x:c r="H236" s="80" t="n">
        <x:v>256</x:v>
      </x:c>
      <x:c r="I236" s="80" t="n">
        <x:v>32</x:v>
      </x:c>
      <x:c r="J236" s="80" t="n">
        <x:v>16</x:v>
      </x:c>
      <x:c r="K236" s="80" t="n">
        <x:v>48</x:v>
      </x:c>
      <x:c r="L236" s="80" t="str">
        <x:v>—</x:v>
      </x:c>
      <x:c r="M236" s="81" t="str">
        <x:f>IF(AND(ISNUMBER(L236),L236&gt;0),ROUND(C236*D236*E236/16384/L236*100,1)/100,"")</x:f>
      </x:c>
      <x:c r="N236" s="82" t="n">
        <x:f>IF(OR(F236="",G236="",H236=""),"",((I236+J236)*1024)/(F236*G236*H236/16384))</x:f>
        <x:v>384</x:v>
      </x:c>
      <x:c r="O236" s="82" t="n">
        <x:f>IF(OR(F236="",G236="",H236=""),"",(F236*G236*4)/(F236*G236*H236/16384))</x:f>
        <x:v>256</x:v>
      </x:c>
      <x:c r="P236" s="81" t="n">
        <x:f>IF(AND(ISNUMBER(N236),N236&gt;0),MIN(1,128/N236),"")</x:f>
        <x:v>0.3333333333333333</x:v>
      </x:c>
      <x:c r="Q236" s="81" t="n">
        <x:f>IF(AND(ISNUMBER(O236),O236&gt;0),MIN(1,512/O236),"")</x:f>
        <x:v>1</x:v>
      </x:c>
      <x:c r="R236" s="81" t="n">
        <x:f>IF(AND(ISNUMBER(P236),ISNUMBER(Q236)),MIN(P236,Q236),"")</x:f>
        <x:v>0.3333333333333333</x:v>
      </x:c>
      <x:c r="S236" s="82" t="str">
        <x:f>IF(AND(ISNUMBER(M236),ISNUMBER(R236)),(M236-R236)*100,"")</x:f>
      </x:c>
      <x:c r="T236" s="79" t="str">
        <x:v>ASSERT_FAIL</x:v>
      </x:c>
      <x:c r="U236" s="83" t="str">
        <x:v>gfsim 断言：Calculate error（S6+MX 特有）；本轮 model-main 9b3a4405（6参数含SoC）2026-09-22</x:v>
      </x:c>
    </x:row>
    <x:row r="237" ht="19" customHeight="1">
      <x:c r="A237" s="79" t="str">
        <x:v>S6</x:v>
      </x:c>
      <x:c r="B237" s="79" t="str">
        <x:v>MXFP4</x:v>
      </x:c>
      <x:c r="C237" s="80" t="n">
        <x:v>128</x:v>
      </x:c>
      <x:c r="D237" s="80" t="n">
        <x:v>256</x:v>
      </x:c>
      <x:c r="E237" s="80" t="n">
        <x:v>32768</x:v>
      </x:c>
      <x:c r="F237" s="80" t="n">
        <x:v>128</x:v>
      </x:c>
      <x:c r="G237" s="80" t="n">
        <x:v>64</x:v>
      </x:c>
      <x:c r="H237" s="80" t="n">
        <x:v>512</x:v>
      </x:c>
      <x:c r="I237" s="80" t="n">
        <x:v>64</x:v>
      </x:c>
      <x:c r="J237" s="80" t="n">
        <x:v>32</x:v>
      </x:c>
      <x:c r="K237" s="80" t="n">
        <x:v>96</x:v>
      </x:c>
      <x:c r="L237" s="80" t="str">
        <x:v>—</x:v>
      </x:c>
      <x:c r="M237" s="81" t="str">
        <x:f>IF(AND(ISNUMBER(L237),L237&gt;0),ROUND(C237*D237*E237/16384/L237*100,1)/100,"")</x:f>
      </x:c>
      <x:c r="N237" s="82" t="n">
        <x:f>IF(OR(F237="",G237="",H237=""),"",((I237+J237)*1024)/(F237*G237*H237/16384))</x:f>
        <x:v>384</x:v>
      </x:c>
      <x:c r="O237" s="82" t="n">
        <x:f>IF(OR(F237="",G237="",H237=""),"",(F237*G237*4)/(F237*G237*H237/16384))</x:f>
        <x:v>128</x:v>
      </x:c>
      <x:c r="P237" s="81" t="n">
        <x:f>IF(AND(ISNUMBER(N237),N237&gt;0),MIN(1,128/N237),"")</x:f>
        <x:v>0.3333333333333333</x:v>
      </x:c>
      <x:c r="Q237" s="81" t="n">
        <x:f>IF(AND(ISNUMBER(O237),O237&gt;0),MIN(1,512/O237),"")</x:f>
        <x:v>1</x:v>
      </x:c>
      <x:c r="R237" s="81" t="n">
        <x:f>IF(AND(ISNUMBER(P237),ISNUMBER(Q237)),MIN(P237,Q237),"")</x:f>
        <x:v>0.3333333333333333</x:v>
      </x:c>
      <x:c r="S237" s="82" t="str">
        <x:f>IF(AND(ISNUMBER(M237),ISNUMBER(R237)),(M237-R237)*100,"")</x:f>
      </x:c>
      <x:c r="T237" s="79" t="str">
        <x:v>ASSERT_FAIL</x:v>
      </x:c>
      <x:c r="U237" s="83" t="str">
        <x:v>gfsim 断言：Calculate error（S6+MX 特有）；本轮 model-main 9b3a4405（6参数含SoC）2026-09-22</x:v>
      </x:c>
    </x:row>
    <x:row r="238" ht="19" customHeight="1">
      <x:c r="A238" s="79" t="str">
        <x:v>S6</x:v>
      </x:c>
      <x:c r="B238" s="79" t="str">
        <x:v>MXFP4</x:v>
      </x:c>
      <x:c r="C238" s="80" t="n">
        <x:v>128</x:v>
      </x:c>
      <x:c r="D238" s="80" t="n">
        <x:v>256</x:v>
      </x:c>
      <x:c r="E238" s="80" t="n">
        <x:v>32768</x:v>
      </x:c>
      <x:c r="F238" s="80" t="n">
        <x:v>128</x:v>
      </x:c>
      <x:c r="G238" s="80" t="n">
        <x:v>64</x:v>
      </x:c>
      <x:c r="H238" s="80" t="n">
        <x:v>1024</x:v>
      </x:c>
      <x:c r="I238" s="80" t="n">
        <x:v>132</x:v>
      </x:c>
      <x:c r="J238" s="80" t="n">
        <x:v>66</x:v>
      </x:c>
      <x:c r="K238" s="80" t="n">
        <x:v>198</x:v>
      </x:c>
      <x:c r="L238" s="80" t="str">
        <x:v>—</x:v>
      </x:c>
      <x:c r="M238" s="81" t="str">
        <x:f>IF(AND(ISNUMBER(L238),L238&gt;0),ROUND(C238*D238*E238/16384/L238*100,1)/100,"")</x:f>
      </x:c>
      <x:c r="N238" s="82" t="n">
        <x:f>IF(OR(F238="",G238="",H238=""),"",((I238+J238)*1024)/(F238*G238*H238/16384))</x:f>
        <x:v>396</x:v>
      </x:c>
      <x:c r="O238" s="82" t="n">
        <x:f>IF(OR(F238="",G238="",H238=""),"",(F238*G238*4)/(F238*G238*H238/16384))</x:f>
        <x:v>64</x:v>
      </x:c>
      <x:c r="P238" s="81" t="n">
        <x:f>IF(AND(ISNUMBER(N238),N238&gt;0),MIN(1,128/N238),"")</x:f>
        <x:v>0.32323232323232326</x:v>
      </x:c>
      <x:c r="Q238" s="81" t="n">
        <x:f>IF(AND(ISNUMBER(O238),O238&gt;0),MIN(1,512/O238),"")</x:f>
        <x:v>1</x:v>
      </x:c>
      <x:c r="R238" s="81" t="n">
        <x:f>IF(AND(ISNUMBER(P238),ISNUMBER(Q238)),MIN(P238,Q238),"")</x:f>
        <x:v>0.32323232323232326</x:v>
      </x:c>
      <x:c r="S238" s="82" t="str">
        <x:f>IF(AND(ISNUMBER(M238),ISNUMBER(R238)),(M238-R238)*100,"")</x:f>
      </x:c>
      <x:c r="T238" s="79" t="str">
        <x:v>ASSERT_FAIL</x:v>
      </x:c>
      <x:c r="U238" s="83" t="str">
        <x:v>gfsim 断言：Calculate error（S6+MX 特有）；本轮 model-main 9b3a4405（6参数含SoC）2026-09-22</x:v>
      </x:c>
    </x:row>
    <x:row r="239" ht="19" customHeight="1">
      <x:c r="A239" s="79" t="str">
        <x:v>S6</x:v>
      </x:c>
      <x:c r="B239" s="79" t="str">
        <x:v>MXFP4</x:v>
      </x:c>
      <x:c r="C239" s="80" t="n">
        <x:v>128</x:v>
      </x:c>
      <x:c r="D239" s="80" t="n">
        <x:v>256</x:v>
      </x:c>
      <x:c r="E239" s="80" t="n">
        <x:v>32768</x:v>
      </x:c>
      <x:c r="F239" s="80" t="n">
        <x:v>128</x:v>
      </x:c>
      <x:c r="G239" s="80" t="n">
        <x:v>128</x:v>
      </x:c>
      <x:c r="H239" s="80" t="n">
        <x:v>256</x:v>
      </x:c>
      <x:c r="I239" s="80" t="n">
        <x:v>32</x:v>
      </x:c>
      <x:c r="J239" s="80" t="n">
        <x:v>32</x:v>
      </x:c>
      <x:c r="K239" s="80" t="n">
        <x:v>64</x:v>
      </x:c>
      <x:c r="L239" s="80" t="str">
        <x:v>—</x:v>
      </x:c>
      <x:c r="M239" s="81" t="str">
        <x:f>IF(AND(ISNUMBER(L239),L239&gt;0),ROUND(C239*D239*E239/16384/L239*100,1)/100,"")</x:f>
      </x:c>
      <x:c r="N239" s="82" t="n">
        <x:f>IF(OR(F239="",G239="",H239=""),"",((I239+J239)*1024)/(F239*G239*H239/16384))</x:f>
        <x:v>256</x:v>
      </x:c>
      <x:c r="O239" s="82" t="n">
        <x:f>IF(OR(F239="",G239="",H239=""),"",(F239*G239*4)/(F239*G239*H239/16384))</x:f>
        <x:v>256</x:v>
      </x:c>
      <x:c r="P239" s="81" t="n">
        <x:f>IF(AND(ISNUMBER(N239),N239&gt;0),MIN(1,128/N239),"")</x:f>
        <x:v>0.5</x:v>
      </x:c>
      <x:c r="Q239" s="81" t="n">
        <x:f>IF(AND(ISNUMBER(O239),O239&gt;0),MIN(1,512/O239),"")</x:f>
        <x:v>1</x:v>
      </x:c>
      <x:c r="R239" s="81" t="n">
        <x:f>IF(AND(ISNUMBER(P239),ISNUMBER(Q239)),MIN(P239,Q239),"")</x:f>
        <x:v>0.5</x:v>
      </x:c>
      <x:c r="S239" s="82" t="str">
        <x:f>IF(AND(ISNUMBER(M239),ISNUMBER(R239)),(M239-R239)*100,"")</x:f>
      </x:c>
      <x:c r="T239" s="79" t="str">
        <x:v>ASSERT_FAIL</x:v>
      </x:c>
      <x:c r="U239" s="83" t="str">
        <x:v>gfsim 断言：Calculate error（S6+MX 特有）；本轮 model-main 9b3a4405（6参数含SoC）2026-09-22</x:v>
      </x:c>
    </x:row>
    <x:row r="240" ht="19" customHeight="1">
      <x:c r="A240" s="79" t="str">
        <x:v>S6</x:v>
      </x:c>
      <x:c r="B240" s="79" t="str">
        <x:v>MXFP4</x:v>
      </x:c>
      <x:c r="C240" s="80" t="n">
        <x:v>128</x:v>
      </x:c>
      <x:c r="D240" s="80" t="n">
        <x:v>256</x:v>
      </x:c>
      <x:c r="E240" s="80" t="n">
        <x:v>32768</x:v>
      </x:c>
      <x:c r="F240" s="80" t="n">
        <x:v>128</x:v>
      </x:c>
      <x:c r="G240" s="80" t="n">
        <x:v>128</x:v>
      </x:c>
      <x:c r="H240" s="80" t="n">
        <x:v>512</x:v>
      </x:c>
      <x:c r="I240" s="80" t="n">
        <x:v>64</x:v>
      </x:c>
      <x:c r="J240" s="80" t="n">
        <x:v>64</x:v>
      </x:c>
      <x:c r="K240" s="80" t="n">
        <x:v>128</x:v>
      </x:c>
      <x:c r="L240" s="80" t="str">
        <x:v>—</x:v>
      </x:c>
      <x:c r="M240" s="81" t="str">
        <x:f>IF(AND(ISNUMBER(L240),L240&gt;0),ROUND(C240*D240*E240/16384/L240*100,1)/100,"")</x:f>
      </x:c>
      <x:c r="N240" s="82" t="n">
        <x:f>IF(OR(F240="",G240="",H240=""),"",((I240+J240)*1024)/(F240*G240*H240/16384))</x:f>
        <x:v>256</x:v>
      </x:c>
      <x:c r="O240" s="82" t="n">
        <x:f>IF(OR(F240="",G240="",H240=""),"",(F240*G240*4)/(F240*G240*H240/16384))</x:f>
        <x:v>128</x:v>
      </x:c>
      <x:c r="P240" s="81" t="n">
        <x:f>IF(AND(ISNUMBER(N240),N240&gt;0),MIN(1,128/N240),"")</x:f>
        <x:v>0.5</x:v>
      </x:c>
      <x:c r="Q240" s="81" t="n">
        <x:f>IF(AND(ISNUMBER(O240),O240&gt;0),MIN(1,512/O240),"")</x:f>
        <x:v>1</x:v>
      </x:c>
      <x:c r="R240" s="81" t="n">
        <x:f>IF(AND(ISNUMBER(P240),ISNUMBER(Q240)),MIN(P240,Q240),"")</x:f>
        <x:v>0.5</x:v>
      </x:c>
      <x:c r="S240" s="82" t="str">
        <x:f>IF(AND(ISNUMBER(M240),ISNUMBER(R240)),(M240-R240)*100,"")</x:f>
      </x:c>
      <x:c r="T240" s="79" t="str">
        <x:v>ASSERT_FAIL</x:v>
      </x:c>
      <x:c r="U240" s="83" t="str">
        <x:v>gfsim 断言：Calculate error（S6+MX 特有）；本轮 model-main 9b3a4405（6参数含SoC）2026-09-22</x:v>
      </x:c>
    </x:row>
    <x:row r="241" ht="19" customHeight="1">
      <x:c r="A241" s="79" t="str">
        <x:v>S6</x:v>
      </x:c>
      <x:c r="B241" s="79" t="str">
        <x:v>MXFP4</x:v>
      </x:c>
      <x:c r="C241" s="80" t="n">
        <x:v>128</x:v>
      </x:c>
      <x:c r="D241" s="80" t="n">
        <x:v>256</x:v>
      </x:c>
      <x:c r="E241" s="80" t="n">
        <x:v>32768</x:v>
      </x:c>
      <x:c r="F241" s="80" t="n">
        <x:v>128</x:v>
      </x:c>
      <x:c r="G241" s="80" t="n">
        <x:v>256</x:v>
      </x:c>
      <x:c r="H241" s="80" t="n">
        <x:v>256</x:v>
      </x:c>
      <x:c r="I241" s="80" t="n">
        <x:v>32</x:v>
      </x:c>
      <x:c r="J241" s="80" t="n">
        <x:v>64</x:v>
      </x:c>
      <x:c r="K241" s="80" t="n">
        <x:v>96</x:v>
      </x:c>
      <x:c r="L241" s="80" t="str">
        <x:v>—</x:v>
      </x:c>
      <x:c r="M241" s="81" t="str">
        <x:f>IF(AND(ISNUMBER(L241),L241&gt;0),ROUND(C241*D241*E241/16384/L241*100,1)/100,"")</x:f>
      </x:c>
      <x:c r="N241" s="82" t="n">
        <x:f>IF(OR(F241="",G241="",H241=""),"",((I241+J241)*1024)/(F241*G241*H241/16384))</x:f>
        <x:v>192</x:v>
      </x:c>
      <x:c r="O241" s="82" t="n">
        <x:f>IF(OR(F241="",G241="",H241=""),"",(F241*G241*4)/(F241*G241*H241/16384))</x:f>
        <x:v>256</x:v>
      </x:c>
      <x:c r="P241" s="81" t="n">
        <x:f>IF(AND(ISNUMBER(N241),N241&gt;0),MIN(1,128/N241),"")</x:f>
        <x:v>0.6666666666666666</x:v>
      </x:c>
      <x:c r="Q241" s="81" t="n">
        <x:f>IF(AND(ISNUMBER(O241),O241&gt;0),MIN(1,512/O241),"")</x:f>
        <x:v>1</x:v>
      </x:c>
      <x:c r="R241" s="81" t="n">
        <x:f>IF(AND(ISNUMBER(P241),ISNUMBER(Q241)),MIN(P241,Q241),"")</x:f>
        <x:v>0.6666666666666666</x:v>
      </x:c>
      <x:c r="S241" s="82" t="str">
        <x:f>IF(AND(ISNUMBER(M241),ISNUMBER(R241)),(M241-R241)*100,"")</x:f>
      </x:c>
      <x:c r="T241" s="79" t="str">
        <x:v>ASSERT_FAIL</x:v>
      </x:c>
      <x:c r="U241" s="83" t="str">
        <x:v>gfsim 断言：Calculate error（S6+MX 特有）；本轮 model-main 9b3a4405（6参数含SoC）2026-09-22</x:v>
      </x:c>
    </x:row>
    <x:row r="242" ht="19" customHeight="1">
      <x:c r="A242" s="84" t="str">
        <x:v>S6</x:v>
      </x:c>
      <x:c r="B242" s="84" t="str">
        <x:v>MXFP4</x:v>
      </x:c>
      <x:c r="C242" s="85" t="n">
        <x:v>128</x:v>
      </x:c>
      <x:c r="D242" s="85" t="n">
        <x:v>256</x:v>
      </x:c>
      <x:c r="E242" s="85" t="n">
        <x:v>32768</x:v>
      </x:c>
      <x:c r="F242" s="85" t="n">
        <x:v>128</x:v>
      </x:c>
      <x:c r="G242" s="85" t="n">
        <x:v>256</x:v>
      </x:c>
      <x:c r="H242" s="85" t="n">
        <x:v>512</x:v>
      </x:c>
      <x:c r="I242" s="85" t="n">
        <x:v>64</x:v>
      </x:c>
      <x:c r="J242" s="85" t="n">
        <x:v>128</x:v>
      </x:c>
      <x:c r="K242" s="85" t="n">
        <x:v>192</x:v>
      </x:c>
      <x:c r="L242" s="85" t="str">
        <x:v>—</x:v>
      </x:c>
      <x:c r="M242" s="86" t="str">
        <x:f>IF(AND(ISNUMBER(L242),L242&gt;0),ROUND(C242*D242*E242/16384/L242*100,1)/100,"")</x:f>
      </x:c>
      <x:c r="N242" s="87" t="n">
        <x:f>IF(OR(F242="",G242="",H242=""),"",((I242+J242)*1024)/(F242*G242*H242/16384))</x:f>
        <x:v>192</x:v>
      </x:c>
      <x:c r="O242" s="87" t="n">
        <x:f>IF(OR(F242="",G242="",H242=""),"",(F242*G242*4)/(F242*G242*H242/16384))</x:f>
        <x:v>128</x:v>
      </x:c>
      <x:c r="P242" s="86" t="n">
        <x:f>IF(AND(ISNUMBER(N242),N242&gt;0),MIN(1,128/N242),"")</x:f>
        <x:v>0.6666666666666666</x:v>
      </x:c>
      <x:c r="Q242" s="86" t="n">
        <x:f>IF(AND(ISNUMBER(O242),O242&gt;0),MIN(1,512/O242),"")</x:f>
        <x:v>1</x:v>
      </x:c>
      <x:c r="R242" s="86" t="n">
        <x:f>IF(AND(ISNUMBER(P242),ISNUMBER(Q242)),MIN(P242,Q242),"")</x:f>
        <x:v>0.6666666666666666</x:v>
      </x:c>
      <x:c r="S242" s="87" t="str">
        <x:f>IF(AND(ISNUMBER(M242),ISNUMBER(R242)),(M242-R242)*100,"")</x:f>
      </x:c>
      <x:c r="T242" s="84" t="str">
        <x:v>ASSERT_FAIL</x:v>
      </x:c>
      <x:c r="U242" s="88" t="str">
        <x:v>gfsim 断言：Calculate error（S6+MX 特有）；本轮 model-main 9b3a4405（6参数含SoC）2026-09-22</x:v>
      </x:c>
    </x:row>
  </x:sheetData>
  <x:conditionalFormatting sqref="T5:T242">
    <x:cfRule type="containsText" dxfId="0" priority="1" operator="containsText" text="PASS"/>
    <x:cfRule type="notContainsText" dxfId="1" priority="2" text="PASS"/>
  </x:conditionalFormatting>
  <x:pageMargins left="0.7" right="0.7" top="0.75" bottom="0.75" header="0.3" footer="0.3"/>
  <x:tableParts count="1">
    <x:tablePart xmlns:r="http://schemas.openxmlformats.org/officeDocument/2006/relationships" r:id="R8bdd1708886a49d9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0" hidden="0" customWidth="1"/>
    <x:col min="3" max="3" width="12" hidden="0" customWidth="1"/>
    <x:col min="4" max="4" width="30" hidden="0" customWidth="1"/>
    <x:col min="5" max="5" width="14" hidden="0" customWidth="1"/>
    <x:col min="6" max="6" width="12" hidden="0" customWidth="1"/>
    <x:col min="7" max="7" width="14" hidden="0" customWidth="1"/>
    <x:col min="8" max="8" width="28" hidden="0" customWidth="1"/>
  </x:cols>
  <x:sheetData>
    <x:row r="1" ht="24" customHeight="1">
      <x:c r="A1" s="1" t="str">
        <x:v>各 Shape / dtype 最优配置</x:v>
      </x:c>
    </x:row>
    <x:row r="2" ht="20" customHeight="1">
      <x:c r="A2" s="2" t="str">
        <x:v>最优口径：容量合规、状态为 PASS、cycles 最小。</x:v>
      </x:c>
    </x:row>
    <x:row r="3">
      <x:c r="A3" s="3"/>
      <x:c r="B3" s="3"/>
      <x:c r="C3" s="3"/>
      <x:c r="D3" s="3"/>
      <x:c r="E3" s="3"/>
      <x:c r="F3" s="3"/>
      <x:c r="G3" s="3"/>
      <x:c r="H3" s="3"/>
    </x:row>
    <x:row r="4" ht="24" customHeight="1">
      <x:c r="A4" s="90" t="str">
        <x:v>Shape</x:v>
      </x:c>
      <x:c r="B4" s="90" t="str">
        <x:v>MNK</x:v>
      </x:c>
      <x:c r="C4" s="90" t="str">
        <x:v>dtype</x:v>
      </x:c>
      <x:c r="D4" s="90" t="str">
        <x:v>最优配置</x:v>
      </x:c>
      <x:c r="E4" s="90" t="str">
        <x:v>cycles</x:v>
      </x:c>
      <x:c r="F4" s="90" t="str">
        <x:v>PMU</x:v>
      </x:c>
      <x:c r="G4" s="90" t="str">
        <x:v>状态</x:v>
      </x:c>
      <x:c r="H4" s="90" t="str">
        <x:v>说明</x:v>
      </x:c>
    </x:row>
    <x:row r="5" ht="21" customHeight="1">
      <x:c r="A5" s="127" t="str">
        <x:f>'完整对比表'!A9</x:f>
        <x:v>S1</x:v>
      </x:c>
      <x:c r="B5" s="127" t="str">
        <x:f>'完整对比表'!C9&amp;"×"&amp;'完整对比表'!D9&amp;"×"&amp;'完整对比表'!E9</x:f>
        <x:v>2048×256×2048</x:v>
      </x:c>
      <x:c r="C5" s="127" t="str">
        <x:f>'完整对比表'!B9</x:f>
        <x:v>FP32</x:v>
      </x:c>
      <x:c r="D5" s="128" t="str">
        <x:f>"tM="&amp;'完整对比表'!F9&amp;", tN="&amp;'完整对比表'!G9&amp;", tK="&amp;'完整对比表'!H9</x:f>
        <x:v>tM=128, tN=128, tK=128</x:v>
      </x:c>
      <x:c r="E5" s="129" t="n">
        <x:f>'完整对比表'!L9</x:f>
        <x:v>544301</x:v>
      </x:c>
      <x:c r="F5" s="130" t="n">
        <x:f>'完整对比表'!M9</x:f>
        <x:v>0.963</x:v>
      </x:c>
      <x:c r="G5" s="160" t="str">
        <x:f>'完整对比表'!T9</x:f>
        <x:v>PASS</x:v>
      </x:c>
      <x:c r="H5" s="128" t="str">
        <x:f>"Total="&amp;'完整对比表'!K9&amp;" KB"</x:f>
        <x:v>Total=128 KB</x:v>
      </x:c>
    </x:row>
    <x:row r="6" ht="21" customHeight="1">
      <x:c r="A6" s="131" t="str">
        <x:f>'完整对比表'!A16</x:f>
        <x:v>S1</x:v>
      </x:c>
      <x:c r="B6" s="131" t="str">
        <x:f>'完整对比表'!C16&amp;"×"&amp;'完整对比表'!D16&amp;"×"&amp;'完整对比表'!E16</x:f>
        <x:v>2048×256×2048</x:v>
      </x:c>
      <x:c r="C6" s="131" t="str">
        <x:f>'完整对比表'!B16</x:f>
        <x:v>BF16</x:v>
      </x:c>
      <x:c r="D6" s="132" t="str">
        <x:f>"tM="&amp;'完整对比表'!F16&amp;", tN="&amp;'完整对比表'!G16&amp;", tK="&amp;'完整对比表'!H16</x:f>
        <x:v>tM=128, tN=128, tK=256</x:v>
      </x:c>
      <x:c r="E6" s="133" t="n">
        <x:f>'完整对比表'!L16</x:f>
        <x:v>278884</x:v>
      </x:c>
      <x:c r="F6" s="134" t="n">
        <x:f>'完整对比表'!M16</x:f>
        <x:v>0.94</x:v>
      </x:c>
      <x:c r="G6" s="161" t="str">
        <x:f>'完整对比表'!T16</x:f>
        <x:v>PASS</x:v>
      </x:c>
      <x:c r="H6" s="132" t="str">
        <x:f>"Total="&amp;'完整对比表'!K16&amp;" KB"</x:f>
        <x:v>Total=128 KB</x:v>
      </x:c>
    </x:row>
    <x:row r="7" ht="21" customHeight="1">
      <x:c r="A7" s="131" t="str">
        <x:f>'完整对比表'!A25</x:f>
        <x:v>S1</x:v>
      </x:c>
      <x:c r="B7" s="131" t="str">
        <x:f>'完整对比表'!C25&amp;"×"&amp;'完整对比表'!D25&amp;"×"&amp;'完整对比表'!E25</x:f>
        <x:v>2048×256×2048</x:v>
      </x:c>
      <x:c r="C7" s="131" t="str">
        <x:f>'完整对比表'!B25</x:f>
        <x:v>FP16</x:v>
      </x:c>
      <x:c r="D7" s="132" t="str">
        <x:f>"tM="&amp;'完整对比表'!F25&amp;", tN="&amp;'完整对比表'!G25&amp;", tK="&amp;'完整对比表'!H25</x:f>
        <x:v>tM=128, tN=128, tK=256</x:v>
      </x:c>
      <x:c r="E7" s="133" t="n">
        <x:f>'完整对比表'!L25</x:f>
        <x:v>278884</x:v>
      </x:c>
      <x:c r="F7" s="134" t="n">
        <x:f>'完整对比表'!M25</x:f>
        <x:v>0.94</x:v>
      </x:c>
      <x:c r="G7" s="161" t="str">
        <x:f>'完整对比表'!T25</x:f>
        <x:v>PASS</x:v>
      </x:c>
      <x:c r="H7" s="132" t="str">
        <x:f>"Total="&amp;'完整对比表'!K25&amp;" KB"</x:f>
        <x:v>Total=128 KB</x:v>
      </x:c>
    </x:row>
    <x:row r="8" ht="21" customHeight="1">
      <x:c r="A8" s="131" t="str">
        <x:f>'完整对比表'!A33</x:f>
        <x:v>S1</x:v>
      </x:c>
      <x:c r="B8" s="131" t="str">
        <x:f>'完整对比表'!C33&amp;"×"&amp;'完整对比表'!D33&amp;"×"&amp;'完整对比表'!E33</x:f>
        <x:v>2048×256×2048</x:v>
      </x:c>
      <x:c r="C8" s="131" t="str">
        <x:f>'完整对比表'!B33</x:f>
        <x:v>FP8</x:v>
      </x:c>
      <x:c r="D8" s="132" t="str">
        <x:f>"tM="&amp;'完整对比表'!F33&amp;", tN="&amp;'完整对比表'!G33&amp;", tK="&amp;'完整对比表'!H33</x:f>
        <x:v>tM=128, tN=128, tK=512</x:v>
      </x:c>
      <x:c r="E8" s="133" t="n">
        <x:f>'完整对比表'!L33</x:f>
        <x:v>146507</x:v>
      </x:c>
      <x:c r="F8" s="134" t="n">
        <x:f>'完整对比表'!M33</x:f>
        <x:v>0.895</x:v>
      </x:c>
      <x:c r="G8" s="161" t="str">
        <x:f>'完整对比表'!T33</x:f>
        <x:v>PASS</x:v>
      </x:c>
      <x:c r="H8" s="132" t="str">
        <x:f>"Total="&amp;'完整对比表'!K33&amp;" KB"</x:f>
        <x:v>Total=128 KB</x:v>
      </x:c>
    </x:row>
    <x:row r="9" ht="21" customHeight="1">
      <x:c r="A9" s="131" t="str">
        <x:f>'完整对比表'!A43</x:f>
        <x:v>S1</x:v>
      </x:c>
      <x:c r="B9" s="131" t="str">
        <x:f>'完整对比表'!C43&amp;"×"&amp;'完整对比表'!D43&amp;"×"&amp;'完整对比表'!E43</x:f>
        <x:v>2048×256×2048</x:v>
      </x:c>
      <x:c r="C9" s="131" t="str">
        <x:f>'完整对比表'!B43</x:f>
        <x:v>MXFP8</x:v>
      </x:c>
      <x:c r="D9" s="132" t="str">
        <x:f>"tM="&amp;'完整对比表'!F43&amp;", tN="&amp;'完整对比表'!G43&amp;", tK="&amp;'完整对比表'!H43</x:f>
        <x:v>tM=128, tN=256, tK=512</x:v>
      </x:c>
      <x:c r="E9" s="133" t="n">
        <x:f>'完整对比表'!L43</x:f>
        <x:v>192869</x:v>
      </x:c>
      <x:c r="F9" s="134" t="n">
        <x:f>'完整对比表'!M43</x:f>
        <x:v>0.68</x:v>
      </x:c>
      <x:c r="G9" s="161" t="str">
        <x:f>'完整对比表'!T43</x:f>
        <x:v>PASS</x:v>
      </x:c>
      <x:c r="H9" s="132" t="str">
        <x:f>"Total="&amp;'完整对比表'!K43&amp;" KB"</x:f>
        <x:v>Total=204 KB</x:v>
      </x:c>
    </x:row>
    <x:row r="10" ht="21" customHeight="1">
      <x:c r="A10" s="131" t="str">
        <x:f>'完整对比表'!A49</x:f>
        <x:v>S1</x:v>
      </x:c>
      <x:c r="B10" s="131" t="str">
        <x:f>'完整对比表'!C49&amp;"×"&amp;'完整对比表'!D49&amp;"×"&amp;'完整对比表'!E49</x:f>
        <x:v>2048×256×2048</x:v>
      </x:c>
      <x:c r="C10" s="131" t="str">
        <x:f>'完整对比表'!B49</x:f>
        <x:v>MXFP4</x:v>
      </x:c>
      <x:c r="D10" s="132" t="str">
        <x:f>"tM="&amp;'完整对比表'!F49&amp;", tN="&amp;'完整对比表'!G49&amp;", tK="&amp;'完整对比表'!H49</x:f>
        <x:v>tM=128, tN=256, tK=256</x:v>
      </x:c>
      <x:c r="E10" s="133" t="n">
        <x:f>'完整对比表'!L49</x:f>
        <x:v>187441</x:v>
      </x:c>
      <x:c r="F10" s="134" t="n">
        <x:f>'完整对比表'!M49</x:f>
        <x:v>0.35</x:v>
      </x:c>
      <x:c r="G10" s="161" t="str">
        <x:f>'完整对比表'!T49</x:f>
        <x:v>PASS</x:v>
      </x:c>
      <x:c r="H10" s="132" t="str">
        <x:f>"Total="&amp;'完整对比表'!K49&amp;" KB"</x:f>
        <x:v>Total=108 KB</x:v>
      </x:c>
    </x:row>
    <x:row r="11" ht="21" customHeight="1">
      <x:c r="A11" s="135" t="str">
        <x:f>'完整对比表'!A57</x:f>
        <x:v>S2</x:v>
      </x:c>
      <x:c r="B11" s="135" t="str">
        <x:f>'完整对比表'!C57&amp;"×"&amp;'完整对比表'!D57&amp;"×"&amp;'完整对比表'!E57</x:f>
        <x:v>128×256×7168</x:v>
      </x:c>
      <x:c r="C11" s="135" t="str">
        <x:f>'完整对比表'!B57</x:f>
        <x:v>FP32</x:v>
      </x:c>
      <x:c r="D11" s="136" t="str">
        <x:f>"tM="&amp;'完整对比表'!F57&amp;", tN="&amp;'完整对比表'!G57&amp;", tK="&amp;'完整对比表'!H57</x:f>
        <x:v>tM=128, tN=256, tK=64</x:v>
      </x:c>
      <x:c r="E11" s="137" t="n">
        <x:f>'完整对比表'!L57</x:f>
        <x:v>151576</x:v>
      </x:c>
      <x:c r="F11" s="138" t="n">
        <x:f>'完整对比表'!M57</x:f>
        <x:v>0.757</x:v>
      </x:c>
      <x:c r="G11" s="161" t="str">
        <x:f>'完整对比表'!T57</x:f>
        <x:v>PASS</x:v>
      </x:c>
      <x:c r="H11" s="136" t="str">
        <x:f>"Total="&amp;'完整对比表'!K57&amp;" KB"</x:f>
        <x:v>Total=96 KB</x:v>
      </x:c>
    </x:row>
    <x:row r="12" ht="21" customHeight="1">
      <x:c r="A12" s="135" t="str">
        <x:f>'完整对比表'!A66</x:f>
        <x:v>S2</x:v>
      </x:c>
      <x:c r="B12" s="135" t="str">
        <x:f>'完整对比表'!C66&amp;"×"&amp;'完整对比表'!D66&amp;"×"&amp;'完整对比表'!E66</x:f>
        <x:v>128×256×7168</x:v>
      </x:c>
      <x:c r="C12" s="135" t="str">
        <x:f>'完整对比表'!B66</x:f>
        <x:v>BF16</x:v>
      </x:c>
      <x:c r="D12" s="136" t="str">
        <x:f>"tM="&amp;'完整对比表'!F66&amp;", tN="&amp;'完整对比表'!G66&amp;", tK="&amp;'完整对比表'!H66</x:f>
        <x:v>tM=128, tN=256, tK=128</x:v>
      </x:c>
      <x:c r="E12" s="137" t="n">
        <x:f>'完整对比表'!L66</x:f>
        <x:v>77773</x:v>
      </x:c>
      <x:c r="F12" s="138" t="n">
        <x:f>'完整对比表'!M66</x:f>
        <x:v>0.737</x:v>
      </x:c>
      <x:c r="G12" s="161" t="str">
        <x:f>'完整对比表'!T66</x:f>
        <x:v>PASS</x:v>
      </x:c>
      <x:c r="H12" s="136" t="str">
        <x:f>"Total="&amp;'完整对比表'!K66&amp;" KB"</x:f>
        <x:v>Total=96 KB</x:v>
      </x:c>
    </x:row>
    <x:row r="13" ht="21" customHeight="1">
      <x:c r="A13" s="135" t="str">
        <x:f>'完整对比表'!A75</x:f>
        <x:v>S2</x:v>
      </x:c>
      <x:c r="B13" s="135" t="str">
        <x:f>'完整对比表'!C75&amp;"×"&amp;'完整对比表'!D75&amp;"×"&amp;'完整对比表'!E75</x:f>
        <x:v>128×256×7168</x:v>
      </x:c>
      <x:c r="C13" s="135" t="str">
        <x:f>'完整对比表'!B75</x:f>
        <x:v>FP16</x:v>
      </x:c>
      <x:c r="D13" s="136" t="str">
        <x:f>"tM="&amp;'完整对比表'!F75&amp;", tN="&amp;'完整对比表'!G75&amp;", tK="&amp;'完整对比表'!H75</x:f>
        <x:v>tM=128, tN=256, tK=128</x:v>
      </x:c>
      <x:c r="E13" s="137" t="n">
        <x:f>'完整对比表'!L75</x:f>
        <x:v>77773</x:v>
      </x:c>
      <x:c r="F13" s="138" t="n">
        <x:f>'完整对比表'!M75</x:f>
        <x:v>0.737</x:v>
      </x:c>
      <x:c r="G13" s="161" t="str">
        <x:f>'完整对比表'!T75</x:f>
        <x:v>PASS</x:v>
      </x:c>
      <x:c r="H13" s="136" t="str">
        <x:f>"Total="&amp;'完整对比表'!K75&amp;" KB"</x:f>
        <x:v>Total=96 KB</x:v>
      </x:c>
    </x:row>
    <x:row r="14" ht="21" customHeight="1">
      <x:c r="A14" s="135" t="str">
        <x:f>'完整对比表'!A83</x:f>
        <x:v>S2</x:v>
      </x:c>
      <x:c r="B14" s="135" t="str">
        <x:f>'完整对比表'!C83&amp;"×"&amp;'完整对比表'!D83&amp;"×"&amp;'完整对比表'!E83</x:f>
        <x:v>128×256×7168</x:v>
      </x:c>
      <x:c r="C14" s="135" t="str">
        <x:f>'完整对比表'!B83</x:f>
        <x:v>FP8</x:v>
      </x:c>
      <x:c r="D14" s="136" t="str">
        <x:f>"tM="&amp;'完整对比表'!F83&amp;", tN="&amp;'完整对比表'!G83&amp;", tK="&amp;'完整对比表'!H83</x:f>
        <x:v>tM=128, tN=256, tK=256</x:v>
      </x:c>
      <x:c r="E14" s="137" t="n">
        <x:f>'完整对比表'!L83</x:f>
        <x:v>40552</x:v>
      </x:c>
      <x:c r="F14" s="138" t="n">
        <x:f>'完整对比表'!M83</x:f>
        <x:v>0.7070000000000001</x:v>
      </x:c>
      <x:c r="G14" s="161" t="str">
        <x:f>'完整对比表'!T83</x:f>
        <x:v>PASS</x:v>
      </x:c>
      <x:c r="H14" s="136" t="str">
        <x:f>"Total="&amp;'完整对比表'!K83&amp;" KB"</x:f>
        <x:v>Total=96 KB</x:v>
      </x:c>
    </x:row>
    <x:row r="15" ht="21" customHeight="1">
      <x:c r="A15" s="135" t="str">
        <x:f>'完整对比表'!A91</x:f>
        <x:v>S2</x:v>
      </x:c>
      <x:c r="B15" s="135" t="str">
        <x:f>'完整对比表'!C91&amp;"×"&amp;'完整对比表'!D91&amp;"×"&amp;'完整对比表'!E91</x:f>
        <x:v>128×256×7168</x:v>
      </x:c>
      <x:c r="C15" s="135" t="str">
        <x:f>'完整对比表'!B91</x:f>
        <x:v>MXFP8</x:v>
      </x:c>
      <x:c r="D15" s="136" t="str">
        <x:f>"tM="&amp;'完整对比表'!F91&amp;", tN="&amp;'完整对比表'!G91&amp;", tK="&amp;'完整对比表'!H91</x:f>
        <x:v>tM=128, tN=256, tK=512</x:v>
      </x:c>
      <x:c r="E15" s="137" t="n">
        <x:f>'完整对比表'!L91</x:f>
        <x:v>45829</x:v>
      </x:c>
      <x:c r="F15" s="138" t="n">
        <x:f>'完整对比表'!M91</x:f>
        <x:v>0.626</x:v>
      </x:c>
      <x:c r="G15" s="161" t="str">
        <x:f>'完整对比表'!T91</x:f>
        <x:v>PASS</x:v>
      </x:c>
      <x:c r="H15" s="136" t="str">
        <x:f>"Total="&amp;'完整对比表'!K91&amp;" KB"</x:f>
        <x:v>Total=192 KB</x:v>
      </x:c>
    </x:row>
    <x:row r="16" ht="21" customHeight="1">
      <x:c r="A16" s="135" t="str">
        <x:f>'完整对比表'!A98</x:f>
        <x:v>S2</x:v>
      </x:c>
      <x:c r="B16" s="135" t="str">
        <x:f>'完整对比表'!C98&amp;"×"&amp;'完整对比表'!D98&amp;"×"&amp;'完整对比表'!E98</x:f>
        <x:v>128×256×7168</x:v>
      </x:c>
      <x:c r="C16" s="135" t="str">
        <x:f>'完整对比表'!B98</x:f>
        <x:v>MXFP4</x:v>
      </x:c>
      <x:c r="D16" s="136" t="str">
        <x:f>"tM="&amp;'完整对比表'!F98&amp;", tN="&amp;'完整对比表'!G98&amp;", tK="&amp;'完整对比表'!H98</x:f>
        <x:v>tM=128, tN=256, tK=512</x:v>
      </x:c>
      <x:c r="E16" s="137" t="n">
        <x:f>'完整对比表'!L98</x:f>
        <x:v>44993</x:v>
      </x:c>
      <x:c r="F16" s="138" t="n">
        <x:f>'完整对比表'!M98</x:f>
        <x:v>0.319</x:v>
      </x:c>
      <x:c r="G16" s="161" t="str">
        <x:f>'完整对比表'!T98</x:f>
        <x:v>PASS</x:v>
      </x:c>
      <x:c r="H16" s="136" t="str">
        <x:f>"Total="&amp;'完整对比表'!K98&amp;" KB"</x:f>
        <x:v>Total=192 KB</x:v>
      </x:c>
    </x:row>
    <x:row r="17" ht="21" customHeight="1">
      <x:c r="A17" s="139" t="str">
        <x:f>'完整对比表'!A102</x:f>
        <x:v>S3</x:v>
      </x:c>
      <x:c r="B17" s="139" t="str">
        <x:f>'完整对比表'!C102&amp;"×"&amp;'完整对比表'!D102&amp;"×"&amp;'完整对比表'!E102</x:f>
        <x:v>256×128×7168</x:v>
      </x:c>
      <x:c r="C17" s="139" t="str">
        <x:f>'完整对比表'!B102</x:f>
        <x:v>FP32</x:v>
      </x:c>
      <x:c r="D17" s="140" t="str">
        <x:f>"tM="&amp;'完整对比表'!F102&amp;", tN="&amp;'完整对比表'!G102&amp;", tK="&amp;'完整对比表'!H102</x:f>
        <x:v>tM=128, tN=128, tK=64</x:v>
      </x:c>
      <x:c r="E17" s="141" t="n">
        <x:f>'完整对比表'!L102</x:f>
        <x:v>200381</x:v>
      </x:c>
      <x:c r="F17" s="142" t="n">
        <x:f>'完整对比表'!M102</x:f>
        <x:v>0.5720000000000001</x:v>
      </x:c>
      <x:c r="G17" s="161" t="str">
        <x:f>'完整对比表'!T102</x:f>
        <x:v>PASS</x:v>
      </x:c>
      <x:c r="H17" s="140" t="str">
        <x:f>"Total="&amp;'完整对比表'!K102&amp;" KB"</x:f>
        <x:v>Total=64 KB</x:v>
      </x:c>
    </x:row>
    <x:row r="18" ht="21" customHeight="1">
      <x:c r="A18" s="139" t="str">
        <x:f>'完整对比表'!A110</x:f>
        <x:v>S3</x:v>
      </x:c>
      <x:c r="B18" s="139" t="str">
        <x:f>'完整对比表'!C110&amp;"×"&amp;'完整对比表'!D110&amp;"×"&amp;'完整对比表'!E110</x:f>
        <x:v>256×128×7168</x:v>
      </x:c>
      <x:c r="C18" s="139" t="str">
        <x:f>'完整对比表'!B110</x:f>
        <x:v>BF16</x:v>
      </x:c>
      <x:c r="D18" s="140" t="str">
        <x:f>"tM="&amp;'完整对比表'!F110&amp;", tN="&amp;'完整对比表'!G110&amp;", tK="&amp;'完整对比表'!H110</x:f>
        <x:v>tM=128, tN=128, tK=128</x:v>
      </x:c>
      <x:c r="E18" s="141" t="n">
        <x:f>'完整对比表'!L110</x:f>
        <x:v>101761</x:v>
      </x:c>
      <x:c r="F18" s="142" t="n">
        <x:f>'完整对比表'!M110</x:f>
        <x:v>0.564</x:v>
      </x:c>
      <x:c r="G18" s="161" t="str">
        <x:f>'完整对比表'!T110</x:f>
        <x:v>PASS</x:v>
      </x:c>
      <x:c r="H18" s="140" t="str">
        <x:f>"Total="&amp;'完整对比表'!K110&amp;" KB"</x:f>
        <x:v>Total=64 KB</x:v>
      </x:c>
    </x:row>
    <x:row r="19" ht="21" customHeight="1">
      <x:c r="A19" s="139" t="str">
        <x:f>'完整对比表'!A118</x:f>
        <x:v>S3</x:v>
      </x:c>
      <x:c r="B19" s="139" t="str">
        <x:f>'完整对比表'!C118&amp;"×"&amp;'完整对比表'!D118&amp;"×"&amp;'完整对比表'!E118</x:f>
        <x:v>256×128×7168</x:v>
      </x:c>
      <x:c r="C19" s="139" t="str">
        <x:f>'完整对比表'!B118</x:f>
        <x:v>FP16</x:v>
      </x:c>
      <x:c r="D19" s="140" t="str">
        <x:f>"tM="&amp;'完整对比表'!F118&amp;", tN="&amp;'完整对比表'!G118&amp;", tK="&amp;'完整对比表'!H118</x:f>
        <x:v>tM=128, tN=128, tK=128</x:v>
      </x:c>
      <x:c r="E19" s="141" t="n">
        <x:f>'完整对比表'!L118</x:f>
        <x:v>101761</x:v>
      </x:c>
      <x:c r="F19" s="142" t="n">
        <x:f>'完整对比表'!M118</x:f>
        <x:v>0.564</x:v>
      </x:c>
      <x:c r="G19" s="161" t="str">
        <x:f>'完整对比表'!T118</x:f>
        <x:v>PASS</x:v>
      </x:c>
      <x:c r="H19" s="140" t="str">
        <x:f>"Total="&amp;'完整对比表'!K118&amp;" KB"</x:f>
        <x:v>Total=64 KB</x:v>
      </x:c>
    </x:row>
    <x:row r="20" ht="21" customHeight="1">
      <x:c r="A20" s="139" t="str">
        <x:f>'完整对比表'!A124</x:f>
        <x:v>S3</x:v>
      </x:c>
      <x:c r="B20" s="139" t="str">
        <x:f>'完整对比表'!C124&amp;"×"&amp;'完整对比表'!D124&amp;"×"&amp;'完整对比表'!E124</x:f>
        <x:v>256×128×7168</x:v>
      </x:c>
      <x:c r="C20" s="139" t="str">
        <x:f>'完整对比表'!B124</x:f>
        <x:v>FP8</x:v>
      </x:c>
      <x:c r="D20" s="140" t="str">
        <x:f>"tM="&amp;'完整对比表'!F124&amp;", tN="&amp;'完整对比表'!G124&amp;", tK="&amp;'完整对比表'!H124</x:f>
        <x:v>tM=128, tN=128, tK=256</x:v>
      </x:c>
      <x:c r="E20" s="141" t="n">
        <x:f>'完整对比表'!L124</x:f>
        <x:v>52511</x:v>
      </x:c>
      <x:c r="F20" s="142" t="n">
        <x:f>'完整对比表'!M124</x:f>
        <x:v>0.546</x:v>
      </x:c>
      <x:c r="G20" s="161" t="str">
        <x:f>'完整对比表'!T124</x:f>
        <x:v>PASS</x:v>
      </x:c>
      <x:c r="H20" s="140" t="str">
        <x:f>"Total="&amp;'完整对比表'!K124&amp;" KB"</x:f>
        <x:v>Total=64 KB</x:v>
      </x:c>
    </x:row>
    <x:row r="21" ht="21" customHeight="1">
      <x:c r="A21" s="139" t="str">
        <x:f>'完整对比表'!A130</x:f>
        <x:v>S3</x:v>
      </x:c>
      <x:c r="B21" s="139" t="str">
        <x:f>'完整对比表'!C130&amp;"×"&amp;'完整对比表'!D130&amp;"×"&amp;'完整对比表'!E130</x:f>
        <x:v>256×128×7168</x:v>
      </x:c>
      <x:c r="C21" s="139" t="str">
        <x:f>'完整对比表'!B130</x:f>
        <x:v>MXFP8</x:v>
      </x:c>
      <x:c r="D21" s="140" t="str">
        <x:f>"tM="&amp;'完整对比表'!F130&amp;", tN="&amp;'完整对比表'!G130&amp;", tK="&amp;'完整对比表'!H130</x:f>
        <x:v>tM=128, tN=128, tK=256</x:v>
      </x:c>
      <x:c r="E21" s="141" t="n">
        <x:f>'完整对比表'!L130</x:f>
        <x:v>59922</x:v>
      </x:c>
      <x:c r="F21" s="142" t="n">
        <x:f>'完整对比表'!M130</x:f>
        <x:v>0.478</x:v>
      </x:c>
      <x:c r="G21" s="161" t="str">
        <x:f>'完整对比表'!T130</x:f>
        <x:v>PASS</x:v>
      </x:c>
      <x:c r="H21" s="140" t="str">
        <x:f>"Total="&amp;'完整对比表'!K130&amp;" KB"</x:f>
        <x:v>Total=64 KB</x:v>
      </x:c>
    </x:row>
    <x:row r="22" ht="21" customHeight="1">
      <x:c r="A22" s="139" t="str">
        <x:f>'完整对比表'!A136</x:f>
        <x:v>S3</x:v>
      </x:c>
      <x:c r="B22" s="139" t="str">
        <x:f>'完整对比表'!C136&amp;"×"&amp;'完整对比表'!D136&amp;"×"&amp;'完整对比表'!E136</x:f>
        <x:v>256×128×7168</x:v>
      </x:c>
      <x:c r="C22" s="139" t="str">
        <x:f>'完整对比表'!B136</x:f>
        <x:v>MXFP4</x:v>
      </x:c>
      <x:c r="D22" s="140" t="str">
        <x:f>"tM="&amp;'完整对比表'!F136&amp;", tN="&amp;'完整对比表'!G136&amp;", tK="&amp;'完整对比表'!H136</x:f>
        <x:v>tM=128, tN=128, tK=512</x:v>
      </x:c>
      <x:c r="E22" s="141" t="n">
        <x:f>'完整对比表'!L136</x:f>
        <x:v>61599</x:v>
      </x:c>
      <x:c r="F22" s="142" t="n">
        <x:f>'完整对比表'!M136</x:f>
        <x:v>0.233</x:v>
      </x:c>
      <x:c r="G22" s="161" t="str">
        <x:f>'完整对比表'!T136</x:f>
        <x:v>PASS</x:v>
      </x:c>
      <x:c r="H22" s="140" t="str">
        <x:f>"Total="&amp;'完整对比表'!K136&amp;" KB"</x:f>
        <x:v>Total=128 KB</x:v>
      </x:c>
    </x:row>
    <x:row r="23" ht="21" customHeight="1">
      <x:c r="A23" s="143" t="str">
        <x:f>'完整对比表'!A140</x:f>
        <x:v>S4</x:v>
      </x:c>
      <x:c r="B23" s="143" t="str">
        <x:f>'完整对比表'!C140&amp;"×"&amp;'完整对比表'!D140&amp;"×"&amp;'完整对比表'!E140</x:f>
        <x:v>64×128×7168</x:v>
      </x:c>
      <x:c r="C23" s="143" t="str">
        <x:f>'完整对比表'!B140</x:f>
        <x:v>FP32</x:v>
      </x:c>
      <x:c r="D23" s="144" t="str">
        <x:f>"tM="&amp;'完整对比表'!F140&amp;", tN="&amp;'完整对比表'!G140&amp;", tK="&amp;'完整对比表'!H140</x:f>
        <x:v>tM=128, tN=128, tK=64</x:v>
      </x:c>
      <x:c r="E23" s="145" t="n">
        <x:f>'完整对比表'!L140</x:f>
        <x:v>76502</x:v>
      </x:c>
      <x:c r="F23" s="146" t="n">
        <x:f>'完整对比表'!M140</x:f>
        <x:v>0.375</x:v>
      </x:c>
      <x:c r="G23" s="161" t="str">
        <x:f>'完整对比表'!T140</x:f>
        <x:v>PASS</x:v>
      </x:c>
      <x:c r="H23" s="144" t="str">
        <x:f>"Total="&amp;'完整对比表'!K140&amp;" KB"</x:f>
        <x:v>Total=64 KB</x:v>
      </x:c>
    </x:row>
    <x:row r="24" ht="21" customHeight="1">
      <x:c r="A24" s="143" t="str">
        <x:f>'完整对比表'!A148</x:f>
        <x:v>S4</x:v>
      </x:c>
      <x:c r="B24" s="143" t="str">
        <x:f>'完整对比表'!C148&amp;"×"&amp;'完整对比表'!D148&amp;"×"&amp;'完整对比表'!E148</x:f>
        <x:v>64×128×7168</x:v>
      </x:c>
      <x:c r="C24" s="143" t="str">
        <x:f>'完整对比表'!B148</x:f>
        <x:v>BF16</x:v>
      </x:c>
      <x:c r="D24" s="144" t="str">
        <x:f>"tM="&amp;'完整对比表'!F148&amp;", tN="&amp;'完整对比表'!G148&amp;", tK="&amp;'完整对比表'!H148</x:f>
        <x:v>tM=128, tN=128, tK=128</x:v>
      </x:c>
      <x:c r="E24" s="145" t="n">
        <x:f>'完整对比表'!L148</x:f>
        <x:v>39178</x:v>
      </x:c>
      <x:c r="F24" s="146" t="n">
        <x:f>'完整对比表'!M148</x:f>
        <x:v>0.366</x:v>
      </x:c>
      <x:c r="G24" s="161" t="str">
        <x:f>'完整对比表'!T148</x:f>
        <x:v>PASS</x:v>
      </x:c>
      <x:c r="H24" s="144" t="str">
        <x:f>"Total="&amp;'完整对比表'!K148&amp;" KB"</x:f>
        <x:v>Total=64 KB</x:v>
      </x:c>
    </x:row>
    <x:row r="25" ht="21" customHeight="1">
      <x:c r="A25" s="143" t="str">
        <x:f>'完整对比表'!A156</x:f>
        <x:v>S4</x:v>
      </x:c>
      <x:c r="B25" s="143" t="str">
        <x:f>'完整对比表'!C156&amp;"×"&amp;'完整对比表'!D156&amp;"×"&amp;'完整对比表'!E156</x:f>
        <x:v>64×128×7168</x:v>
      </x:c>
      <x:c r="C25" s="143" t="str">
        <x:f>'完整对比表'!B156</x:f>
        <x:v>FP16</x:v>
      </x:c>
      <x:c r="D25" s="144" t="str">
        <x:f>"tM="&amp;'完整对比表'!F156&amp;", tN="&amp;'完整对比表'!G156&amp;", tK="&amp;'完整对比表'!H156</x:f>
        <x:v>tM=128, tN=128, tK=128</x:v>
      </x:c>
      <x:c r="E25" s="145" t="n">
        <x:f>'完整对比表'!L156</x:f>
        <x:v>39178</x:v>
      </x:c>
      <x:c r="F25" s="146" t="n">
        <x:f>'完整对比表'!M156</x:f>
        <x:v>0.366</x:v>
      </x:c>
      <x:c r="G25" s="161" t="str">
        <x:f>'完整对比表'!T156</x:f>
        <x:v>PASS</x:v>
      </x:c>
      <x:c r="H25" s="144" t="str">
        <x:f>"Total="&amp;'完整对比表'!K156&amp;" KB"</x:f>
        <x:v>Total=64 KB</x:v>
      </x:c>
    </x:row>
    <x:row r="26" ht="21" customHeight="1">
      <x:c r="A26" s="143" t="str">
        <x:f>'完整对比表'!A162</x:f>
        <x:v>S4</x:v>
      </x:c>
      <x:c r="B26" s="143" t="str">
        <x:f>'完整对比表'!C162&amp;"×"&amp;'完整对比表'!D162&amp;"×"&amp;'完整对比表'!E162</x:f>
        <x:v>64×128×7168</x:v>
      </x:c>
      <x:c r="C26" s="143" t="str">
        <x:f>'完整对比表'!B162</x:f>
        <x:v>FP8</x:v>
      </x:c>
      <x:c r="D26" s="144" t="str">
        <x:f>"tM="&amp;'完整对比表'!F162&amp;", tN="&amp;'完整对比表'!G162&amp;", tK="&amp;'完整对比表'!H162</x:f>
        <x:v>tM=128, tN=128, tK=256</x:v>
      </x:c>
      <x:c r="E26" s="145" t="n">
        <x:f>'完整对比表'!L162</x:f>
        <x:v>20428</x:v>
      </x:c>
      <x:c r="F26" s="146" t="n">
        <x:f>'完整对比表'!M162</x:f>
        <x:v>0.35100000000000003</x:v>
      </x:c>
      <x:c r="G26" s="161" t="str">
        <x:f>'完整对比表'!T162</x:f>
        <x:v>PASS</x:v>
      </x:c>
      <x:c r="H26" s="144" t="str">
        <x:f>"Total="&amp;'完整对比表'!K162&amp;" KB"</x:f>
        <x:v>Total=64 KB</x:v>
      </x:c>
    </x:row>
    <x:row r="27" ht="21" customHeight="1">
      <x:c r="A27" s="143" t="str">
        <x:f>'完整对比表'!A168</x:f>
        <x:v>S4</x:v>
      </x:c>
      <x:c r="B27" s="143" t="str">
        <x:f>'完整对比表'!C168&amp;"×"&amp;'完整对比表'!D168&amp;"×"&amp;'完整对比表'!E168</x:f>
        <x:v>64×128×7168</x:v>
      </x:c>
      <x:c r="C27" s="143" t="str">
        <x:f>'完整对比表'!B168</x:f>
        <x:v>MXFP8</x:v>
      </x:c>
      <x:c r="D27" s="144" t="str">
        <x:f>"tM="&amp;'完整对比表'!F168&amp;", tN="&amp;'完整对比表'!G168&amp;", tK="&amp;'完整对比表'!H168</x:f>
        <x:v>tM=128, tN=128, tK=256</x:v>
      </x:c>
      <x:c r="E27" s="145" t="n">
        <x:f>'完整对比表'!L168</x:f>
        <x:v>22049</x:v>
      </x:c>
      <x:c r="F27" s="146" t="n">
        <x:f>'完整对比表'!M168</x:f>
        <x:v>0.325</x:v>
      </x:c>
      <x:c r="G27" s="161" t="str">
        <x:f>'完整对比表'!T168</x:f>
        <x:v>PASS</x:v>
      </x:c>
      <x:c r="H27" s="144" t="str">
        <x:f>"Total="&amp;'完整对比表'!K168&amp;" KB"</x:f>
        <x:v>Total=64 KB</x:v>
      </x:c>
    </x:row>
    <x:row r="28" ht="21" customHeight="1">
      <x:c r="A28" s="143" t="str">
        <x:f>'完整对比表'!A173</x:f>
        <x:v>S4</x:v>
      </x:c>
      <x:c r="B28" s="143" t="str">
        <x:f>'完整对比表'!C173&amp;"×"&amp;'完整对比表'!D173&amp;"×"&amp;'完整对比表'!E173</x:f>
        <x:v>64×128×7168</x:v>
      </x:c>
      <x:c r="C28" s="143" t="str">
        <x:f>'完整对比表'!B173</x:f>
        <x:v>MXFP4</x:v>
      </x:c>
      <x:c r="D28" s="144" t="str">
        <x:f>"tM="&amp;'完整对比表'!F173&amp;", tN="&amp;'完整对比表'!G173&amp;", tK="&amp;'完整对比表'!H173</x:f>
        <x:v>tM=128, tN=128, tK=256</x:v>
      </x:c>
      <x:c r="E28" s="145" t="n">
        <x:f>'完整对比表'!L173</x:f>
        <x:v>21340</x:v>
      </x:c>
      <x:c r="F28" s="146" t="n">
        <x:f>'完整对比表'!M173</x:f>
        <x:v>0.168</x:v>
      </x:c>
      <x:c r="G28" s="161" t="str">
        <x:f>'完整对比表'!T173</x:f>
        <x:v>PASS</x:v>
      </x:c>
      <x:c r="H28" s="144" t="str">
        <x:f>"Total="&amp;'完整对比表'!K173&amp;" KB"</x:f>
        <x:v>Total=64 KB</x:v>
      </x:c>
    </x:row>
    <x:row r="29" ht="21" customHeight="1">
      <x:c r="A29" s="147" t="str">
        <x:f>'完整对比表'!A175</x:f>
        <x:v>S5</x:v>
      </x:c>
      <x:c r="B29" s="147" t="str">
        <x:f>'完整对比表'!C175&amp;"×"&amp;'完整对比表'!D175&amp;"×"&amp;'完整对比表'!E175</x:f>
        <x:v>64×64×7168</x:v>
      </x:c>
      <x:c r="C29" s="147" t="str">
        <x:f>'完整对比表'!B175</x:f>
        <x:v>FP32</x:v>
      </x:c>
      <x:c r="D29" s="148" t="str">
        <x:f>"tM="&amp;'完整对比表'!F175&amp;", tN="&amp;'完整对比表'!G175&amp;", tK="&amp;'完整对比表'!H175</x:f>
        <x:v>tM=128, tN=64, tK=64</x:v>
      </x:c>
      <x:c r="E29" s="149" t="n">
        <x:f>'完整对比表'!L175</x:f>
        <x:v>51542</x:v>
      </x:c>
      <x:c r="F29" s="150" t="n">
        <x:f>'完整对比表'!M175</x:f>
        <x:v>0.278</x:v>
      </x:c>
      <x:c r="G29" s="161" t="str">
        <x:f>'完整对比表'!T175</x:f>
        <x:v>PASS</x:v>
      </x:c>
      <x:c r="H29" s="148" t="str">
        <x:f>"Total="&amp;'完整对比表'!K175&amp;" KB"</x:f>
        <x:v>Total=48 KB</x:v>
      </x:c>
    </x:row>
    <x:row r="30" ht="21" customHeight="1">
      <x:c r="A30" s="147" t="str">
        <x:f>'完整对比表'!A179</x:f>
        <x:v>S5</x:v>
      </x:c>
      <x:c r="B30" s="147" t="str">
        <x:f>'完整对比表'!C179&amp;"×"&amp;'完整对比表'!D179&amp;"×"&amp;'完整对比表'!E179</x:f>
        <x:v>64×64×7168</x:v>
      </x:c>
      <x:c r="C30" s="147" t="str">
        <x:f>'完整对比表'!B179</x:f>
        <x:v>BF16</x:v>
      </x:c>
      <x:c r="D30" s="148" t="str">
        <x:f>"tM="&amp;'完整对比表'!F179&amp;", tN="&amp;'完整对比表'!G179&amp;", tK="&amp;'完整对比表'!H179</x:f>
        <x:v>tM=128, tN=64, tK=128</x:v>
      </x:c>
      <x:c r="E30" s="149" t="n">
        <x:f>'完整对比表'!L179</x:f>
        <x:v>26624</x:v>
      </x:c>
      <x:c r="F30" s="150" t="n">
        <x:f>'完整对比表'!M179</x:f>
        <x:v>0.26899999999999996</x:v>
      </x:c>
      <x:c r="G30" s="161" t="str">
        <x:f>'完整对比表'!T179</x:f>
        <x:v>PASS</x:v>
      </x:c>
      <x:c r="H30" s="148" t="str">
        <x:f>"Total="&amp;'完整对比表'!K179&amp;" KB"</x:f>
        <x:v>Total=48 KB</x:v>
      </x:c>
    </x:row>
    <x:row r="31" ht="21" customHeight="1">
      <x:c r="A31" s="147" t="str">
        <x:f>'完整对比表'!A183</x:f>
        <x:v>S5</x:v>
      </x:c>
      <x:c r="B31" s="147" t="str">
        <x:f>'完整对比表'!C183&amp;"×"&amp;'完整对比表'!D183&amp;"×"&amp;'完整对比表'!E183</x:f>
        <x:v>64×64×7168</x:v>
      </x:c>
      <x:c r="C31" s="147" t="str">
        <x:f>'完整对比表'!B183</x:f>
        <x:v>FP16</x:v>
      </x:c>
      <x:c r="D31" s="148" t="str">
        <x:f>"tM="&amp;'完整对比表'!F183&amp;", tN="&amp;'完整对比表'!G183&amp;", tK="&amp;'完整对比表'!H183</x:f>
        <x:v>tM=128, tN=64, tK=128</x:v>
      </x:c>
      <x:c r="E31" s="149" t="n">
        <x:f>'完整对比表'!L183</x:f>
        <x:v>26624</x:v>
      </x:c>
      <x:c r="F31" s="150" t="n">
        <x:f>'完整对比表'!M183</x:f>
        <x:v>0.26899999999999996</x:v>
      </x:c>
      <x:c r="G31" s="161" t="str">
        <x:f>'完整对比表'!T183</x:f>
        <x:v>PASS</x:v>
      </x:c>
      <x:c r="H31" s="148" t="str">
        <x:f>"Total="&amp;'完整对比表'!K183&amp;" KB"</x:f>
        <x:v>Total=48 KB</x:v>
      </x:c>
    </x:row>
    <x:row r="32" ht="21" customHeight="1">
      <x:c r="A32" s="147" t="str">
        <x:f>'完整对比表'!A186</x:f>
        <x:v>S5</x:v>
      </x:c>
      <x:c r="B32" s="147" t="str">
        <x:f>'完整对比表'!C186&amp;"×"&amp;'完整对比表'!D186&amp;"×"&amp;'完整对比表'!E186</x:f>
        <x:v>64×64×7168</x:v>
      </x:c>
      <x:c r="C32" s="147" t="str">
        <x:f>'完整对比表'!B186</x:f>
        <x:v>FP8</x:v>
      </x:c>
      <x:c r="D32" s="148" t="str">
        <x:f>"tM="&amp;'完整对比表'!F186&amp;", tN="&amp;'完整对比表'!G186&amp;", tK="&amp;'完整对比表'!H186</x:f>
        <x:v>tM=128, tN=64, tK=256</x:v>
      </x:c>
      <x:c r="E32" s="149" t="n">
        <x:f>'完整对比表'!L186</x:f>
        <x:v>14070</x:v>
      </x:c>
      <x:c r="F32" s="150" t="n">
        <x:f>'完整对比表'!M186</x:f>
        <x:v>0.255</x:v>
      </x:c>
      <x:c r="G32" s="161" t="str">
        <x:f>'完整对比表'!T186</x:f>
        <x:v>PASS</x:v>
      </x:c>
      <x:c r="H32" s="148" t="str">
        <x:f>"Total="&amp;'完整对比表'!K186&amp;" KB"</x:f>
        <x:v>Total=48 KB</x:v>
      </x:c>
    </x:row>
    <x:row r="33" ht="21" customHeight="1">
      <x:c r="A33" s="147" t="str">
        <x:f>'完整对比表'!A190</x:f>
        <x:v>S5</x:v>
      </x:c>
      <x:c r="B33" s="147" t="str">
        <x:f>'完整对比表'!C190&amp;"×"&amp;'完整对比表'!D190&amp;"×"&amp;'完整对比表'!E190</x:f>
        <x:v>64×64×7168</x:v>
      </x:c>
      <x:c r="C33" s="147" t="str">
        <x:f>'完整对比表'!B190</x:f>
        <x:v>MXFP8</x:v>
      </x:c>
      <x:c r="D33" s="148" t="str">
        <x:f>"tM="&amp;'完整对比表'!F190&amp;", tN="&amp;'完整对比表'!G190&amp;", tK="&amp;'完整对比表'!H190</x:f>
        <x:v>tM=128, tN=64, tK=512</x:v>
      </x:c>
      <x:c r="E33" s="149" t="n">
        <x:f>'完整对比表'!L190</x:f>
        <x:v>15566</x:v>
      </x:c>
      <x:c r="F33" s="150" t="n">
        <x:f>'完整对比表'!M190</x:f>
        <x:v>0.23</x:v>
      </x:c>
      <x:c r="G33" s="161" t="str">
        <x:f>'完整对比表'!T190</x:f>
        <x:v>PASS</x:v>
      </x:c>
      <x:c r="H33" s="148" t="str">
        <x:f>"Total="&amp;'完整对比表'!K190&amp;" KB"</x:f>
        <x:v>Total=96 KB</x:v>
      </x:c>
    </x:row>
    <x:row r="34" ht="21" customHeight="1">
      <x:c r="A34" s="147" t="str">
        <x:f>'完整对比表'!A192</x:f>
        <x:v>S5</x:v>
      </x:c>
      <x:c r="B34" s="147" t="str">
        <x:f>'完整对比表'!C192&amp;"×"&amp;'完整对比表'!D192&amp;"×"&amp;'完整对比表'!E192</x:f>
        <x:v>64×64×7168</x:v>
      </x:c>
      <x:c r="C34" s="147" t="str">
        <x:f>'完整对比表'!B192</x:f>
        <x:v>MXFP4</x:v>
      </x:c>
      <x:c r="D34" s="148" t="str">
        <x:f>"tM="&amp;'完整对比表'!F192&amp;", tN="&amp;'完整对比表'!G192&amp;", tK="&amp;'完整对比表'!H192</x:f>
        <x:v>tM=128, tN=64, tK=256</x:v>
      </x:c>
      <x:c r="E34" s="149" t="n">
        <x:f>'完整对比表'!L192</x:f>
        <x:v>12062</x:v>
      </x:c>
      <x:c r="F34" s="150" t="n">
        <x:f>'完整对比表'!M192</x:f>
        <x:v>0.149</x:v>
      </x:c>
      <x:c r="G34" s="161" t="str">
        <x:f>'完整对比表'!T192</x:f>
        <x:v>PASS</x:v>
      </x:c>
      <x:c r="H34" s="148" t="str">
        <x:f>"Total="&amp;'完整对比表'!K192&amp;" KB"</x:f>
        <x:v>Total=48 KB</x:v>
      </x:c>
    </x:row>
    <x:row r="35" ht="21" customHeight="1">
      <x:c r="A35" s="151" t="str">
        <x:f>'完整对比表'!A201</x:f>
        <x:v>S6</x:v>
      </x:c>
      <x:c r="B35" s="151" t="str">
        <x:f>'完整对比表'!C201&amp;"×"&amp;'完整对比表'!D201&amp;"×"&amp;'完整对比表'!E201</x:f>
        <x:v>128×256×32768</x:v>
      </x:c>
      <x:c r="C35" s="151" t="str">
        <x:f>'完整对比表'!B201</x:f>
        <x:v>FP32</x:v>
      </x:c>
      <x:c r="D35" s="152" t="str">
        <x:f>"tM="&amp;'完整对比表'!F201&amp;", tN="&amp;'完整对比表'!G201&amp;", tK="&amp;'完整对比表'!H201</x:f>
        <x:v>tM=128, tN=256, tK=64</x:v>
      </x:c>
      <x:c r="E35" s="153" t="n">
        <x:f>'完整对比表'!L201</x:f>
        <x:v>680533</x:v>
      </x:c>
      <x:c r="F35" s="154" t="n">
        <x:f>'完整对比表'!M201</x:f>
        <x:v>0.77</x:v>
      </x:c>
      <x:c r="G35" s="161" t="str">
        <x:f>'完整对比表'!T201</x:f>
        <x:v>PASS</x:v>
      </x:c>
      <x:c r="H35" s="152" t="str">
        <x:f>"Total="&amp;'完整对比表'!K201&amp;" KB"</x:f>
        <x:v>Total=96 KB</x:v>
      </x:c>
    </x:row>
    <x:row r="36" ht="21" customHeight="1">
      <x:c r="A36" s="151" t="str">
        <x:f>'完整对比表'!A210</x:f>
        <x:v>S6</x:v>
      </x:c>
      <x:c r="B36" s="151" t="str">
        <x:f>'完整对比表'!C210&amp;"×"&amp;'完整对比表'!D210&amp;"×"&amp;'完整对比表'!E210</x:f>
        <x:v>128×256×32768</x:v>
      </x:c>
      <x:c r="C36" s="151" t="str">
        <x:f>'完整对比表'!B210</x:f>
        <x:v>BF16</x:v>
      </x:c>
      <x:c r="D36" s="152" t="str">
        <x:f>"tM="&amp;'完整对比表'!F210&amp;", tN="&amp;'完整对比表'!G210&amp;", tK="&amp;'完整对比表'!H210</x:f>
        <x:v>tM=128, tN=256, tK=128</x:v>
      </x:c>
      <x:c r="E36" s="153" t="n">
        <x:f>'完整对比表'!L210</x:f>
        <x:v>342070</x:v>
      </x:c>
      <x:c r="F36" s="154" t="n">
        <x:f>'完整对比表'!M210</x:f>
        <x:v>0.7659999999999999</x:v>
      </x:c>
      <x:c r="G36" s="161" t="str">
        <x:f>'完整对比表'!T210</x:f>
        <x:v>PASS</x:v>
      </x:c>
      <x:c r="H36" s="152" t="str">
        <x:f>"Total="&amp;'完整对比表'!K210&amp;" KB"</x:f>
        <x:v>Total=96 KB</x:v>
      </x:c>
    </x:row>
    <x:row r="37" ht="21" customHeight="1">
      <x:c r="A37" s="151" t="str">
        <x:f>'完整对比表'!A219</x:f>
        <x:v>S6</x:v>
      </x:c>
      <x:c r="B37" s="151" t="str">
        <x:f>'完整对比表'!C219&amp;"×"&amp;'完整对比表'!D219&amp;"×"&amp;'完整对比表'!E219</x:f>
        <x:v>128×256×32768</x:v>
      </x:c>
      <x:c r="C37" s="151" t="str">
        <x:f>'完整对比表'!B219</x:f>
        <x:v>FP16</x:v>
      </x:c>
      <x:c r="D37" s="152" t="str">
        <x:f>"tM="&amp;'完整对比表'!F219&amp;", tN="&amp;'完整对比表'!G219&amp;", tK="&amp;'完整对比表'!H219</x:f>
        <x:v>tM=128, tN=256, tK=128</x:v>
      </x:c>
      <x:c r="E37" s="153" t="n">
        <x:f>'完整对比表'!L219</x:f>
        <x:v>342070</x:v>
      </x:c>
      <x:c r="F37" s="154" t="n">
        <x:f>'完整对比表'!M219</x:f>
        <x:v>0.7659999999999999</x:v>
      </x:c>
      <x:c r="G37" s="161" t="str">
        <x:f>'完整对比表'!T219</x:f>
        <x:v>PASS</x:v>
      </x:c>
      <x:c r="H37" s="152" t="str">
        <x:f>"Total="&amp;'完整对比表'!K219&amp;" KB"</x:f>
        <x:v>Total=96 KB</x:v>
      </x:c>
    </x:row>
    <x:row r="38" ht="21" customHeight="1">
      <x:c r="A38" s="151" t="str">
        <x:f>'完整对比表'!A227</x:f>
        <x:v>S6</x:v>
      </x:c>
      <x:c r="B38" s="151" t="str">
        <x:f>'完整对比表'!C227&amp;"×"&amp;'完整对比表'!D227&amp;"×"&amp;'完整对比表'!E227</x:f>
        <x:v>128×256×32768</x:v>
      </x:c>
      <x:c r="C38" s="151" t="str">
        <x:f>'完整对比表'!B227</x:f>
        <x:v>FP8</x:v>
      </x:c>
      <x:c r="D38" s="152" t="str">
        <x:f>"tM="&amp;'完整对比表'!F227&amp;", tN="&amp;'完整对比表'!G227&amp;", tK="&amp;'完整对比表'!H227</x:f>
        <x:v>tM=128, tN=256, tK=256</x:v>
      </x:c>
      <x:c r="E38" s="153" t="n">
        <x:f>'完整对比表'!L227</x:f>
        <x:v>172803</x:v>
      </x:c>
      <x:c r="F38" s="154" t="n">
        <x:f>'完整对比表'!M227</x:f>
        <x:v>0.759</x:v>
      </x:c>
      <x:c r="G38" s="161" t="str">
        <x:f>'完整对比表'!T227</x:f>
        <x:v>PASS</x:v>
      </x:c>
      <x:c r="H38" s="152" t="str">
        <x:f>"Total="&amp;'完整对比表'!K227&amp;" KB"</x:f>
        <x:v>Total=96 KB</x:v>
      </x:c>
    </x:row>
    <x:row r="39" ht="21" customHeight="1">
      <x:c r="A39" s="151" t="str">
        <x:v>S6</x:v>
      </x:c>
      <x:c r="B39" s="151" t="str">
        <x:v>128×256×32768</x:v>
      </x:c>
      <x:c r="C39" s="151" t="str">
        <x:v>MXFP8</x:v>
      </x:c>
      <x:c r="D39" s="152" t="str">
        <x:v>无 PASS</x:v>
      </x:c>
      <x:c r="E39" s="153" t="str">
        <x:v>—</x:v>
      </x:c>
      <x:c r="F39" s="154" t="str">
        <x:v>—</x:v>
      </x:c>
      <x:c r="G39" s="162" t="str">
        <x:v>NO PASS</x:v>
      </x:c>
      <x:c r="H39" s="152" t="str">
        <x:v>容量合规测例中无 PASS</x:v>
      </x:c>
    </x:row>
    <x:row r="40" ht="21" customHeight="1">
      <x:c r="A40" s="155" t="str">
        <x:v>S6</x:v>
      </x:c>
      <x:c r="B40" s="155" t="str">
        <x:v>128×256×32768</x:v>
      </x:c>
      <x:c r="C40" s="155" t="str">
        <x:v>MXFP4</x:v>
      </x:c>
      <x:c r="D40" s="156" t="str">
        <x:v>无 PASS</x:v>
      </x:c>
      <x:c r="E40" s="157" t="str">
        <x:v>—</x:v>
      </x:c>
      <x:c r="F40" s="158" t="str">
        <x:v>—</x:v>
      </x:c>
      <x:c r="G40" s="164" t="str">
        <x:v>NO PASS</x:v>
      </x:c>
      <x:c r="H40" s="156" t="str">
        <x:v>容量合规测例中无 PASS</x:v>
      </x:c>
    </x:row>
  </x:sheetData>
  <x:conditionalFormatting sqref="G5:G40">
    <x:cfRule type="cellIs" dxfId="2" priority="1" operator="equal">
      <x:formula>"PASS"</x:formula>
    </x:cfRule>
    <x:cfRule type="cellIs" dxfId="3" priority="2" operator="equal">
      <x:formula>"NO 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e485034ab2e465e"/>
  </x:tableParts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78" hidden="0" customWidth="1"/>
    <x:col min="3" max="3" width="1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4" customHeight="1">
      <x:c r="A1" s="1" t="str">
        <x:v>容量筛选与通过率汇总</x:v>
      </x:c>
    </x:row>
    <x:row r="2" ht="20" customHeight="1">
      <x:c r="A2" s="2" t="str">
        <x:v>统计分母仅包含 Total(KB) ≤ 256 的测例。</x:v>
      </x:c>
    </x:row>
    <x:row r="3">
      <x:c r="A3" s="3"/>
      <x:c r="B3" s="3"/>
      <x:c r="C3" s="3"/>
      <x:c r="D3" s="3"/>
      <x:c r="E3" s="3"/>
      <x:c r="F3" s="3"/>
      <x:c r="G3" s="3"/>
      <x:c r="H3" s="3"/>
    </x:row>
    <x:row r="4">
      <x:c r="A4" s="89" t="str">
        <x:v>容量筛选</x:v>
      </x:c>
      <x:c r="B4" s="89" t="str">
        <x:v>结果</x:v>
      </x:c>
      <x:c r="D4" s="89" t="str">
        <x:v>dtype</x:v>
      </x:c>
      <x:c r="E4" s="89" t="str">
        <x:v>PASS/总数</x:v>
      </x:c>
      <x:c r="F4" s="89" t="str">
        <x:v>通过率</x:v>
      </x:c>
    </x:row>
    <x:row r="5">
      <x:c r="A5" s="167" t="str">
        <x:v>原始测例</x:v>
      </x:c>
      <x:c r="B5" s="170" t="n">
        <x:v>264</x:v>
      </x:c>
      <x:c r="D5" s="177" t="str">
        <x:v>FP32</x:v>
      </x:c>
      <x:c r="E5" s="177" t="str">
        <x:f>COUNTIFS('完整对比表'!$B$5:$B$242,D5,'完整对比表'!$T$5:$T$242,"PASS")&amp;"/"&amp;COUNTIFS('完整对比表'!$B$5:$B$242,D5)</x:f>
        <x:v>36/37</x:v>
      </x:c>
      <x:c r="F5" s="183" t="n">
        <x:f>COUNTIFS('完整对比表'!$B$5:$B$242,D5,'完整对比表'!$T$5:$T$242,"PASS")/COUNTIFS('完整对比表'!$B$5:$B$242,D5)</x:f>
        <x:v>0.972972972972973</x:v>
      </x:c>
    </x:row>
    <x:row r="6">
      <x:c r="A6" s="168" t="str">
        <x:v>剔除超容量测例</x:v>
      </x:c>
      <x:c r="B6" s="171" t="n">
        <x:v>26</x:v>
      </x:c>
      <x:c r="D6" s="178" t="str">
        <x:v>BF16</x:v>
      </x:c>
      <x:c r="E6" s="178" t="str">
        <x:f>COUNTIFS('完整对比表'!$B$5:$B$242,D6,'完整对比表'!$T$5:$T$242,"PASS")&amp;"/"&amp;COUNTIFS('完整对比表'!$B$5:$B$242,D6)</x:f>
        <x:v>43/47</x:v>
      </x:c>
      <x:c r="F6" s="184" t="n">
        <x:f>COUNTIFS('完整对比表'!$B$5:$B$242,D6,'完整对比表'!$T$5:$T$242,"PASS")/COUNTIFS('完整对比表'!$B$5:$B$242,D6)</x:f>
        <x:v>0.9148936170212766</x:v>
      </x:c>
    </x:row>
    <x:row r="7">
      <x:c r="A7" s="168" t="str">
        <x:v>保留容量合规测例</x:v>
      </x:c>
      <x:c r="B7" s="171" t="n">
        <x:v>238</x:v>
      </x:c>
      <x:c r="D7" s="178" t="str">
        <x:v>FP16</x:v>
      </x:c>
      <x:c r="E7" s="178" t="str">
        <x:f>COUNTIFS('完整对比表'!$B$5:$B$242,D7,'完整对比表'!$T$5:$T$242,"PASS")&amp;"/"&amp;COUNTIFS('完整对比表'!$B$5:$B$242,D7)</x:f>
        <x:v>43/47</x:v>
      </x:c>
      <x:c r="F7" s="184" t="n">
        <x:f>COUNTIFS('完整对比表'!$B$5:$B$242,D7,'完整对比表'!$T$5:$T$242,"PASS")/COUNTIFS('完整对比表'!$B$5:$B$242,D7)</x:f>
        <x:v>0.9148936170212766</x:v>
      </x:c>
    </x:row>
    <x:row r="8">
      <x:c r="A8" s="169" t="str">
        <x:v>容量上限</x:v>
      </x:c>
      <x:c r="B8" s="172" t="str">
        <x:v>256 KiB</x:v>
      </x:c>
      <x:c r="D8" s="178" t="str">
        <x:v>FP8</x:v>
      </x:c>
      <x:c r="E8" s="178" t="str">
        <x:f>COUNTIFS('完整对比表'!$B$5:$B$242,D8,'完整对比表'!$T$5:$T$242,"PASS")&amp;"/"&amp;COUNTIFS('完整对比表'!$B$5:$B$242,D8)</x:f>
        <x:v>39/39</x:v>
      </x:c>
      <x:c r="F8" s="184" t="n">
        <x:f>COUNTIFS('完整对比表'!$B$5:$B$242,D8,'完整对比表'!$T$5:$T$242,"PASS")/COUNTIFS('完整对比表'!$B$5:$B$242,D8)</x:f>
        <x:v>1</x:v>
      </x:c>
    </x:row>
    <x:row r="9">
      <x:c r="D9" s="178" t="str">
        <x:v>MXFP8</x:v>
      </x:c>
      <x:c r="E9" s="178" t="str">
        <x:f>COUNTIFS('完整对比表'!$B$5:$B$242,D9,'完整对比表'!$T$5:$T$242,"PASS")&amp;"/"&amp;COUNTIFS('完整对比表'!$B$5:$B$242,D9)</x:f>
        <x:v>25/34</x:v>
      </x:c>
      <x:c r="F9" s="184" t="n">
        <x:f>COUNTIFS('完整对比表'!$B$5:$B$242,D9,'完整对比表'!$T$5:$T$242,"PASS")/COUNTIFS('完整对比表'!$B$5:$B$242,D9)</x:f>
        <x:v>0.7352941176470589</x:v>
      </x:c>
    </x:row>
    <x:row r="10">
      <x:c r="D10" s="179" t="str">
        <x:v>MXFP4</x:v>
      </x:c>
      <x:c r="E10" s="179" t="str">
        <x:f>COUNTIFS('完整对比表'!$B$5:$B$242,D10,'完整对比表'!$T$5:$T$242,"PASS")&amp;"/"&amp;COUNTIFS('完整对比表'!$B$5:$B$242,D10)</x:f>
        <x:v>25/34</x:v>
      </x:c>
      <x:c r="F10" s="185" t="n">
        <x:f>COUNTIFS('完整对比表'!$B$5:$B$242,D10,'完整对比表'!$T$5:$T$242,"PASS")/COUNTIFS('完整对比表'!$B$5:$B$242,D10)</x:f>
        <x:v>0.7352941176470589</x:v>
      </x:c>
    </x:row>
    <x:row r="12" ht="24" customHeight="1">
      <x:c r="A12" s="90" t="str">
        <x:v>Shape</x:v>
      </x:c>
      <x:c r="B12" s="90" t="str">
        <x:v>MNK</x:v>
      </x:c>
      <x:c r="C12" s="90" t="str">
        <x:v>FP32</x:v>
      </x:c>
      <x:c r="D12" s="90" t="str">
        <x:v>BF16</x:v>
      </x:c>
      <x:c r="E12" s="90" t="str">
        <x:v>FP16</x:v>
      </x:c>
      <x:c r="F12" s="90" t="str">
        <x:v>FP8</x:v>
      </x:c>
      <x:c r="G12" s="90" t="str">
        <x:v>MXFP8</x:v>
      </x:c>
      <x:c r="H12" s="90" t="str">
        <x:v>MXFP4</x:v>
      </x:c>
    </x:row>
    <x:row r="13">
      <x:c r="A13" s="127" t="str">
        <x:v>S1</x:v>
      </x:c>
      <x:c r="B13" s="127" t="str">
        <x:v>2048×256×2048</x:v>
      </x:c>
      <x:c r="C13" s="127" t="str">
        <x:f>COUNTIFS('完整对比表'!$A$5:$A$242,$A13,'完整对比表'!$B$5:$B$242,C$12,'完整对比表'!$T$5:$T$242,"PASS")&amp;"/"&amp;COUNTIFS('完整对比表'!$A$5:$A$242,$A13,'完整对比表'!$B$5:$B$242,C$12)</x:f>
        <x:v>6/6</x:v>
      </x:c>
      <x:c r="D13" s="127" t="str">
        <x:f>COUNTIFS('完整对比表'!$A$5:$A$242,$A13,'完整对比表'!$B$5:$B$242,D$12,'完整对比表'!$T$5:$T$242,"PASS")&amp;"/"&amp;COUNTIFS('完整对比表'!$A$5:$A$242,$A13,'完整对比表'!$B$5:$B$242,D$12)</x:f>
        <x:v>7/9</x:v>
      </x:c>
      <x:c r="E13" s="127" t="str">
        <x:f>COUNTIFS('完整对比表'!$A$5:$A$242,$A13,'完整对比表'!$B$5:$B$242,E$12,'完整对比表'!$T$5:$T$242,"PASS")&amp;"/"&amp;COUNTIFS('完整对比表'!$A$5:$A$242,$A13,'完整对比表'!$B$5:$B$242,E$12)</x:f>
        <x:v>7/9</x:v>
      </x:c>
      <x:c r="F13" s="127" t="str">
        <x:f>COUNTIFS('完整对比表'!$A$5:$A$242,$A13,'完整对比表'!$B$5:$B$242,F$12,'完整对比表'!$T$5:$T$242,"PASS")&amp;"/"&amp;COUNTIFS('完整对比表'!$A$5:$A$242,$A13,'完整对比表'!$B$5:$B$242,F$12)</x:f>
        <x:v>8/8</x:v>
      </x:c>
      <x:c r="G13" s="127" t="str">
        <x:f>COUNTIFS('完整对比表'!$A$5:$A$242,$A13,'完整对比表'!$B$5:$B$242,G$12,'完整对比表'!$T$5:$T$242,"PASS")&amp;"/"&amp;COUNTIFS('完整对比表'!$A$5:$A$242,$A13,'完整对比表'!$B$5:$B$242,G$12)</x:f>
        <x:v>5/7</x:v>
      </x:c>
      <x:c r="H13" s="127" t="str">
        <x:f>COUNTIFS('完整对比表'!$A$5:$A$242,$A13,'完整对比表'!$B$5:$B$242,H$12,'完整对比表'!$T$5:$T$242,"PASS")&amp;"/"&amp;COUNTIFS('完整对比表'!$A$5:$A$242,$A13,'完整对比表'!$B$5:$B$242,H$12)</x:f>
        <x:v>5/7</x:v>
      </x:c>
    </x:row>
    <x:row r="14">
      <x:c r="A14" s="135" t="str">
        <x:v>S2</x:v>
      </x:c>
      <x:c r="B14" s="135" t="str">
        <x:v>128×256×7168</x:v>
      </x:c>
      <x:c r="C14" s="135" t="str">
        <x:f>COUNTIFS('完整对比表'!$A$5:$A$242,$A14,'完整对比表'!$B$5:$B$242,C$12,'完整对比表'!$T$5:$T$242,"PASS")&amp;"/"&amp;COUNTIFS('完整对比表'!$A$5:$A$242,$A14,'完整对比表'!$B$5:$B$242,C$12)</x:f>
        <x:v>8/8</x:v>
      </x:c>
      <x:c r="D14" s="135" t="str">
        <x:f>COUNTIFS('完整对比表'!$A$5:$A$242,$A14,'完整对比表'!$B$5:$B$242,D$12,'完整对比表'!$T$5:$T$242,"PASS")&amp;"/"&amp;COUNTIFS('完整对比表'!$A$5:$A$242,$A14,'完整对比表'!$B$5:$B$242,D$12)</x:f>
        <x:v>9/9</x:v>
      </x:c>
      <x:c r="E14" s="135" t="str">
        <x:f>COUNTIFS('完整对比表'!$A$5:$A$242,$A14,'完整对比表'!$B$5:$B$242,E$12,'完整对比表'!$T$5:$T$242,"PASS")&amp;"/"&amp;COUNTIFS('完整对比表'!$A$5:$A$242,$A14,'完整对比表'!$B$5:$B$242,E$12)</x:f>
        <x:v>9/9</x:v>
      </x:c>
      <x:c r="F14" s="135" t="str">
        <x:f>COUNTIFS('完整对比表'!$A$5:$A$242,$A14,'完整对比表'!$B$5:$B$242,F$12,'完整对比表'!$T$5:$T$242,"PASS")&amp;"/"&amp;COUNTIFS('完整对比表'!$A$5:$A$242,$A14,'完整对比表'!$B$5:$B$242,F$12)</x:f>
        <x:v>8/8</x:v>
      </x:c>
      <x:c r="G14" s="135" t="str">
        <x:f>COUNTIFS('完整对比表'!$A$5:$A$242,$A14,'完整对比表'!$B$5:$B$242,G$12,'完整对比表'!$T$5:$T$242,"PASS")&amp;"/"&amp;COUNTIFS('完整对比表'!$A$5:$A$242,$A14,'完整对比表'!$B$5:$B$242,G$12)</x:f>
        <x:v>7/7</x:v>
      </x:c>
      <x:c r="H14" s="135" t="str">
        <x:f>COUNTIFS('完整对比表'!$A$5:$A$242,$A14,'完整对比表'!$B$5:$B$242,H$12,'完整对比表'!$T$5:$T$242,"PASS")&amp;"/"&amp;COUNTIFS('完整对比表'!$A$5:$A$242,$A14,'完整对比表'!$B$5:$B$242,H$12)</x:f>
        <x:v>7/7</x:v>
      </x:c>
    </x:row>
    <x:row r="15">
      <x:c r="A15" s="139" t="str">
        <x:v>S3</x:v>
      </x:c>
      <x:c r="B15" s="139" t="str">
        <x:v>256×128×7168</x:v>
      </x:c>
      <x:c r="C15" s="139" t="str">
        <x:f>COUNTIFS('完整对比表'!$A$5:$A$242,$A15,'完整对比表'!$B$5:$B$242,C$12,'完整对比表'!$T$5:$T$242,"PASS")&amp;"/"&amp;COUNTIFS('完整对比表'!$A$5:$A$242,$A15,'完整对比表'!$B$5:$B$242,C$12)</x:f>
        <x:v>5/6</x:v>
      </x:c>
      <x:c r="D15" s="139" t="str">
        <x:f>COUNTIFS('完整对比表'!$A$5:$A$242,$A15,'完整对比表'!$B$5:$B$242,D$12,'完整对比表'!$T$5:$T$242,"PASS")&amp;"/"&amp;COUNTIFS('完整对比表'!$A$5:$A$242,$A15,'完整对比表'!$B$5:$B$242,D$12)</x:f>
        <x:v>7/8</x:v>
      </x:c>
      <x:c r="E15" s="139" t="str">
        <x:f>COUNTIFS('完整对比表'!$A$5:$A$242,$A15,'完整对比表'!$B$5:$B$242,E$12,'完整对比表'!$T$5:$T$242,"PASS")&amp;"/"&amp;COUNTIFS('完整对比表'!$A$5:$A$242,$A15,'完整对比表'!$B$5:$B$242,E$12)</x:f>
        <x:v>7/8</x:v>
      </x:c>
      <x:c r="F15" s="139" t="str">
        <x:f>COUNTIFS('完整对比表'!$A$5:$A$242,$A15,'完整对比表'!$B$5:$B$242,F$12,'完整对比表'!$T$5:$T$242,"PASS")&amp;"/"&amp;COUNTIFS('完整对比表'!$A$5:$A$242,$A15,'完整对比表'!$B$5:$B$242,F$12)</x:f>
        <x:v>6/6</x:v>
      </x:c>
      <x:c r="G15" s="139" t="str">
        <x:f>COUNTIFS('完整对比表'!$A$5:$A$242,$A15,'完整对比表'!$B$5:$B$242,G$12,'完整对比表'!$T$5:$T$242,"PASS")&amp;"/"&amp;COUNTIFS('完整对比表'!$A$5:$A$242,$A15,'完整对比表'!$B$5:$B$242,G$12)</x:f>
        <x:v>5/5</x:v>
      </x:c>
      <x:c r="H15" s="139" t="str">
        <x:f>COUNTIFS('完整对比表'!$A$5:$A$242,$A15,'完整对比表'!$B$5:$B$242,H$12,'完整对比表'!$T$5:$T$242,"PASS")&amp;"/"&amp;COUNTIFS('完整对比表'!$A$5:$A$242,$A15,'完整对比表'!$B$5:$B$242,H$12)</x:f>
        <x:v>5/5</x:v>
      </x:c>
    </x:row>
    <x:row r="16">
      <x:c r="A16" s="143" t="str">
        <x:v>S4</x:v>
      </x:c>
      <x:c r="B16" s="143" t="str">
        <x:v>64×128×7168</x:v>
      </x:c>
      <x:c r="C16" s="143" t="str">
        <x:f>COUNTIFS('完整对比表'!$A$5:$A$242,$A16,'完整对比表'!$B$5:$B$242,C$12,'完整对比表'!$T$5:$T$242,"PASS")&amp;"/"&amp;COUNTIFS('完整对比表'!$A$5:$A$242,$A16,'完整对比表'!$B$5:$B$242,C$12)</x:f>
        <x:v>6/6</x:v>
      </x:c>
      <x:c r="D16" s="143" t="str">
        <x:f>COUNTIFS('完整对比表'!$A$5:$A$242,$A16,'完整对比表'!$B$5:$B$242,D$12,'完整对比表'!$T$5:$T$242,"PASS")&amp;"/"&amp;COUNTIFS('完整对比表'!$A$5:$A$242,$A16,'完整对比表'!$B$5:$B$242,D$12)</x:f>
        <x:v>8/8</x:v>
      </x:c>
      <x:c r="E16" s="143" t="str">
        <x:f>COUNTIFS('完整对比表'!$A$5:$A$242,$A16,'完整对比表'!$B$5:$B$242,E$12,'完整对比表'!$T$5:$T$242,"PASS")&amp;"/"&amp;COUNTIFS('完整对比表'!$A$5:$A$242,$A16,'完整对比表'!$B$5:$B$242,E$12)</x:f>
        <x:v>8/8</x:v>
      </x:c>
      <x:c r="F16" s="143" t="str">
        <x:f>COUNTIFS('完整对比表'!$A$5:$A$242,$A16,'完整对比表'!$B$5:$B$242,F$12,'完整对比表'!$T$5:$T$242,"PASS")&amp;"/"&amp;COUNTIFS('完整对比表'!$A$5:$A$242,$A16,'完整对比表'!$B$5:$B$242,F$12)</x:f>
        <x:v>6/6</x:v>
      </x:c>
      <x:c r="G16" s="143" t="str">
        <x:f>COUNTIFS('完整对比表'!$A$5:$A$242,$A16,'完整对比表'!$B$5:$B$242,G$12,'完整对比表'!$T$5:$T$242,"PASS")&amp;"/"&amp;COUNTIFS('完整对比表'!$A$5:$A$242,$A16,'完整对比表'!$B$5:$B$242,G$12)</x:f>
        <x:v>5/5</x:v>
      </x:c>
      <x:c r="H16" s="143" t="str">
        <x:f>COUNTIFS('完整对比表'!$A$5:$A$242,$A16,'完整对比表'!$B$5:$B$242,H$12,'完整对比表'!$T$5:$T$242,"PASS")&amp;"/"&amp;COUNTIFS('完整对比表'!$A$5:$A$242,$A16,'完整对比表'!$B$5:$B$242,H$12)</x:f>
        <x:v>5/5</x:v>
      </x:c>
    </x:row>
    <x:row r="17">
      <x:c r="A17" s="147" t="str">
        <x:v>S5</x:v>
      </x:c>
      <x:c r="B17" s="147" t="str">
        <x:v>64×64×7168</x:v>
      </x:c>
      <x:c r="C17" s="147" t="str">
        <x:f>COUNTIFS('完整对比表'!$A$5:$A$242,$A17,'完整对比表'!$B$5:$B$242,C$12,'完整对比表'!$T$5:$T$242,"PASS")&amp;"/"&amp;COUNTIFS('完整对比表'!$A$5:$A$242,$A17,'完整对比表'!$B$5:$B$242,C$12)</x:f>
        <x:v>3/3</x:v>
      </x:c>
      <x:c r="D17" s="147" t="str">
        <x:f>COUNTIFS('完整对比表'!$A$5:$A$242,$A17,'完整对比表'!$B$5:$B$242,D$12,'完整对比表'!$T$5:$T$242,"PASS")&amp;"/"&amp;COUNTIFS('完整对比表'!$A$5:$A$242,$A17,'完整对比表'!$B$5:$B$242,D$12)</x:f>
        <x:v>4/4</x:v>
      </x:c>
      <x:c r="E17" s="147" t="str">
        <x:f>COUNTIFS('完整对比表'!$A$5:$A$242,$A17,'完整对比表'!$B$5:$B$242,E$12,'完整对比表'!$T$5:$T$242,"PASS")&amp;"/"&amp;COUNTIFS('完整对比表'!$A$5:$A$242,$A17,'完整对比表'!$B$5:$B$242,E$12)</x:f>
        <x:v>4/4</x:v>
      </x:c>
      <x:c r="F17" s="147" t="str">
        <x:f>COUNTIFS('完整对比表'!$A$5:$A$242,$A17,'完整对比表'!$B$5:$B$242,F$12,'完整对比表'!$T$5:$T$242,"PASS")&amp;"/"&amp;COUNTIFS('完整对比表'!$A$5:$A$242,$A17,'完整对比表'!$B$5:$B$242,F$12)</x:f>
        <x:v>3/3</x:v>
      </x:c>
      <x:c r="G17" s="147" t="str">
        <x:f>COUNTIFS('完整对比表'!$A$5:$A$242,$A17,'完整对比表'!$B$5:$B$242,G$12,'完整对比表'!$T$5:$T$242,"PASS")&amp;"/"&amp;COUNTIFS('完整对比表'!$A$5:$A$242,$A17,'完整对比表'!$B$5:$B$242,G$12)</x:f>
        <x:v>3/3</x:v>
      </x:c>
      <x:c r="H17" s="147" t="str">
        <x:f>COUNTIFS('完整对比表'!$A$5:$A$242,$A17,'完整对比表'!$B$5:$B$242,H$12,'完整对比表'!$T$5:$T$242,"PASS")&amp;"/"&amp;COUNTIFS('完整对比表'!$A$5:$A$242,$A17,'完整对比表'!$B$5:$B$242,H$12)</x:f>
        <x:v>3/3</x:v>
      </x:c>
    </x:row>
    <x:row r="18">
      <x:c r="A18" s="155" t="str">
        <x:v>S6</x:v>
      </x:c>
      <x:c r="B18" s="155" t="str">
        <x:v>128×256×32768</x:v>
      </x:c>
      <x:c r="C18" s="155" t="str">
        <x:f>COUNTIFS('完整对比表'!$A$5:$A$242,$A18,'完整对比表'!$B$5:$B$242,C$12,'完整对比表'!$T$5:$T$242,"PASS")&amp;"/"&amp;COUNTIFS('完整对比表'!$A$5:$A$242,$A18,'完整对比表'!$B$5:$B$242,C$12)</x:f>
        <x:v>8/8</x:v>
      </x:c>
      <x:c r="D18" s="155" t="str">
        <x:f>COUNTIFS('完整对比表'!$A$5:$A$242,$A18,'完整对比表'!$B$5:$B$242,D$12,'完整对比表'!$T$5:$T$242,"PASS")&amp;"/"&amp;COUNTIFS('完整对比表'!$A$5:$A$242,$A18,'完整对比表'!$B$5:$B$242,D$12)</x:f>
        <x:v>8/9</x:v>
      </x:c>
      <x:c r="E18" s="155" t="str">
        <x:f>COUNTIFS('完整对比表'!$A$5:$A$242,$A18,'完整对比表'!$B$5:$B$242,E$12,'完整对比表'!$T$5:$T$242,"PASS")&amp;"/"&amp;COUNTIFS('完整对比表'!$A$5:$A$242,$A18,'完整对比表'!$B$5:$B$242,E$12)</x:f>
        <x:v>8/9</x:v>
      </x:c>
      <x:c r="F18" s="155" t="str">
        <x:f>COUNTIFS('完整对比表'!$A$5:$A$242,$A18,'完整对比表'!$B$5:$B$242,F$12,'完整对比表'!$T$5:$T$242,"PASS")&amp;"/"&amp;COUNTIFS('完整对比表'!$A$5:$A$242,$A18,'完整对比表'!$B$5:$B$242,F$12)</x:f>
        <x:v>8/8</x:v>
      </x:c>
      <x:c r="G18" s="155" t="str">
        <x:f>COUNTIFS('完整对比表'!$A$5:$A$242,$A18,'完整对比表'!$B$5:$B$242,G$12,'完整对比表'!$T$5:$T$242,"PASS")&amp;"/"&amp;COUNTIFS('完整对比表'!$A$5:$A$242,$A18,'完整对比表'!$B$5:$B$242,G$12)</x:f>
        <x:v>0/7</x:v>
      </x:c>
      <x:c r="H18" s="155" t="str">
        <x:f>COUNTIFS('完整对比表'!$A$5:$A$242,$A18,'完整对比表'!$B$5:$B$242,H$12,'完整对比表'!$T$5:$T$242,"PASS")&amp;"/"&amp;COUNTIFS('完整对比表'!$A$5:$A$242,$A18,'完整对比表'!$B$5:$B$242,H$12)</x:f>
        <x:v>0/7</x:v>
      </x:c>
    </x:row>
    <x:row r="21">
      <x:c r="A21" s="89" t="str">
        <x:v>环境与口径</x:v>
      </x:c>
      <x:c r="B21" s="89" t="str">
        <x:v>说明</x:v>
      </x:c>
    </x:row>
    <x:row r="22">
      <x:c r="A22" s="192" t="str">
        <x:v>Compiler</x:v>
      </x:c>
      <x:c r="B22" s="189" t="str">
        <x:v>linx-toolchain-build e6a31efb4cfb</x:v>
      </x:c>
    </x:row>
    <x:row r="23">
      <x:c r="A23" s="193" t="str">
        <x:v>gfsim</x:v>
      </x:c>
      <x:c r="B23" s="190" t="str">
        <x:v>SuperScalarModel-main ca92ea3bc708 / 9b3a4405（沿用记录）</x:v>
      </x:c>
    </x:row>
    <x:row r="24">
      <x:c r="A24" s="193" t="str">
        <x:v>容量口径</x:v>
      </x:c>
      <x:c r="B24" s="190" t="str">
        <x:v>SharedTile LogicalTileBytes；MX 包含 A/B data carrier 与 padded E8M0 scale</x:v>
      </x:c>
    </x:row>
    <x:row r="25">
      <x:c r="A25" s="193" t="str">
        <x:v>性能最优口径</x:v>
      </x:c>
      <x:c r="B25" s="190" t="str">
        <x:v>同 Shape + dtype 中，容量合规且 PASS 的 cycles 最小项</x:v>
      </x:c>
    </x:row>
    <x:row r="26">
      <x:c r="A26" s="193" t="str">
        <x:v>PMU 公式</x:v>
      </x:c>
      <x:c r="B26" s="190" t="str">
        <x:v>M×N×K / peak_FMA / cycles；FP32=2048，BF16/FP16=4096，FP8/MXFP8=8192，MXFP4=16384</x:v>
      </x:c>
    </x:row>
    <x:row r="27">
      <x:c r="A27" s="193" t="str">
        <x:v>带宽模型</x:v>
      </x:c>
      <x:c r="B27" s="190" t="str">
        <x:v>Cube 读 128 B/c；写 512 B/c</x:v>
      </x:c>
    </x:row>
    <x:row r="28">
      <x:c r="A28" s="193" t="str">
        <x:v>数据来源</x:v>
      </x:c>
      <x:c r="B28" s="190" t="str">
        <x:v>S1 缺失项与 S1 MX 为本轮实测；S2–S6 沿用前轮实测</x:v>
      </x:c>
    </x:row>
    <x:row r="29">
      <x:c r="A29" s="194" t="str">
        <x:v>颜色说明</x:v>
      </x:c>
      <x:c r="B29" s="191" t="str">
        <x:v>Shape 使用固定浅色；金色为对应 Shape + dtype 的最优 PASS 配置</x:v>
      </x:c>
    </x:row>
  </x:sheetData>
  <x:pageMargins left="0.7" right="0.7" top="0.75" bottom="0.75" header="0.3" footer="0.3"/>
</x:worksheet>
</file>