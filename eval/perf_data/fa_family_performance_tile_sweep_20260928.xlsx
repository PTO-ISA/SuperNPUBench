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d082b2b59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对比" sheetId="1" r:id="Rac1b3488dcee42ac"/>
    <x:sheet xmlns:r="http://schemas.openxmlformats.org/officeDocument/2006/relationships" name="原始数据" sheetId="2" r:id="Rf95bcbfd345040e5"/>
    <x:sheet xmlns:r="http://schemas.openxmlformats.org/officeDocument/2006/relationships" name="运行信息" sheetId="3" r:id="R4e0381a36f8c4a09"/>
    <x:sheet xmlns:r="http://schemas.openxmlformats.org/officeDocument/2006/relationships" name="复核结果" sheetId="4" r:id="R3926fbb801a3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0.00%"/>
  </x:numFmts>
  <x:fonts count="23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sz val="10"/>
      <x:color rgb="FF404040"/>
      <x:name val="Arial"/>
    </x:font>
    <x:font>
      <x:b/>
      <x:sz val="10"/>
      <x:color rgb="FF1F1F1F"/>
      <x:name val="Arial"/>
    </x:font>
    <x:font>
      <x:i/>
      <x:sz val="9"/>
      <x:color rgb="FF666666"/>
      <x:name val="Arial"/>
    </x:font>
    <x:font>
      <x:sz val="10"/>
      <x:color rgb="FF333333"/>
      <x:name val="Arial"/>
    </x:font>
    <x:font>
      <x:sz val="10"/>
      <x:color rgb="FF385723"/>
      <x:name val="Arial"/>
    </x:font>
    <x:font>
      <x:sz val="10"/>
      <x:color rgb="FFC00000"/>
      <x:name val="Arial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75623"/>
      <x:name val="Arial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333333"/>
      <x:name val="Carlito"/>
    </x:font>
    <x:font>
      <x:b/>
      <x:sz val="11"/>
      <x:color rgb="FF17365D"/>
      <x:name val="Carlito"/>
    </x:font>
    <x:font>
      <x:sz val="10"/>
      <x:color rgb="FF333333"/>
      <x:name val="Arial"/>
    </x:font>
    <x:font>
      <x:sz val="10"/>
      <x:color rgb="FF385723"/>
      <x:name val="Arial"/>
    </x:font>
    <x:font>
      <x:b/>
      <x:sz val="10"/>
      <x:color rgb="FFC00000"/>
      <x:name val="Arial"/>
    </x:font>
  </x:fonts>
  <x:fills count="5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0">
    <x:border/>
    <x:border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/>
    <x:xf numFmtId="202" fontId="4" fillId="0" borderId="6" xfId="0" applyNumberFormat="1" applyFont="1" applyFill="1" applyBorder="1"/>
    <x:xf numFmtId="200" fontId="4" fillId="0" borderId="6" xfId="0" applyNumberFormat="1" applyFont="1" applyFill="1" applyBorder="1"/>
    <x:xf numFmtId="201" fontId="4" fillId="0" borderId="6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/>
    <x:xf numFmtId="0" fontId="1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202" fontId="4" fillId="0" borderId="8" xfId="0" applyNumberFormat="1" applyFont="1" applyFill="1" applyBorder="1"/>
    <x:xf numFmtId="202" fontId="4" fillId="0" borderId="9" xfId="0" applyNumberFormat="1" applyFont="1" applyFill="1" applyBorder="1"/>
    <x:xf numFmtId="202" fontId="4" fillId="0" borderId="10" xfId="0" applyNumberFormat="1" applyFont="1" applyFill="1" applyBorder="1"/>
    <x:xf numFmtId="200" fontId="4" fillId="0" borderId="8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1" fontId="4" fillId="0" borderId="8" xfId="0" applyNumberFormat="1" applyFont="1" applyFill="1" applyBorder="1"/>
    <x:xf numFmtId="201" fontId="4" fillId="0" borderId="9" xfId="0" applyNumberFormat="1" applyFont="1" applyFill="1" applyBorder="1"/>
    <x:xf numFmtId="201" fontId="4" fillId="0" borderId="1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2" fontId="4" fillId="0" borderId="10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 applyAlignment="1">
      <x:alignment horizont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5" xfId="0" applyNumberFormat="1" applyFont="1" applyFill="1" applyBorder="1"/>
    <x:xf numFmtId="0" fontId="3" fillId="8" borderId="5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horizont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4" fillId="9" borderId="6" xfId="0" applyNumberFormat="1" applyFont="1" applyFill="1" applyBorder="1" applyAlignment="1">
      <x:alignment vertical="center"/>
    </x:xf>
    <x:xf numFmtId="0" fontId="4" fillId="9" borderId="7" xfId="0" applyNumberFormat="1" applyFont="1" applyFill="1" applyBorder="1" applyAlignment="1">
      <x:alignment vertical="center"/>
    </x:xf>
    <x:xf numFmtId="0" fontId="4" fillId="10" borderId="7" xfId="0" applyNumberFormat="1" applyFont="1" applyFill="1" applyBorder="1" applyAlignment="1">
      <x:alignment vertical="center"/>
    </x:xf>
    <x:xf numFmtId="0" fontId="4" fillId="11" borderId="7" xfId="0" applyNumberFormat="1" applyFont="1" applyFill="1" applyBorder="1" applyAlignment="1">
      <x:alignment vertical="center"/>
    </x:xf>
    <x:xf numFmtId="200" fontId="4" fillId="1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/>
    <x:xf numFmtId="0" fontId="4" fillId="11" borderId="6" xfId="0" applyNumberFormat="1" applyFont="1" applyFill="1" applyBorder="1"/>
    <x:xf numFmtId="0" fontId="4" fillId="11" borderId="7" xfId="0" applyNumberFormat="1" applyFont="1" applyFill="1" applyBorder="1"/>
    <x:xf numFmtId="202" fontId="4" fillId="0" borderId="7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3" fillId="7" borderId="2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0" fontId="4" fillId="11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7" fillId="9" borderId="6" xfId="0" applyNumberFormat="1" applyFont="1" applyFill="1" applyBorder="1" applyAlignment="1">
      <x:alignment vertical="center"/>
    </x:xf>
    <x:xf numFmtId="0" fontId="7" fillId="9" borderId="7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horizontal="center"/>
    </x:xf>
    <x:xf numFmtId="0" fontId="3" fillId="14" borderId="0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0" fontId="9" fillId="0" borderId="14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 applyAlignment="1">
      <x:alignment vertical="center"/>
    </x:xf>
    <x:xf numFmtId="0" fontId="9" fillId="0" borderId="16" xfId="0" applyNumberFormat="1" applyFont="1" applyFill="1" applyBorder="1" applyAlignment="1">
      <x:alignment vertical="center"/>
    </x:xf>
    <x:xf numFmtId="0" fontId="9" fillId="0" borderId="17" xfId="0" applyNumberFormat="1" applyFont="1" applyFill="1" applyBorder="1" applyAlignment="1">
      <x:alignment vertical="center"/>
    </x:xf>
    <x:xf numFmtId="0" fontId="9" fillId="0" borderId="18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right" vertical="center"/>
    </x:xf>
    <x:xf numFmtId="0" fontId="9" fillId="0" borderId="15" xfId="0" applyNumberFormat="1" applyFont="1" applyFill="1" applyBorder="1" applyAlignment="1">
      <x:alignment horizontal="right" vertical="center"/>
    </x:xf>
    <x:xf numFmtId="0" fontId="9" fillId="0" borderId="18" xfId="0" applyNumberFormat="1" applyFont="1" applyFill="1" applyBorder="1" applyAlignment="1">
      <x:alignment horizontal="right" vertical="center"/>
    </x:xf>
    <x:xf numFmtId="200" fontId="9" fillId="0" borderId="12" xfId="0" applyNumberFormat="1" applyFont="1" applyFill="1" applyBorder="1" applyAlignment="1">
      <x:alignment horizontal="right" vertical="center"/>
    </x:xf>
    <x:xf numFmtId="200" fontId="9" fillId="0" borderId="15" xfId="0" applyNumberFormat="1" applyFont="1" applyFill="1" applyBorder="1" applyAlignment="1">
      <x:alignment horizontal="right" vertical="center"/>
    </x:xf>
    <x:xf numFmtId="200" fontId="9" fillId="0" borderId="18" xfId="0" applyNumberFormat="1" applyFont="1" applyFill="1" applyBorder="1" applyAlignment="1">
      <x:alignment horizontal="right" vertical="center"/>
    </x:xf>
    <x:xf numFmtId="201" fontId="9" fillId="0" borderId="12" xfId="0" applyNumberFormat="1" applyFont="1" applyFill="1" applyBorder="1" applyAlignment="1">
      <x:alignment horizontal="right" vertical="center"/>
    </x:xf>
    <x:xf numFmtId="201" fontId="9" fillId="0" borderId="15" xfId="0" applyNumberFormat="1" applyFont="1" applyFill="1" applyBorder="1" applyAlignment="1">
      <x:alignment horizontal="right" vertical="center"/>
    </x:xf>
    <x:xf numFmtId="201" fontId="9" fillId="0" borderId="18" xfId="0" applyNumberFormat="1" applyFont="1" applyFill="1" applyBorder="1" applyAlignment="1">
      <x:alignment horizontal="right" vertical="center"/>
    </x:xf>
    <x:xf numFmtId="0" fontId="9" fillId="15" borderId="11" xfId="0" applyNumberFormat="1" applyFont="1" applyFill="1" applyBorder="1" applyAlignment="1">
      <x:alignment vertical="center"/>
    </x:xf>
    <x:xf numFmtId="0" fontId="9" fillId="15" borderId="12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horizontal="right" vertical="center"/>
    </x:xf>
    <x:xf numFmtId="0" fontId="10" fillId="16" borderId="12" xfId="0" applyNumberFormat="1" applyFont="1" applyFill="1" applyBorder="1" applyAlignment="1">
      <x:alignment horizontal="right" vertical="center"/>
    </x:xf>
    <x:xf numFmtId="0" fontId="9" fillId="17" borderId="12" xfId="0" applyNumberFormat="1" applyFont="1" applyFill="1" applyBorder="1" applyAlignment="1">
      <x:alignment horizontal="right" vertical="center"/>
    </x:xf>
    <x:xf numFmtId="0" fontId="11" fillId="17" borderId="12" xfId="0" applyNumberFormat="1" applyFont="1" applyFill="1" applyBorder="1" applyAlignment="1">
      <x:alignment horizontal="right" vertical="center"/>
    </x:xf>
    <x:xf numFmtId="0" fontId="9" fillId="15" borderId="14" xfId="0" applyNumberFormat="1" applyFont="1" applyFill="1" applyBorder="1" applyAlignment="1">
      <x:alignment vertical="center"/>
    </x:xf>
    <x:xf numFmtId="0" fontId="9" fillId="15" borderId="15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horizontal="right" vertical="center"/>
    </x:xf>
    <x:xf numFmtId="0" fontId="10" fillId="16" borderId="15" xfId="0" applyNumberFormat="1" applyFont="1" applyFill="1" applyBorder="1" applyAlignment="1">
      <x:alignment horizontal="right" vertical="center"/>
    </x:xf>
    <x:xf numFmtId="0" fontId="9" fillId="17" borderId="15" xfId="0" applyNumberFormat="1" applyFont="1" applyFill="1" applyBorder="1" applyAlignment="1">
      <x:alignment horizontal="right" vertical="center"/>
    </x:xf>
    <x:xf numFmtId="0" fontId="11" fillId="17" borderId="15" xfId="0" applyNumberFormat="1" applyFont="1" applyFill="1" applyBorder="1" applyAlignment="1">
      <x:alignment horizontal="right" vertical="center"/>
    </x:xf>
    <x:xf numFmtId="0" fontId="9" fillId="18" borderId="15" xfId="0" applyNumberFormat="1" applyFont="1" applyFill="1" applyBorder="1" applyAlignment="1">
      <x:alignment vertical="center"/>
    </x:xf>
    <x:xf numFmtId="0" fontId="9" fillId="16" borderId="14" xfId="0" applyNumberFormat="1" applyFont="1" applyFill="1" applyBorder="1" applyAlignment="1">
      <x:alignment vertical="center"/>
    </x:xf>
    <x:xf numFmtId="0" fontId="9" fillId="18" borderId="14" xfId="0" applyNumberFormat="1" applyFont="1" applyFill="1" applyBorder="1" applyAlignment="1">
      <x:alignment vertical="center"/>
    </x:xf>
    <x:xf numFmtId="0" fontId="9" fillId="18" borderId="17" xfId="0" applyNumberFormat="1" applyFont="1" applyFill="1" applyBorder="1" applyAlignment="1">
      <x:alignment vertical="center"/>
    </x:xf>
    <x:xf numFmtId="0" fontId="9" fillId="18" borderId="18" xfId="0" applyNumberFormat="1" applyFont="1" applyFill="1" applyBorder="1" applyAlignment="1">
      <x:alignment vertical="center"/>
    </x:xf>
    <x:xf numFmtId="0" fontId="9" fillId="16" borderId="18" xfId="0" applyNumberFormat="1" applyFont="1" applyFill="1" applyBorder="1" applyAlignment="1">
      <x:alignment horizontal="right" vertical="center"/>
    </x:xf>
    <x:xf numFmtId="0" fontId="10" fillId="16" borderId="18" xfId="0" applyNumberFormat="1" applyFont="1" applyFill="1" applyBorder="1" applyAlignment="1">
      <x:alignment horizontal="right" vertical="center"/>
    </x:xf>
    <x:xf numFmtId="0" fontId="9" fillId="17" borderId="18" xfId="0" applyNumberFormat="1" applyFont="1" applyFill="1" applyBorder="1" applyAlignment="1">
      <x:alignment horizontal="right" vertical="center"/>
    </x:xf>
    <x:xf numFmtId="0" fontId="11" fillId="17" borderId="18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 wrapText="0"/>
    </x:xf>
    <x:xf numFmtId="0" fontId="9" fillId="0" borderId="16" xfId="0" applyNumberFormat="1" applyFont="1" applyFill="1" applyBorder="1" applyAlignment="1">
      <x:alignment vertical="center" wrapText="0"/>
    </x:xf>
    <x:xf numFmtId="0" fontId="9" fillId="0" borderId="19" xfId="0" applyNumberFormat="1" applyFont="1" applyFill="1" applyBorder="1" applyAlignment="1">
      <x:alignment vertical="center" wrapText="0"/>
    </x:xf>
    <x:xf numFmtId="0" fontId="9" fillId="18" borderId="11" xfId="0" applyNumberFormat="1" applyFont="1" applyFill="1" applyBorder="1" applyAlignment="1">
      <x:alignment vertical="center"/>
    </x:xf>
    <x:xf numFmtId="0" fontId="9" fillId="18" borderId="12" xfId="0" applyNumberFormat="1" applyFont="1" applyFill="1" applyBorder="1" applyAlignment="1">
      <x:alignment vertical="center"/>
    </x:xf>
    <x:xf numFmtId="0" fontId="9" fillId="17" borderId="12" xfId="0" applyNumberFormat="1" applyFont="1" applyFill="1" applyBorder="1" applyAlignment="1">
      <x:alignment vertical="center"/>
    </x:xf>
    <x:xf numFmtId="0" fontId="9" fillId="17" borderId="15" xfId="0" applyNumberFormat="1" applyFont="1" applyFill="1" applyBorder="1" applyAlignment="1">
      <x:alignment vertical="center"/>
    </x:xf>
    <x:xf numFmtId="0" fontId="9" fillId="17" borderId="18" xfId="0" applyNumberFormat="1" applyFont="1" applyFill="1" applyBorder="1" applyAlignment="1">
      <x:alignment vertical="center"/>
    </x:xf>
    <x:xf numFmtId="0" fontId="11" fillId="17" borderId="12" xfId="0" applyNumberFormat="1" applyFont="1" applyFill="1" applyBorder="1" applyAlignment="1">
      <x:alignment vertical="center"/>
    </x:xf>
    <x:xf numFmtId="0" fontId="11" fillId="17" borderId="15" xfId="0" applyNumberFormat="1" applyFont="1" applyFill="1" applyBorder="1" applyAlignment="1">
      <x:alignment vertical="center"/>
    </x:xf>
    <x:xf numFmtId="0" fontId="11" fillId="17" borderId="18" xfId="0" applyNumberFormat="1" applyFont="1" applyFill="1" applyBorder="1" applyAlignment="1">
      <x:alignment vertical="center"/>
    </x:xf>
    <x:xf numFmtId="202" fontId="9" fillId="0" borderId="12" xfId="0" applyNumberFormat="1" applyFont="1" applyFill="1" applyBorder="1" applyAlignment="1">
      <x:alignment vertical="center"/>
    </x:xf>
    <x:xf numFmtId="202" fontId="9" fillId="0" borderId="15" xfId="0" applyNumberFormat="1" applyFont="1" applyFill="1" applyBorder="1" applyAlignment="1">
      <x:alignment vertical="center"/>
    </x:xf>
    <x:xf numFmtId="202" fontId="9" fillId="0" borderId="18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9" fillId="0" borderId="12" xfId="0" applyNumberFormat="1" applyFont="1" applyFill="1" applyBorder="1" applyAlignment="1">
      <x:alignment vertical="center"/>
    </x:xf>
    <x:xf numFmtId="200" fontId="9" fillId="0" borderId="15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201" fontId="9" fillId="0" borderId="12" xfId="0" applyNumberFormat="1" applyFont="1" applyFill="1" applyBorder="1" applyAlignment="1">
      <x:alignment vertical="center"/>
    </x:xf>
    <x:xf numFmtId="201" fontId="9" fillId="0" borderId="15" xfId="0" applyNumberFormat="1" applyFont="1" applyFill="1" applyBorder="1" applyAlignment="1">
      <x:alignment vertical="center"/>
    </x:xf>
    <x:xf numFmtId="201" fontId="9" fillId="0" borderId="18" xfId="0" applyNumberFormat="1" applyFont="1" applyFill="1" applyBorder="1" applyAlignment="1">
      <x:alignment vertical="center"/>
    </x:xf>
    <x:xf numFmtId="0" fontId="9" fillId="16" borderId="12" xfId="0" applyNumberFormat="1" applyFont="1" applyFill="1" applyBorder="1" applyAlignment="1">
      <x:alignment vertical="center"/>
    </x:xf>
    <x:xf numFmtId="0" fontId="10" fillId="16" borderId="12" xfId="0" applyNumberFormat="1" applyFont="1" applyFill="1" applyBorder="1" applyAlignment="1">
      <x:alignment vertical="center"/>
    </x:xf>
    <x:xf numFmtId="0" fontId="9" fillId="16" borderId="15" xfId="0" applyNumberFormat="1" applyFont="1" applyFill="1" applyBorder="1" applyAlignment="1">
      <x:alignment vertical="center"/>
    </x:xf>
    <x:xf numFmtId="0" fontId="10" fillId="16" borderId="15" xfId="0" applyNumberFormat="1" applyFont="1" applyFill="1" applyBorder="1" applyAlignment="1">
      <x:alignment vertical="center"/>
    </x:xf>
    <x:xf numFmtId="0" fontId="9" fillId="19" borderId="11" xfId="0" applyNumberFormat="1" applyFont="1" applyFill="1" applyBorder="1" applyAlignment="1">
      <x:alignment vertical="center"/>
    </x:xf>
    <x:xf numFmtId="0" fontId="9" fillId="19" borderId="14" xfId="0" applyNumberFormat="1" applyFont="1" applyFill="1" applyBorder="1" applyAlignment="1">
      <x:alignment vertical="center"/>
    </x:xf>
    <x:xf numFmtId="0" fontId="9" fillId="19" borderId="17" xfId="0" applyNumberFormat="1" applyFont="1" applyFill="1" applyBorder="1" applyAlignment="1">
      <x:alignment vertical="center"/>
    </x:xf>
    <x:xf numFmtId="0" fontId="12" fillId="19" borderId="11" xfId="0" applyNumberFormat="1" applyFont="1" applyFill="1" applyBorder="1" applyAlignment="1">
      <x:alignment vertical="center"/>
    </x:xf>
    <x:xf numFmtId="0" fontId="12" fillId="19" borderId="14" xfId="0" applyNumberFormat="1" applyFont="1" applyFill="1" applyBorder="1" applyAlignment="1">
      <x:alignment vertical="center"/>
    </x:xf>
    <x:xf numFmtId="0" fontId="12" fillId="19" borderId="17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9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20" borderId="0" xfId="0" applyNumberFormat="1" applyFont="1" applyFill="1" applyBorder="1" applyAlignment="1">
      <x:alignment horizontal="center" vertical="center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3" fillId="20" borderId="5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horizontal="center"/>
    </x:xf>
    <x:xf numFmtId="0" fontId="3" fillId="21" borderId="0" xfId="0" applyNumberFormat="1" applyFont="1" applyFill="1" applyBorder="1" applyAlignment="1">
      <x:alignment horizontal="center" vertical="center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1" borderId="5" xfId="0" applyNumberFormat="1" applyFont="1" applyFill="1" applyBorder="1" applyAlignment="1">
      <x:alignment horizontal="center" vertical="center" wrapText="1"/>
    </x:xf>
    <x:xf numFmtId="0" fontId="9" fillId="22" borderId="11" xfId="0" applyNumberFormat="1" applyFont="1" applyFill="1" applyBorder="1" applyAlignment="1">
      <x:alignment vertical="center"/>
    </x:xf>
    <x:xf numFmtId="0" fontId="9" fillId="22" borderId="12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horizontal="right" vertical="center"/>
    </x:xf>
    <x:xf numFmtId="0" fontId="10" fillId="23" borderId="12" xfId="0" applyNumberFormat="1" applyFont="1" applyFill="1" applyBorder="1" applyAlignment="1">
      <x:alignment horizontal="right" vertical="center"/>
    </x:xf>
    <x:xf numFmtId="0" fontId="9" fillId="24" borderId="12" xfId="0" applyNumberFormat="1" applyFont="1" applyFill="1" applyBorder="1" applyAlignment="1">
      <x:alignment horizontal="right" vertical="center"/>
    </x:xf>
    <x:xf numFmtId="0" fontId="11" fillId="24" borderId="12" xfId="0" applyNumberFormat="1" applyFont="1" applyFill="1" applyBorder="1" applyAlignment="1">
      <x:alignment horizontal="right" vertical="center"/>
    </x:xf>
    <x:xf numFmtId="0" fontId="9" fillId="22" borderId="14" xfId="0" applyNumberFormat="1" applyFont="1" applyFill="1" applyBorder="1" applyAlignment="1">
      <x:alignment vertical="center"/>
    </x:xf>
    <x:xf numFmtId="0" fontId="9" fillId="22" borderId="15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right" vertical="center"/>
    </x:xf>
    <x:xf numFmtId="0" fontId="9" fillId="24" borderId="15" xfId="0" applyNumberFormat="1" applyFont="1" applyFill="1" applyBorder="1" applyAlignment="1">
      <x:alignment horizontal="right" vertical="center"/>
    </x:xf>
    <x:xf numFmtId="0" fontId="11" fillId="24" borderId="15" xfId="0" applyNumberFormat="1" applyFont="1" applyFill="1" applyBorder="1" applyAlignment="1">
      <x:alignment horizontal="right" vertical="center"/>
    </x:xf>
    <x:xf numFmtId="0" fontId="9" fillId="25" borderId="15" xfId="0" applyNumberFormat="1" applyFont="1" applyFill="1" applyBorder="1" applyAlignment="1">
      <x:alignment vertical="center"/>
    </x:xf>
    <x:xf numFmtId="0" fontId="9" fillId="23" borderId="14" xfId="0" applyNumberFormat="1" applyFont="1" applyFill="1" applyBorder="1" applyAlignment="1">
      <x:alignment vertical="center"/>
    </x:xf>
    <x:xf numFmtId="0" fontId="9" fillId="25" borderId="14" xfId="0" applyNumberFormat="1" applyFont="1" applyFill="1" applyBorder="1" applyAlignment="1">
      <x:alignment vertical="center"/>
    </x:xf>
    <x:xf numFmtId="0" fontId="9" fillId="25" borderId="17" xfId="0" applyNumberFormat="1" applyFont="1" applyFill="1" applyBorder="1" applyAlignment="1">
      <x:alignment vertical="center"/>
    </x:xf>
    <x:xf numFmtId="0" fontId="9" fillId="25" borderId="18" xfId="0" applyNumberFormat="1" applyFont="1" applyFill="1" applyBorder="1" applyAlignment="1">
      <x:alignment vertical="center"/>
    </x:xf>
    <x:xf numFmtId="0" fontId="9" fillId="23" borderId="18" xfId="0" applyNumberFormat="1" applyFont="1" applyFill="1" applyBorder="1" applyAlignment="1">
      <x:alignment horizontal="right" vertical="center"/>
    </x:xf>
    <x:xf numFmtId="0" fontId="10" fillId="23" borderId="18" xfId="0" applyNumberFormat="1" applyFont="1" applyFill="1" applyBorder="1" applyAlignment="1">
      <x:alignment horizontal="right" vertical="center"/>
    </x:xf>
    <x:xf numFmtId="0" fontId="9" fillId="24" borderId="18" xfId="0" applyNumberFormat="1" applyFont="1" applyFill="1" applyBorder="1" applyAlignment="1">
      <x:alignment horizontal="right" vertical="center"/>
    </x:xf>
    <x:xf numFmtId="0" fontId="11" fillId="24" borderId="18" xfId="0" applyNumberFormat="1" applyFont="1" applyFill="1" applyBorder="1" applyAlignment="1">
      <x:alignment horizontal="right" vertical="center"/>
    </x:xf>
    <x:xf numFmtId="0" fontId="9" fillId="25" borderId="11" xfId="0" applyNumberFormat="1" applyFont="1" applyFill="1" applyBorder="1" applyAlignment="1">
      <x:alignment vertical="center"/>
    </x:xf>
    <x:xf numFmtId="0" fontId="9" fillId="25" borderId="12" xfId="0" applyNumberFormat="1" applyFont="1" applyFill="1" applyBorder="1" applyAlignment="1">
      <x:alignment vertical="center"/>
    </x:xf>
    <x:xf numFmtId="0" fontId="9" fillId="24" borderId="12" xfId="0" applyNumberFormat="1" applyFont="1" applyFill="1" applyBorder="1" applyAlignment="1">
      <x:alignment vertical="center"/>
    </x:xf>
    <x:xf numFmtId="0" fontId="9" fillId="24" borderId="15" xfId="0" applyNumberFormat="1" applyFont="1" applyFill="1" applyBorder="1" applyAlignment="1">
      <x:alignment vertical="center"/>
    </x:xf>
    <x:xf numFmtId="0" fontId="9" fillId="24" borderId="18" xfId="0" applyNumberFormat="1" applyFont="1" applyFill="1" applyBorder="1" applyAlignment="1">
      <x:alignment vertical="center"/>
    </x:xf>
    <x:xf numFmtId="0" fontId="11" fillId="24" borderId="12" xfId="0" applyNumberFormat="1" applyFont="1" applyFill="1" applyBorder="1" applyAlignment="1">
      <x:alignment vertical="center"/>
    </x:xf>
    <x:xf numFmtId="0" fontId="11" fillId="24" borderId="15" xfId="0" applyNumberFormat="1" applyFont="1" applyFill="1" applyBorder="1" applyAlignment="1">
      <x:alignment vertical="center"/>
    </x:xf>
    <x:xf numFmtId="0" fontId="11" fillId="24" borderId="18" xfId="0" applyNumberFormat="1" applyFont="1" applyFill="1" applyBorder="1" applyAlignment="1">
      <x:alignment vertical="center"/>
    </x:xf>
    <x:xf numFmtId="0" fontId="9" fillId="23" borderId="12" xfId="0" applyNumberFormat="1" applyFont="1" applyFill="1" applyBorder="1" applyAlignment="1">
      <x:alignment vertical="center"/>
    </x:xf>
    <x:xf numFmtId="0" fontId="10" fillId="23" borderId="12" xfId="0" applyNumberFormat="1" applyFont="1" applyFill="1" applyBorder="1" applyAlignment="1">
      <x:alignment vertical="center"/>
    </x:xf>
    <x:xf numFmtId="0" fontId="9" fillId="23" borderId="15" xfId="0" applyNumberFormat="1" applyFont="1" applyFill="1" applyBorder="1" applyAlignment="1">
      <x:alignment vertical="center"/>
    </x:xf>
    <x:xf numFmtId="0" fontId="10" fillId="23" borderId="15" xfId="0" applyNumberFormat="1" applyFont="1" applyFill="1" applyBorder="1" applyAlignment="1">
      <x:alignment vertical="center"/>
    </x:xf>
    <x:xf numFmtId="0" fontId="9" fillId="26" borderId="11" xfId="0" applyNumberFormat="1" applyFont="1" applyFill="1" applyBorder="1" applyAlignment="1">
      <x:alignment vertical="center"/>
    </x:xf>
    <x:xf numFmtId="0" fontId="9" fillId="26" borderId="14" xfId="0" applyNumberFormat="1" applyFont="1" applyFill="1" applyBorder="1" applyAlignment="1">
      <x:alignment vertical="center"/>
    </x:xf>
    <x:xf numFmtId="0" fontId="9" fillId="26" borderId="17" xfId="0" applyNumberFormat="1" applyFont="1" applyFill="1" applyBorder="1" applyAlignment="1">
      <x:alignment vertical="center"/>
    </x:xf>
    <x:xf numFmtId="0" fontId="12" fillId="26" borderId="11" xfId="0" applyNumberFormat="1" applyFont="1" applyFill="1" applyBorder="1" applyAlignment="1">
      <x:alignment vertical="center"/>
    </x:xf>
    <x:xf numFmtId="0" fontId="12" fillId="26" borderId="14" xfId="0" applyNumberFormat="1" applyFont="1" applyFill="1" applyBorder="1" applyAlignment="1">
      <x:alignment vertical="center"/>
    </x:xf>
    <x:xf numFmtId="0" fontId="12" fillId="26" borderId="17" xfId="0" applyNumberFormat="1" applyFont="1" applyFill="1" applyBorder="1" applyAlignment="1">
      <x:alignment vertical="center"/>
    </x:xf>
    <x:xf numFmtId="0" fontId="9" fillId="6" borderId="11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9" fillId="6" borderId="14" xfId="0" applyNumberFormat="1" applyFont="1" applyFill="1" applyBorder="1" applyAlignment="1">
      <x:alignment vertical="center"/>
    </x:xf>
    <x:xf numFmtId="0" fontId="9" fillId="6" borderId="15" xfId="0" applyNumberFormat="1" applyFont="1" applyFill="1" applyBorder="1" applyAlignment="1">
      <x:alignment vertical="center"/>
    </x:xf>
    <x:xf numFmtId="0" fontId="9" fillId="6" borderId="17" xfId="0" applyNumberFormat="1" applyFont="1" applyFill="1" applyBorder="1" applyAlignment="1">
      <x:alignment vertical="center"/>
    </x:xf>
    <x:xf numFmtId="0" fontId="9" fillId="6" borderId="18" xfId="0" applyNumberFormat="1" applyFont="1" applyFill="1" applyBorder="1" applyAlignment="1">
      <x:alignment vertical="center"/>
    </x:xf>
    <x:xf numFmtId="0" fontId="9" fillId="27" borderId="11" xfId="0" applyNumberFormat="1" applyFont="1" applyFill="1" applyBorder="1" applyAlignment="1">
      <x:alignment vertical="center"/>
    </x:xf>
    <x:xf numFmtId="0" fontId="9" fillId="27" borderId="12" xfId="0" applyNumberFormat="1" applyFont="1" applyFill="1" applyBorder="1" applyAlignment="1">
      <x:alignment vertical="center"/>
    </x:xf>
    <x:xf numFmtId="0" fontId="9" fillId="27" borderId="14" xfId="0" applyNumberFormat="1" applyFont="1" applyFill="1" applyBorder="1" applyAlignment="1">
      <x:alignment vertical="center"/>
    </x:xf>
    <x:xf numFmtId="0" fontId="9" fillId="27" borderId="15" xfId="0" applyNumberFormat="1" applyFont="1" applyFill="1" applyBorder="1" applyAlignment="1">
      <x:alignment vertical="center"/>
    </x:xf>
    <x:xf numFmtId="0" fontId="9" fillId="28" borderId="12" xfId="0" applyNumberFormat="1" applyFont="1" applyFill="1" applyBorder="1" applyAlignment="1">
      <x:alignment vertical="center"/>
    </x:xf>
    <x:xf numFmtId="0" fontId="10" fillId="28" borderId="12" xfId="0" applyNumberFormat="1" applyFont="1" applyFill="1" applyBorder="1" applyAlignment="1">
      <x:alignment vertical="center"/>
    </x:xf>
    <x:xf numFmtId="0" fontId="9" fillId="28" borderId="15" xfId="0" applyNumberFormat="1" applyFont="1" applyFill="1" applyBorder="1" applyAlignment="1">
      <x:alignment vertical="center"/>
    </x:xf>
    <x:xf numFmtId="0" fontId="10" fillId="28" borderId="15" xfId="0" applyNumberFormat="1" applyFont="1" applyFill="1" applyBorder="1" applyAlignment="1">
      <x:alignment vertical="center"/>
    </x:xf>
    <x:xf numFmtId="0" fontId="9" fillId="29" borderId="15" xfId="0" applyNumberFormat="1" applyFont="1" applyFill="1" applyBorder="1" applyAlignment="1">
      <x:alignment vertical="center"/>
    </x:xf>
    <x:xf numFmtId="0" fontId="11" fillId="29" borderId="15" xfId="0" applyNumberFormat="1" applyFont="1" applyFill="1" applyBorder="1" applyAlignment="1">
      <x:alignment vertical="center"/>
    </x:xf>
    <x:xf numFmtId="0" fontId="9" fillId="27" borderId="18" xfId="0" applyNumberFormat="1" applyFont="1" applyFill="1" applyBorder="1" applyAlignment="1">
      <x:alignment vertical="center"/>
    </x:xf>
    <x:xf numFmtId="0" fontId="9" fillId="29" borderId="18" xfId="0" applyNumberFormat="1" applyFont="1" applyFill="1" applyBorder="1" applyAlignment="1">
      <x:alignment vertical="center"/>
    </x:xf>
    <x:xf numFmtId="0" fontId="11" fillId="29" borderId="18" xfId="0" applyNumberFormat="1" applyFont="1" applyFill="1" applyBorder="1" applyAlignment="1">
      <x:alignment vertical="center"/>
    </x:xf>
    <x:xf numFmtId="0" fontId="9" fillId="30" borderId="11" xfId="0" applyNumberFormat="1" applyFont="1" applyFill="1" applyBorder="1" applyAlignment="1">
      <x:alignment vertical="center"/>
    </x:xf>
    <x:xf numFmtId="0" fontId="9" fillId="30" borderId="17" xfId="0" applyNumberFormat="1" applyFont="1" applyFill="1" applyBorder="1" applyAlignment="1">
      <x:alignment vertical="center"/>
    </x:xf>
    <x:xf numFmtId="0" fontId="12" fillId="30" borderId="11" xfId="0" applyNumberFormat="1" applyFont="1" applyFill="1" applyBorder="1" applyAlignment="1">
      <x:alignment vertical="center"/>
    </x:xf>
    <x:xf numFmtId="0" fontId="12" fillId="30" borderId="17" xfId="0" applyNumberFormat="1" applyFont="1" applyFill="1" applyBorder="1" applyAlignment="1">
      <x:alignment vertical="center"/>
    </x:xf>
    <x:xf numFmtId="0" fontId="9" fillId="31" borderId="11" xfId="0" applyNumberFormat="1" applyFont="1" applyFill="1" applyBorder="1" applyAlignment="1">
      <x:alignment vertical="center"/>
    </x:xf>
    <x:xf numFmtId="0" fontId="9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vertical="center"/>
    </x:xf>
    <x:xf numFmtId="0" fontId="12" fillId="31" borderId="12" xfId="0" applyNumberFormat="1" applyFont="1" applyFill="1" applyBorder="1" applyAlignment="1">
      <x:alignment vertical="center"/>
    </x:xf>
    <x:xf numFmtId="0" fontId="12" fillId="31" borderId="11" xfId="0" applyNumberFormat="1" applyFont="1" applyFill="1" applyBorder="1" applyAlignment="1">
      <x:alignment horizontal="center" vertical="center"/>
    </x:xf>
    <x:xf numFmtId="0" fontId="12" fillId="31" borderId="12" xfId="0" applyNumberFormat="1" applyFont="1" applyFill="1" applyBorder="1" applyAlignment="1">
      <x:alignment horizontal="center" vertical="center"/>
    </x:xf>
    <x:xf numFmtId="0" fontId="9" fillId="31" borderId="14" xfId="0" applyNumberFormat="1" applyFont="1" applyFill="1" applyBorder="1" applyAlignment="1">
      <x:alignment vertical="center"/>
    </x:xf>
    <x:xf numFmtId="0" fontId="9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vertical="center"/>
    </x:xf>
    <x:xf numFmtId="0" fontId="12" fillId="31" borderId="15" xfId="0" applyNumberFormat="1" applyFont="1" applyFill="1" applyBorder="1" applyAlignment="1">
      <x:alignment vertical="center"/>
    </x:xf>
    <x:xf numFmtId="0" fontId="12" fillId="31" borderId="14" xfId="0" applyNumberFormat="1" applyFont="1" applyFill="1" applyBorder="1" applyAlignment="1">
      <x:alignment horizontal="center" vertical="center"/>
    </x:xf>
    <x:xf numFmtId="0" fontId="12" fillId="31" borderId="15" xfId="0" applyNumberFormat="1" applyFont="1" applyFill="1" applyBorder="1" applyAlignment="1">
      <x:alignment horizontal="center" vertical="center"/>
    </x:xf>
    <x:xf numFmtId="0" fontId="9" fillId="32" borderId="14" xfId="0" applyNumberFormat="1" applyFont="1" applyFill="1" applyBorder="1" applyAlignment="1">
      <x:alignment vertical="center"/>
    </x:xf>
    <x:xf numFmtId="0" fontId="9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vertical="center"/>
    </x:xf>
    <x:xf numFmtId="0" fontId="12" fillId="32" borderId="15" xfId="0" applyNumberFormat="1" applyFont="1" applyFill="1" applyBorder="1" applyAlignment="1">
      <x:alignment vertical="center"/>
    </x:xf>
    <x:xf numFmtId="0" fontId="12" fillId="32" borderId="14" xfId="0" applyNumberFormat="1" applyFont="1" applyFill="1" applyBorder="1" applyAlignment="1">
      <x:alignment horizontal="center" vertical="center"/>
    </x:xf>
    <x:xf numFmtId="0" fontId="12" fillId="32" borderId="15" xfId="0" applyNumberFormat="1" applyFont="1" applyFill="1" applyBorder="1" applyAlignment="1">
      <x:alignment horizontal="center" vertical="center"/>
    </x:xf>
    <x:xf numFmtId="0" fontId="9" fillId="33" borderId="14" xfId="0" applyNumberFormat="1" applyFont="1" applyFill="1" applyBorder="1" applyAlignment="1">
      <x:alignment vertical="center"/>
    </x:xf>
    <x:xf numFmtId="0" fontId="9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vertical="center"/>
    </x:xf>
    <x:xf numFmtId="0" fontId="12" fillId="33" borderId="15" xfId="0" applyNumberFormat="1" applyFont="1" applyFill="1" applyBorder="1" applyAlignment="1">
      <x:alignment vertical="center"/>
    </x:xf>
    <x:xf numFmtId="0" fontId="12" fillId="33" borderId="14" xfId="0" applyNumberFormat="1" applyFont="1" applyFill="1" applyBorder="1" applyAlignment="1">
      <x:alignment horizontal="center" vertical="center"/>
    </x:xf>
    <x:xf numFmtId="0" fontId="12" fillId="33" borderId="15" xfId="0" applyNumberFormat="1" applyFont="1" applyFill="1" applyBorder="1" applyAlignment="1">
      <x:alignment horizontal="center" vertical="center"/>
    </x:xf>
    <x:xf numFmtId="0" fontId="9" fillId="34" borderId="14" xfId="0" applyNumberFormat="1" applyFont="1" applyFill="1" applyBorder="1" applyAlignment="1">
      <x:alignment vertical="center"/>
    </x:xf>
    <x:xf numFmtId="0" fontId="9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vertical="center"/>
    </x:xf>
    <x:xf numFmtId="0" fontId="12" fillId="34" borderId="15" xfId="0" applyNumberFormat="1" applyFont="1" applyFill="1" applyBorder="1" applyAlignment="1">
      <x:alignment vertical="center"/>
    </x:xf>
    <x:xf numFmtId="0" fontId="12" fillId="34" borderId="14" xfId="0" applyNumberFormat="1" applyFont="1" applyFill="1" applyBorder="1" applyAlignment="1">
      <x:alignment horizontal="center" vertical="center"/>
    </x:xf>
    <x:xf numFmtId="0" fontId="12" fillId="34" borderId="15" xfId="0" applyNumberFormat="1" applyFont="1" applyFill="1" applyBorder="1" applyAlignment="1">
      <x:alignment horizontal="center" vertical="center"/>
    </x:xf>
    <x:xf numFmtId="0" fontId="9" fillId="35" borderId="14" xfId="0" applyNumberFormat="1" applyFont="1" applyFill="1" applyBorder="1" applyAlignment="1">
      <x:alignment vertical="center"/>
    </x:xf>
    <x:xf numFmtId="0" fontId="9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vertical="center"/>
    </x:xf>
    <x:xf numFmtId="0" fontId="12" fillId="35" borderId="15" xfId="0" applyNumberFormat="1" applyFont="1" applyFill="1" applyBorder="1" applyAlignment="1">
      <x:alignment vertical="center"/>
    </x:xf>
    <x:xf numFmtId="0" fontId="12" fillId="35" borderId="14" xfId="0" applyNumberFormat="1" applyFont="1" applyFill="1" applyBorder="1" applyAlignment="1">
      <x:alignment horizontal="center" vertical="center"/>
    </x:xf>
    <x:xf numFmtId="0" fontId="12" fillId="35" borderId="15" xfId="0" applyNumberFormat="1" applyFont="1" applyFill="1" applyBorder="1" applyAlignment="1">
      <x:alignment horizontal="center" vertical="center"/>
    </x:xf>
    <x:xf numFmtId="0" fontId="9" fillId="36" borderId="14" xfId="0" applyNumberFormat="1" applyFont="1" applyFill="1" applyBorder="1" applyAlignment="1">
      <x:alignment vertical="center"/>
    </x:xf>
    <x:xf numFmtId="0" fontId="9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vertical="center"/>
    </x:xf>
    <x:xf numFmtId="0" fontId="12" fillId="36" borderId="15" xfId="0" applyNumberFormat="1" applyFont="1" applyFill="1" applyBorder="1" applyAlignment="1">
      <x:alignment vertical="center"/>
    </x:xf>
    <x:xf numFmtId="0" fontId="12" fillId="36" borderId="14" xfId="0" applyNumberFormat="1" applyFont="1" applyFill="1" applyBorder="1" applyAlignment="1">
      <x:alignment horizontal="center" vertical="center"/>
    </x:xf>
    <x:xf numFmtId="0" fontId="12" fillId="36" borderId="15" xfId="0" applyNumberFormat="1" applyFont="1" applyFill="1" applyBorder="1" applyAlignment="1">
      <x:alignment horizontal="center" vertical="center"/>
    </x:xf>
    <x:xf numFmtId="0" fontId="9" fillId="36" borderId="17" xfId="0" applyNumberFormat="1" applyFont="1" applyFill="1" applyBorder="1" applyAlignment="1">
      <x:alignment vertical="center"/>
    </x:xf>
    <x:xf numFmtId="0" fontId="9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vertical="center"/>
    </x:xf>
    <x:xf numFmtId="0" fontId="12" fillId="36" borderId="18" xfId="0" applyNumberFormat="1" applyFont="1" applyFill="1" applyBorder="1" applyAlignment="1">
      <x:alignment vertical="center"/>
    </x:xf>
    <x:xf numFmtId="0" fontId="12" fillId="36" borderId="17" xfId="0" applyNumberFormat="1" applyFont="1" applyFill="1" applyBorder="1" applyAlignment="1">
      <x:alignment horizontal="center" vertical="center"/>
    </x:xf>
    <x:xf numFmtId="0" fontId="12" fillId="36" borderId="18" xfId="0" applyNumberFormat="1" applyFont="1" applyFill="1" applyBorder="1" applyAlignment="1">
      <x:alignment horizontal="center" vertical="center"/>
    </x:xf>
    <x:xf numFmtId="0" fontId="9" fillId="37" borderId="11" xfId="0" applyNumberFormat="1" applyFont="1" applyFill="1" applyBorder="1" applyAlignment="1">
      <x:alignment vertical="center"/>
    </x:xf>
    <x:xf numFmtId="0" fontId="9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vertical="center"/>
    </x:xf>
    <x:xf numFmtId="0" fontId="12" fillId="37" borderId="12" xfId="0" applyNumberFormat="1" applyFont="1" applyFill="1" applyBorder="1" applyAlignment="1">
      <x:alignment vertical="center"/>
    </x:xf>
    <x:xf numFmtId="0" fontId="12" fillId="37" borderId="11" xfId="0" applyNumberFormat="1" applyFont="1" applyFill="1" applyBorder="1" applyAlignment="1">
      <x:alignment horizontal="center" vertical="center"/>
    </x:xf>
    <x:xf numFmtId="0" fontId="12" fillId="37" borderId="12" xfId="0" applyNumberFormat="1" applyFont="1" applyFill="1" applyBorder="1" applyAlignment="1">
      <x:alignment horizontal="center" vertical="center"/>
    </x:xf>
    <x:xf numFmtId="0" fontId="9" fillId="37" borderId="14" xfId="0" applyNumberFormat="1" applyFont="1" applyFill="1" applyBorder="1" applyAlignment="1">
      <x:alignment vertical="center"/>
    </x:xf>
    <x:xf numFmtId="0" fontId="9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vertical="center"/>
    </x:xf>
    <x:xf numFmtId="0" fontId="12" fillId="37" borderId="15" xfId="0" applyNumberFormat="1" applyFont="1" applyFill="1" applyBorder="1" applyAlignment="1">
      <x:alignment vertical="center"/>
    </x:xf>
    <x:xf numFmtId="0" fontId="12" fillId="37" borderId="14" xfId="0" applyNumberFormat="1" applyFont="1" applyFill="1" applyBorder="1" applyAlignment="1">
      <x:alignment horizontal="center" vertical="center"/>
    </x:xf>
    <x:xf numFmtId="0" fontId="12" fillId="37" borderId="15" xfId="0" applyNumberFormat="1" applyFont="1" applyFill="1" applyBorder="1" applyAlignment="1">
      <x:alignment horizontal="center" vertical="center"/>
    </x:xf>
    <x:xf numFmtId="201" fontId="9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right" vertical="center"/>
    </x:xf>
    <x:xf numFmtId="201" fontId="13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right" vertical="center"/>
    </x:xf>
    <x:xf numFmtId="201" fontId="13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right" vertical="center"/>
    </x:xf>
    <x:xf numFmtId="201" fontId="13" fillId="38" borderId="18" xfId="0" applyNumberFormat="1" applyFont="1" applyFill="1" applyBorder="1" applyAlignment="1">
      <x:alignment horizontal="center" vertical="center"/>
    </x:xf>
    <x:xf numFmtId="201" fontId="13" fillId="39" borderId="15" xfId="0" applyNumberFormat="1" applyFont="1" applyFill="1" applyBorder="1" applyAlignment="1">
      <x:alignment horizontal="center" vertical="center"/>
    </x:xf>
    <x:xf numFmtId="201" fontId="14" fillId="39" borderId="15" xfId="0" applyNumberFormat="1" applyFont="1" applyFill="1" applyBorder="1" applyAlignment="1">
      <x:alignment horizontal="center" vertical="center"/>
    </x:xf>
    <x:xf numFmtId="0" fontId="14" fillId="0" borderId="15" xfId="0" applyNumberFormat="1" applyFont="1" applyFill="1" applyBorder="1" applyAlignment="1">
      <x:alignment horizontal="right" vertical="center"/>
    </x:xf>
    <x:xf numFmtId="201" fontId="14" fillId="0" borderId="15" xfId="0" applyNumberFormat="1" applyFont="1" applyFill="1" applyBorder="1" applyAlignment="1">
      <x:alignment horizontal="right" vertical="center"/>
    </x:xf>
    <x:xf numFmtId="201" fontId="13" fillId="39" borderId="18" xfId="0" applyNumberFormat="1" applyFont="1" applyFill="1" applyBorder="1" applyAlignment="1">
      <x:alignment horizontal="center" vertical="center"/>
    </x:xf>
    <x:xf numFmtId="201" fontId="14" fillId="39" borderId="18" xfId="0" applyNumberFormat="1" applyFont="1" applyFill="1" applyBorder="1" applyAlignment="1">
      <x:alignment horizontal="center" vertical="center"/>
    </x:xf>
    <x:xf numFmtId="0" fontId="14" fillId="0" borderId="18" xfId="0" applyNumberFormat="1" applyFont="1" applyFill="1" applyBorder="1" applyAlignment="1">
      <x:alignment horizontal="right" vertical="center"/>
    </x:xf>
    <x:xf numFmtId="201" fontId="14" fillId="0" borderId="18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vertical="center"/>
    </x:xf>
    <x:xf numFmtId="201" fontId="13" fillId="38" borderId="12" xfId="0" applyNumberFormat="1" applyFont="1" applyFill="1" applyBorder="1" applyAlignment="1">
      <x:alignment vertical="center"/>
    </x:xf>
    <x:xf numFmtId="201" fontId="9" fillId="38" borderId="15" xfId="0" applyNumberFormat="1" applyFont="1" applyFill="1" applyBorder="1" applyAlignment="1">
      <x:alignment vertical="center"/>
    </x:xf>
    <x:xf numFmtId="201" fontId="13" fillId="38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201" fontId="14" fillId="0" borderId="15" xfId="0" applyNumberFormat="1" applyFont="1" applyFill="1" applyBorder="1" applyAlignment="1">
      <x:alignment vertical="center"/>
    </x:xf>
    <x:xf numFmtId="0" fontId="9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vertical="center"/>
    </x:xf>
    <x:xf numFmtId="0" fontId="12" fillId="37" borderId="18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vertical="center"/>
    </x:xf>
    <x:xf numFmtId="201" fontId="13" fillId="38" borderId="18" xfId="0" applyNumberFormat="1" applyFont="1" applyFill="1" applyBorder="1" applyAlignment="1">
      <x:alignment vertical="center"/>
    </x:xf>
    <x:xf numFmtId="0" fontId="3" fillId="40" borderId="5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/>
    <x:xf numFmtId="0" fontId="15" fillId="41" borderId="0" xfId="0" applyNumberFormat="1" applyFont="1" applyFill="1" applyBorder="1" applyAlignment="1">
      <x:alignment horizontal="center"/>
    </x:xf>
    <x:xf numFmtId="0" fontId="15" fillId="41" borderId="0" xfId="0" applyNumberFormat="1" applyFont="1" applyFill="1" applyBorder="1" applyAlignment="1">
      <x:alignment horizontal="center" vertical="center"/>
    </x:xf>
    <x:xf numFmtId="0" fontId="15" fillId="41" borderId="0" xfId="0" applyNumberFormat="1" applyFont="1" applyFill="1" applyBorder="1" applyAlignment="1">
      <x:alignment horizontal="center" vertical="center" wrapText="1"/>
    </x:xf>
    <x:xf numFmtId="0" fontId="15" fillId="41" borderId="5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16" fillId="42" borderId="0" xfId="0" applyNumberFormat="1" applyFont="1" applyFill="1" applyBorder="1"/>
    <x:xf numFmtId="0" fontId="16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17" fillId="43" borderId="0" xfId="0" applyNumberFormat="1" applyFont="1" applyFill="1" applyBorder="1"/>
    <x:xf numFmtId="0" fontId="17" fillId="43" borderId="0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16" fillId="42" borderId="15" xfId="0" applyNumberFormat="1" applyFont="1" applyFill="1" applyBorder="1" applyAlignment="1">
      <x:alignment horizontal="center"/>
    </x:xf>
    <x:xf numFmtId="0" fontId="17" fillId="43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horizontal="center" vertical="center"/>
    </x:xf>
    <x:xf numFmtId="0" fontId="17" fillId="43" borderId="15" xfId="0" applyNumberFormat="1" applyFont="1" applyFill="1" applyBorder="1" applyAlignment="1">
      <x:alignment horizontal="center" vertical="center"/>
    </x:xf>
    <x:xf numFmtId="0" fontId="0" fillId="44" borderId="0" xfId="0" applyNumberFormat="1" applyFont="1" applyFill="1" applyBorder="1"/>
    <x:xf numFmtId="0" fontId="18" fillId="44" borderId="0" xfId="0" applyNumberFormat="1" applyFont="1" applyFill="1" applyBorder="1"/>
    <x:xf numFmtId="0" fontId="18" fillId="44" borderId="15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0" fillId="45" borderId="0" xfId="0" applyNumberFormat="1" applyFont="1" applyFill="1" applyBorder="1"/>
    <x:xf numFmtId="0" fontId="19" fillId="45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15" xfId="0" applyNumberFormat="1" applyFont="1" applyFill="1" applyBorder="1"/>
    <x:xf numFmtId="203" fontId="0" fillId="0" borderId="15" xfId="0" applyNumberFormat="1" applyFont="1" applyFill="1" applyBorder="1"/>
    <x:xf numFmtId="200" fontId="0" fillId="0" borderId="15" xfId="0" applyNumberFormat="1" applyFont="1" applyFill="1" applyBorder="1" applyAlignment="1">
      <x:alignment vertical="center"/>
    </x:xf>
    <x:xf numFmtId="203" fontId="0" fillId="0" borderId="15" xfId="0" applyNumberFormat="1" applyFont="1" applyFill="1" applyBorder="1" applyAlignment="1">
      <x:alignment vertical="center"/>
    </x:xf>
    <x:xf numFmtId="0" fontId="0" fillId="46" borderId="15" xfId="0" applyNumberFormat="1" applyFont="1" applyFill="1" applyBorder="1" applyAlignment="1">
      <x:alignment vertical="center"/>
    </x:xf>
    <x:xf numFmtId="200" fontId="0" fillId="46" borderId="15" xfId="0" applyNumberFormat="1" applyFont="1" applyFill="1" applyBorder="1" applyAlignment="1">
      <x:alignment vertical="center"/>
    </x:xf>
    <x:xf numFmtId="203" fontId="0" fillId="46" borderId="15" xfId="0" applyNumberFormat="1" applyFont="1" applyFill="1" applyBorder="1" applyAlignment="1">
      <x:alignment vertical="center"/>
    </x:xf>
    <x:xf numFmtId="0" fontId="0" fillId="47" borderId="15" xfId="0" applyNumberFormat="1" applyFont="1" applyFill="1" applyBorder="1" applyAlignment="1">
      <x:alignment vertical="center"/>
    </x:xf>
    <x:xf numFmtId="200" fontId="0" fillId="47" borderId="15" xfId="0" applyNumberFormat="1" applyFont="1" applyFill="1" applyBorder="1" applyAlignment="1">
      <x:alignment vertical="center"/>
    </x:xf>
    <x:xf numFmtId="203" fontId="0" fillId="47" borderId="15" xfId="0" applyNumberFormat="1" applyFont="1" applyFill="1" applyBorder="1" applyAlignment="1">
      <x:alignment vertical="center"/>
    </x:xf>
    <x:xf numFmtId="0" fontId="0" fillId="42" borderId="15" xfId="0" applyNumberFormat="1" applyFont="1" applyFill="1" applyBorder="1" applyAlignment="1">
      <x:alignment vertical="center"/>
    </x:xf>
    <x:xf numFmtId="200" fontId="0" fillId="42" borderId="15" xfId="0" applyNumberFormat="1" applyFont="1" applyFill="1" applyBorder="1" applyAlignment="1">
      <x:alignment vertical="center"/>
    </x:xf>
    <x:xf numFmtId="203" fontId="0" fillId="42" borderId="15" xfId="0" applyNumberFormat="1" applyFont="1" applyFill="1" applyBorder="1" applyAlignment="1">
      <x:alignment vertical="center"/>
    </x:xf>
    <x:xf numFmtId="0" fontId="16" fillId="42" borderId="15" xfId="0" applyNumberFormat="1" applyFont="1" applyFill="1" applyBorder="1" applyAlignment="1">
      <x:alignment vertical="center"/>
    </x:xf>
    <x:xf numFmtId="0" fontId="0" fillId="43" borderId="15" xfId="0" applyNumberFormat="1" applyFont="1" applyFill="1" applyBorder="1" applyAlignment="1">
      <x:alignment vertical="center"/>
    </x:xf>
    <x:xf numFmtId="0" fontId="17" fillId="43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0"/>
    </x:xf>
    <x:xf numFmtId="0" fontId="0" fillId="48" borderId="0" xfId="0" applyNumberFormat="1" applyFont="1" applyFill="1" applyBorder="1"/>
    <x:xf numFmtId="0" fontId="15" fillId="48" borderId="0" xfId="0" applyNumberFormat="1" applyFont="1" applyFill="1" applyBorder="1"/>
    <x:xf numFmtId="0" fontId="15" fillId="48" borderId="0" xfId="0" applyNumberFormat="1" applyFont="1" applyFill="1" applyBorder="1" applyAlignment="1">
      <x:alignment horizontal="center"/>
    </x:xf>
    <x:xf numFmtId="0" fontId="15" fillId="48" borderId="0" xfId="0" applyNumberFormat="1" applyFont="1" applyFill="1" applyBorder="1" applyAlignment="1">
      <x:alignment horizontal="center" vertical="center"/>
    </x:xf>
    <x:xf numFmtId="200" fontId="14" fillId="0" borderId="15" xfId="0" applyNumberFormat="1" applyFont="1" applyFill="1" applyBorder="1" applyAlignment="1">
      <x:alignment horizontal="right" vertical="center"/>
    </x:xf>
    <x:xf numFmtId="201" fontId="9" fillId="38" borderId="12" xfId="0" applyNumberFormat="1" applyFont="1" applyFill="1" applyBorder="1" applyAlignment="1">
      <x:alignment horizontal="center" vertical="center"/>
    </x:xf>
    <x:xf numFmtId="201" fontId="9" fillId="38" borderId="15" xfId="0" applyNumberFormat="1" applyFont="1" applyFill="1" applyBorder="1" applyAlignment="1">
      <x:alignment horizontal="center" vertical="center"/>
    </x:xf>
    <x:xf numFmtId="201" fontId="9" fillId="38" borderId="18" xfId="0" applyNumberFormat="1" applyFont="1" applyFill="1" applyBorder="1" applyAlignment="1">
      <x:alignment horizontal="center" vertical="center"/>
    </x:xf>
    <x:xf numFmtId="200" fontId="14" fillId="0" borderId="18" xfId="0" applyNumberFormat="1" applyFont="1" applyFill="1" applyBorder="1" applyAlignment="1">
      <x:alignment horizontal="right" vertical="center"/>
    </x:xf>
    <x:xf numFmtId="0" fontId="9" fillId="0" borderId="15" xfId="0" applyNumberFormat="1" applyFont="1" applyFill="1" applyBorder="1"/>
    <x:xf numFmtId="0" fontId="9" fillId="49" borderId="15" xfId="0" applyNumberFormat="1" applyFont="1" applyFill="1" applyBorder="1" applyAlignment="1">
      <x:alignment vertical="center"/>
    </x:xf>
    <x:xf numFmtId="0" fontId="12" fillId="49" borderId="15" xfId="0" applyNumberFormat="1" applyFont="1" applyFill="1" applyBorder="1" applyAlignment="1">
      <x:alignment vertical="center"/>
    </x:xf>
    <x:xf numFmtId="0" fontId="12" fillId="49" borderId="15" xfId="0" applyNumberFormat="1" applyFont="1" applyFill="1" applyBorder="1" applyAlignment="1">
      <x:alignment horizontal="center" vertical="center"/>
    </x:xf>
    <x:xf numFmtId="201" fontId="14" fillId="50" borderId="15" xfId="0" applyNumberFormat="1" applyFont="1" applyFill="1" applyBorder="1" applyAlignment="1">
      <x:alignment vertical="center"/>
    </x:xf>
    <x:xf numFmtId="201" fontId="14" fillId="50" borderId="15" xfId="0" applyNumberFormat="1" applyFont="1" applyFill="1" applyBorder="1" applyAlignment="1">
      <x:alignment horizontal="center" vertical="center"/>
    </x:xf>
    <x:xf numFmtId="201" fontId="20" fillId="50" borderId="15" xfId="0" applyNumberFormat="1" applyFont="1" applyFill="1" applyBorder="1" applyAlignment="1">
      <x:alignment vertical="center"/>
    </x:xf>
    <x:xf numFmtId="201" fontId="20" fillId="50" borderId="15" xfId="0" applyNumberFormat="1" applyFont="1" applyFill="1" applyBorder="1" applyAlignment="1">
      <x:alignment horizontal="center" vertical="center"/>
    </x:xf>
    <x:xf numFmtId="201" fontId="9" fillId="51" borderId="15" xfId="0" applyNumberFormat="1" applyFont="1" applyFill="1" applyBorder="1" applyAlignment="1">
      <x:alignment vertical="center"/>
    </x:xf>
    <x:xf numFmtId="201" fontId="9" fillId="51" borderId="15" xfId="0" applyNumberFormat="1" applyFont="1" applyFill="1" applyBorder="1" applyAlignment="1">
      <x:alignment horizontal="center" vertical="center"/>
    </x:xf>
    <x:xf numFmtId="201" fontId="14" fillId="51" borderId="15" xfId="0" applyNumberFormat="1" applyFont="1" applyFill="1" applyBorder="1" applyAlignment="1">
      <x:alignment vertical="center"/>
    </x:xf>
    <x:xf numFmtId="201" fontId="14" fillId="51" borderId="15" xfId="0" applyNumberFormat="1" applyFont="1" applyFill="1" applyBorder="1" applyAlignment="1">
      <x:alignment horizontal="center" vertical="center"/>
    </x:xf>
    <x:xf numFmtId="0" fontId="11" fillId="52" borderId="15" xfId="0" applyNumberFormat="1" applyFont="1" applyFill="1" applyBorder="1" applyAlignment="1">
      <x:alignment vertical="center"/>
    </x:xf>
    <x:xf numFmtId="0" fontId="21" fillId="52" borderId="15" xfId="0" applyNumberFormat="1" applyFont="1" applyFill="1" applyBorder="1" applyAlignment="1">
      <x:alignment vertical="center"/>
    </x:xf>
    <x:xf numFmtId="0" fontId="9" fillId="53" borderId="15" xfId="0" applyNumberFormat="1" applyFont="1" applyFill="1" applyBorder="1" applyAlignment="1">
      <x:alignment vertical="center"/>
    </x:xf>
    <x:xf numFmtId="0" fontId="22" fillId="53" borderId="15" xfId="0" applyNumberFormat="1" applyFont="1" applyFill="1" applyBorder="1" applyAlignment="1">
      <x:alignment vertical="center"/>
    </x:xf>
    <x:xf numFmtId="0" fontId="9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9" fillId="51" borderId="18" xfId="0" applyNumberFormat="1" applyFont="1" applyFill="1" applyBorder="1" applyAlignment="1">
      <x:alignment vertical="center"/>
    </x:xf>
    <x:xf numFmtId="201" fontId="9" fillId="51" borderId="18" xfId="0" applyNumberFormat="1" applyFont="1" applyFill="1" applyBorder="1" applyAlignment="1">
      <x:alignment horizontal="center" vertical="center"/>
    </x:xf>
    <x:xf numFmtId="201" fontId="14" fillId="51" borderId="18" xfId="0" applyNumberFormat="1" applyFont="1" applyFill="1" applyBorder="1" applyAlignment="1">
      <x:alignment vertical="center"/>
    </x:xf>
    <x:xf numFmtId="201" fontId="14" fillId="51" borderId="18" xfId="0" applyNumberFormat="1" applyFont="1" applyFill="1" applyBorder="1" applyAlignment="1">
      <x:alignment horizontal="center" vertical="center"/>
    </x:xf>
    <x:xf numFmtId="0" fontId="11" fillId="52" borderId="18" xfId="0" applyNumberFormat="1" applyFont="1" applyFill="1" applyBorder="1" applyAlignment="1">
      <x:alignment vertical="center"/>
    </x:xf>
    <x:xf numFmtId="0" fontId="21" fillId="52" borderId="18" xfId="0" applyNumberFormat="1" applyFont="1" applyFill="1" applyBorder="1" applyAlignment="1">
      <x:alignment vertical="center"/>
    </x:xf>
  </x:cellXfs>
  <x:cellStyles count="1">
    <x:cellStyle name="Normal" xfId="0"/>
  </x:cellStyles>
  <x:dxfs count="2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837b318b74613" /><Relationship Type="http://schemas.openxmlformats.org/officeDocument/2006/relationships/theme" Target="/xl/theme/theme1.xml" Id="Ra4af819a91d143f3" /><Relationship Type="http://schemas.microsoft.com/office/2022/11/relationships/FeaturePropertyBag" Target="/xl/featurePropertyBag/featurePropertyBag.xml" Id="R0ad6ca71c9234d5d" /><Relationship Type="http://schemas.openxmlformats.org/officeDocument/2006/relationships/sharedStrings" Target="/xl/sharedStrings.xml" Id="Rdaff7c5cc2774a78" /><Relationship Type="http://schemas.openxmlformats.org/officeDocument/2006/relationships/worksheet" Target="/xl/worksheets/sheet1.xml" Id="Rac1b3488dcee42ac" /><Relationship Type="http://schemas.openxmlformats.org/officeDocument/2006/relationships/worksheet" Target="/xl/worksheets/sheet2.xml" Id="Rf95bcbfd345040e5" /><Relationship Type="http://schemas.openxmlformats.org/officeDocument/2006/relationships/worksheet" Target="/xl/worksheets/sheet3.xml" Id="R4e0381a36f8c4a09" /><Relationship Type="http://schemas.openxmlformats.org/officeDocument/2006/relationships/worksheet" Target="/xl/worksheets/sheet4.xml" Id="R3926fbb801a347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0" hidden="0" customWidth="1"/>
    <x:col min="5" max="5" width="11" hidden="0" customWidth="1"/>
    <x:col min="6" max="6" width="9" hidden="0" customWidth="1"/>
    <x:col min="7" max="7" width="9" hidden="0" customWidth="1"/>
    <x:col min="8" max="8" width="11" hidden="0" customWidth="1"/>
    <x:col min="9" max="9" width="13" hidden="0" customWidth="1"/>
    <x:col min="10" max="10" width="10" hidden="0" customWidth="1"/>
    <x:col min="11" max="11" width="15" hidden="0" customWidth="1"/>
    <x:col min="12" max="12" width="13" hidden="0" customWidth="1"/>
    <x:col min="13" max="13" width="13" hidden="0" customWidth="1"/>
    <x:col min="14" max="14" width="10" hidden="0" customWidth="1"/>
    <x:col min="15" max="15" width="14" hidden="0" customWidth="1"/>
    <x:col min="16" max="16" width="15" hidden="0" customWidth="1"/>
    <x:col min="17" max="17" width="13" hidden="0" customWidth="1"/>
    <x:col min="18" max="18" width="13" hidden="0" customWidth="1"/>
    <x:col min="19" max="19" width="10" hidden="0" customWidth="1"/>
    <x:col min="20" max="20" width="14" hidden="0" customWidth="1"/>
    <x:col min="21" max="21" width="15" hidden="0" customWidth="1"/>
    <x:col min="22" max="22" width="14" hidden="0" customWidth="1"/>
    <x:col min="23" max="23" width="68" hidden="0" customWidth="1"/>
    <x:col min="24" max="24" width="68" hidden="0" customWidth="1"/>
  </x:cols>
  <x:sheetData>
    <x:row r="2" ht="24" customHeight="1">
      <x:c r="A2" s="2" t="str">
        <x:v>FA family tile-size performance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18" customHeight="1">
      <x:c r="A4" s="138" t="str">
        <x:v>统一配置</x:v>
      </x:c>
      <x:c r="B4" s="138" t="str">
        <x:v>Sq=128</x:v>
      </x:c>
      <x:c r="C4" s="138" t="str">
        <x:v>Skv=8192</x:v>
      </x:c>
      <x:c r="D4" s="138" t="str">
        <x:v>QD=128</x:v>
      </x:c>
      <x:c r="E4" s="138" t="str">
        <x:v>VD=128</x:v>
      </x:c>
      <x:c r="F4" s="138" t="str">
        <x:v>Tm=128</x:v>
      </x:c>
      <x:c r="G4" s="138" t="str">
        <x:v>Tk=32/64/128/256 (+512 MXFP4)</x:v>
      </x:c>
      <x:c r="H4" s="138" t="str">
        <x:v>X=1</x:v>
      </x:c>
      <x:c r="I4" s="138" t="str">
        <x:v>Y=1</x:v>
      </x:c>
      <x:c r="J4" s="138" t="str">
        <x:v>4 PE</x:v>
      </x:c>
      <x:c r="K4" s="138" t="str">
        <x:v>model-main</x:v>
      </x:c>
      <x:c r="L4"/>
      <x:c r="M4"/>
      <x:c r="N4"/>
      <x:c r="O4"/>
      <x:c r="P4"/>
      <x:c r="Q4"/>
      <x:c r="R4"/>
      <x:c r="S4"/>
      <x:c r="T4"/>
      <x:c r="U4"/>
      <x:c r="V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24" customHeight="1">
      <x:c r="A6" s="236" t="str">
        <x:v>Configuration</x:v>
      </x:c>
      <x:c r="B6" s="236"/>
      <x:c r="C6" s="236"/>
      <x:c r="D6" s="236"/>
      <x:c r="E6" s="236"/>
      <x:c r="F6" s="236"/>
      <x:c r="G6" s="236"/>
      <x:c r="H6" s="236"/>
      <x:c r="I6" s="236"/>
      <x:c r="J6" s="236" t="str">
        <x:v>FA GMMA</x:v>
      </x:c>
      <x:c r="K6" s="236"/>
      <x:c r="L6" s="236"/>
      <x:c r="M6" s="236"/>
      <x:c r="N6" s="236" t="str">
        <x:v>FA K-chain</x:v>
      </x:c>
      <x:c r="O6" s="236"/>
      <x:c r="P6" s="236"/>
      <x:c r="Q6" s="236"/>
      <x:c r="R6" s="393"/>
      <x:c r="S6" s="393" t="str">
        <x:v>FA Dynamic — Trace-only refresh (2026-09-22)</x:v>
      </x:c>
      <x:c r="T6" s="393"/>
      <x:c r="U6" s="393"/>
      <x:c r="V6" s="393"/>
      <x:c r="W6" s="236"/>
      <x:c r="X6" s="443" t="str">
        <x:v>执行结果</x:v>
      </x:c>
    </x:row>
    <x:row r="7" ht="32" customHeight="1">
      <x:c r="A7" s="242" t="str">
        <x:v>Cube dtype</x:v>
      </x:c>
      <x:c r="B7" s="242" t="str">
        <x:v>Vector dtype</x:v>
      </x:c>
      <x:c r="C7" s="242" t="str">
        <x:v>Sq</x:v>
      </x:c>
      <x:c r="D7" s="242" t="str">
        <x:v>Skv</x:v>
      </x:c>
      <x:c r="E7" s="242" t="str">
        <x:v>Head dim</x:v>
      </x:c>
      <x:c r="F7" s="242" t="str">
        <x:v>Tm</x:v>
      </x:c>
      <x:c r="G7" s="242" t="str">
        <x:v>Tk</x:v>
      </x:c>
      <x:c r="H7" s="242" t="str">
        <x:v>KV blocks</x:v>
      </x:c>
      <x:c r="I7" s="242" t="str">
        <x:v>Theoretical cycles</x:v>
      </x:c>
      <x:c r="J7" s="242" t="str">
        <x:v>Cycles</x:v>
      </x:c>
      <x:c r="K7" s="150" t="str">
        <x:v>MFU</x:v>
      </x:c>
      <x:c r="L7" s="242" t="str">
        <x:v>Best tile
(max MFU)</x:v>
      </x:c>
      <x:c r="M7" s="242" t="str">
        <x:v>Status</x:v>
      </x:c>
      <x:c r="N7" s="242" t="str">
        <x:v>Cycles</x:v>
      </x:c>
      <x:c r="O7" s="242" t="str">
        <x:v>MFU</x:v>
      </x:c>
      <x:c r="P7" s="150" t="str">
        <x:v>vs GMMA cycles</x:v>
      </x:c>
      <x:c r="Q7" s="242" t="str">
        <x:v>Best tile
(max MFU)</x:v>
      </x:c>
      <x:c r="R7" s="242" t="str">
        <x:v>Status</x:v>
      </x:c>
      <x:c r="S7" s="242" t="str">
        <x:v>Cycles</x:v>
      </x:c>
      <x:c r="T7" s="242" t="str">
        <x:v>MFU</x:v>
      </x:c>
      <x:c r="U7" s="150" t="str">
        <x:v>vs GMMA cycles</x:v>
      </x:c>
      <x:c r="V7" s="242" t="str">
        <x:v>Best tile
(max MFU)</x:v>
      </x:c>
      <x:c r="W7" s="242" t="str">
        <x:v>Status</x:v>
      </x:c>
      <x:c r="X7" t="str">
        <x:v>说明</x:v>
      </x:c>
    </x:row>
    <x:row r="8" ht="20" customHeight="1">
      <x:c r="A8" s="309" t="str">
        <x:v>FP32</x:v>
      </x:c>
      <x:c r="B8" s="310" t="str">
        <x:v>FP32</x:v>
      </x:c>
      <x:c r="C8" s="162" t="n">
        <x:v>128</x:v>
      </x:c>
      <x:c r="D8" s="162" t="n">
        <x:v>8192</x:v>
      </x:c>
      <x:c r="E8" s="162" t="n">
        <x:v>128</x:v>
      </x:c>
      <x:c r="F8" s="162" t="n">
        <x:v>128</x:v>
      </x:c>
      <x:c r="G8" s="162" t="n">
        <x:v>32</x:v>
      </x:c>
      <x:c r="H8" s="162" t="n">
        <x:v>256</x:v>
      </x:c>
      <x:c r="I8" s="165" t="n">
        <x:f>C8*D8*E8*2/(16*16*IF(A8="FP32",8,IF(A8="BF16",16,IF(A8="FP8",32,""))))</x:f>
        <x:v>131072</x:v>
      </x:c>
      <x:c r="J8" s="165" t="n">
        <x:f>IF('原始数据'!O6="","",'原始数据'!O6)</x:f>
        <x:v>219692</x:v>
      </x:c>
      <x:c r="K8" s="445" t="n">
        <x:f>IF('原始数据'!Q6="","",'原始数据'!Q6)</x:f>
        <x:v>0.5966170820967537</x:v>
      </x:c>
      <x:c r="L8" s="246"/>
      <x:c r="M8" s="165" t="str">
        <x:v>PASS</x:v>
      </x:c>
      <x:c r="N8" s="165" t="n">
        <x:f>IF('原始数据'!O7="","",'原始数据'!O7)</x:f>
        <x:v>199764</x:v>
      </x:c>
      <x:c r="O8" s="168" t="n">
        <x:f>IF('原始数据'!Q7="","",'原始数据'!Q7)</x:f>
        <x:v>0.6561342384013136</x:v>
      </x:c>
      <x:c r="P8" s="445" t="n">
        <x:f>IF(OR(N8="",J8=""),"",N8/J8-1)</x:f>
        <x:v>-0.09070881051654134</x:v>
      </x:c>
      <x:c r="Q8" s="246"/>
      <x:c r="R8" s="165" t="str">
        <x:v>PASS</x:v>
      </x:c>
      <x:c r="S8" s="165" t="str">
        <x:f>IF('原始数据'!O8="","",'原始数据'!O8)</x:f>
      </x:c>
      <x:c r="T8" s="168" t="str">
        <x:f>IF('原始数据'!Q8="","",'原始数据'!Q8)</x:f>
      </x:c>
      <x:c r="U8" s="445" t="str">
        <x:f>IF(OR(S8="",J8=""),"",S8/J8-1)</x:f>
      </x:c>
      <x:c r="V8" s="248"/>
      <x:c r="W8" s="192" t="str">
        <x:v>DEADLOCK</x:v>
      </x:c>
      <x:c r="X8" t="str">
        <x:v>2026-09-22 Trace-only复核：编译通过；协同 TLOAD 状态不一致后 deadlock，无有效 cycles</x:v>
      </x:c>
    </x:row>
    <x:row r="9" ht="20" customHeight="1">
      <x:c r="A9" s="315" t="str">
        <x:v>FP32</x:v>
      </x:c>
      <x:c r="B9" s="316" t="str">
        <x:v>FP32</x:v>
      </x:c>
      <x:c r="C9" s="163" t="n">
        <x:v>128</x:v>
      </x:c>
      <x:c r="D9" s="163" t="n">
        <x:v>8192</x:v>
      </x:c>
      <x:c r="E9" s="163" t="n">
        <x:v>128</x:v>
      </x:c>
      <x:c r="F9" s="163" t="n">
        <x:v>128</x:v>
      </x:c>
      <x:c r="G9" s="163" t="n">
        <x:v>64</x:v>
      </x:c>
      <x:c r="H9" s="163" t="n">
        <x:v>128</x:v>
      </x:c>
      <x:c r="I9" s="166" t="n">
        <x:f>C9*D9*E9*2/(16*16*IF(A9="FP32",8,IF(A9="BF16",16,IF(A9="FP8",32,""))))</x:f>
        <x:v>131072</x:v>
      </x:c>
      <x:c r="J9" s="166" t="n">
        <x:f>IF('原始数据'!O9="","",'原始数据'!O9)</x:f>
        <x:v>160558</x:v>
      </x:c>
      <x:c r="K9" s="446" t="n">
        <x:f>IF('原始数据'!Q9="","",'原始数据'!Q9)</x:f>
        <x:v>0.8163529690205409</x:v>
      </x:c>
      <x:c r="L9" s="252"/>
      <x:c r="M9" s="166" t="str">
        <x:v>PASS</x:v>
      </x:c>
      <x:c r="N9" s="166" t="n">
        <x:f>IF('原始数据'!O10="","",'原始数据'!O10)</x:f>
        <x:v>158368</x:v>
      </x:c>
      <x:c r="O9" s="169" t="n">
        <x:f>IF('原始数据'!Q10="","",'原始数据'!Q10)</x:f>
        <x:v>0.8276419478682562</x:v>
      </x:c>
      <x:c r="P9" s="446" t="n">
        <x:f>IF(OR(N9="",J9=""),"",N9/J9-1)</x:f>
        <x:v>-0.013639930741538908</x:v>
      </x:c>
      <x:c r="Q9" s="252"/>
      <x:c r="R9" s="166" t="str">
        <x:v>PASS</x:v>
      </x:c>
      <x:c r="S9" s="166" t="str">
        <x:f>IF('原始数据'!O11="","",'原始数据'!O11)</x:f>
      </x:c>
      <x:c r="T9" s="169" t="str">
        <x:f>IF('原始数据'!Q11="","",'原始数据'!Q11)</x:f>
      </x:c>
      <x:c r="U9" s="446" t="str">
        <x:f>IF(OR(S9="",J9=""),"",S9/J9-1)</x:f>
      </x:c>
      <x:c r="V9" s="254"/>
      <x:c r="W9" s="193" t="str">
        <x:v>DEADLOCK</x:v>
      </x:c>
      <x:c r="X9" t="str">
        <x:v>2026-09-22 Trace-only复核：编译通过；协同 TLOAD 状态不一致后 deadlock，无有效 cycles</x:v>
      </x:c>
    </x:row>
    <x:row r="10" ht="20" customHeight="1">
      <x:c r="A10" s="315" t="str">
        <x:v>FP32</x:v>
      </x:c>
      <x:c r="B10" s="316" t="str">
        <x:v>FP32</x:v>
      </x:c>
      <x:c r="C10" s="163" t="n">
        <x:v>128</x:v>
      </x:c>
      <x:c r="D10" s="163" t="n">
        <x:v>8192</x:v>
      </x:c>
      <x:c r="E10" s="163" t="n">
        <x:v>128</x:v>
      </x:c>
      <x:c r="F10" s="163" t="n">
        <x:v>128</x:v>
      </x:c>
      <x:c r="G10" s="376" t="n">
        <x:v>128</x:v>
      </x:c>
      <x:c r="H10" s="163" t="n">
        <x:v>64</x:v>
      </x:c>
      <x:c r="I10" s="166" t="n">
        <x:f>C10*D10*E10*2/(16*16*IF(A10="FP32",8,IF(A10="BF16",16,IF(A10="FP8",32,""))))</x:f>
        <x:v>131072</x:v>
      </x:c>
      <x:c r="J10" s="444" t="n">
        <x:f>IF('原始数据'!O12="","",'原始数据'!O12)</x:f>
        <x:v>146439</x:v>
      </x:c>
      <x:c r="K10" s="375" t="n">
        <x:f>IF('原始数据'!Q12="","",'原始数据'!Q12)</x:f>
        <x:v>0.8950621077718367</x:v>
      </x:c>
      <x:c r="L10" s="252" t="str">
        <x:v>★ Tk=128</x:v>
      </x:c>
      <x:c r="M10" s="166" t="str">
        <x:v>PASS</x:v>
      </x:c>
      <x:c r="N10" s="444" t="n">
        <x:f>IF('原始数据'!O13="","",'原始数据'!O13)</x:f>
        <x:v>137841</x:v>
      </x:c>
      <x:c r="O10" s="169" t="n">
        <x:f>IF('原始数据'!Q13="","",'原始数据'!Q13)</x:f>
        <x:v>0.9508926952067962</x:v>
      </x:c>
      <x:c r="P10" s="375" t="n">
        <x:f>IF(OR(N10="",J10=""),"",N10/J10-1)</x:f>
        <x:v>-0.058713867207506154</x:v>
      </x:c>
      <x:c r="Q10" s="252" t="str">
        <x:v>★ Tk=128</x:v>
      </x:c>
      <x:c r="R10" s="166" t="str">
        <x:v>PASS</x:v>
      </x:c>
      <x:c r="S10" s="166" t="str">
        <x:f>IF('原始数据'!O14="","",'原始数据'!O14)</x:f>
      </x:c>
      <x:c r="T10" s="169" t="str">
        <x:f>IF('原始数据'!Q14="","",'原始数据'!Q14)</x:f>
      </x:c>
      <x:c r="U10" s="446" t="str">
        <x:f>IF(OR(S10="",J10=""),"",S10/J10-1)</x:f>
      </x:c>
      <x:c r="V10" s="254"/>
      <x:c r="W10" s="193" t="str">
        <x:v>DEADLOCK</x:v>
      </x:c>
      <x:c r="X10" t="str">
        <x:v>2026-09-22 Trace-only复核：编译通过；协同 TLOAD 状态不一致后 deadlock，无有效 cycles</x:v>
      </x:c>
    </x:row>
    <x:row r="11" ht="20" customHeight="1">
      <x:c r="A11" s="315" t="str">
        <x:v>FP32</x:v>
      </x:c>
      <x:c r="B11" s="316" t="str">
        <x:v>FP32</x:v>
      </x:c>
      <x:c r="C11" s="163" t="n">
        <x:v>128</x:v>
      </x:c>
      <x:c r="D11" s="163" t="n">
        <x:v>8192</x:v>
      </x:c>
      <x:c r="E11" s="163" t="n">
        <x:v>128</x:v>
      </x:c>
      <x:c r="F11" s="163" t="n">
        <x:v>128</x:v>
      </x:c>
      <x:c r="G11" s="163" t="n">
        <x:v>256</x:v>
      </x:c>
      <x:c r="H11" s="163" t="n">
        <x:v>32</x:v>
      </x:c>
      <x:c r="I11" s="166" t="n">
        <x:f>C11*D11*E11*2/(16*16*IF(A11="FP32",8,IF(A11="BF16",16,IF(A11="FP8",32,""))))</x:f>
        <x:v>131072</x:v>
      </x:c>
      <x:c r="J11" s="166" t="n">
        <x:f>IF('原始数据'!O15="","",'原始数据'!O15)</x:f>
        <x:v>260069</x:v>
      </x:c>
      <x:c r="K11" s="446" t="n">
        <x:f>IF('原始数据'!Q15="","",'原始数据'!Q15)</x:f>
        <x:v>0.5039893259096624</x:v>
      </x:c>
      <x:c r="L11" s="252"/>
      <x:c r="M11" s="166" t="str">
        <x:v>PASS</x:v>
      </x:c>
      <x:c r="N11" s="166" t="n">
        <x:f>IF('原始数据'!O16="","",'原始数据'!O16)</x:f>
        <x:v>140573</x:v>
      </x:c>
      <x:c r="O11" s="169" t="n">
        <x:f>IF('原始数据'!Q16="","",'原始数据'!Q16)</x:f>
        <x:v>0.9324123409189531</x:v>
      </x:c>
      <x:c r="P11" s="446" t="n">
        <x:f>IF(OR(N11="",J11=""),"",N11/J11-1)</x:f>
        <x:v>-0.45947806159134696</x:v>
      </x:c>
      <x:c r="Q11" s="252"/>
      <x:c r="R11" s="166" t="str">
        <x:v>PASS</x:v>
      </x:c>
      <x:c r="S11" s="166" t="str">
        <x:f>IF('原始数据'!O17="","",'原始数据'!O17)</x:f>
      </x:c>
      <x:c r="T11" s="169" t="str">
        <x:f>IF('原始数据'!Q17="","",'原始数据'!Q17)</x:f>
      </x:c>
      <x:c r="U11" s="446" t="str">
        <x:f>IF(OR(S11="",J11=""),"",S11/J11-1)</x:f>
      </x:c>
      <x:c r="V11" s="254"/>
      <x:c r="W11" s="193" t="str">
        <x:v>DEADLOCK</x:v>
      </x:c>
      <x:c r="X11" t="str">
        <x:v>2026-09-22 Trace-only复核：编译通过；协同 TLOAD 状态不一致后 deadlock，无有效 cycles</x:v>
      </x:c>
    </x:row>
    <x:row r="12" ht="20" customHeight="1">
      <x:c r="A12" s="321" t="str">
        <x:v>FP32</x:v>
      </x:c>
      <x:c r="B12" s="322" t="str">
        <x:v>BF16</x:v>
      </x:c>
      <x:c r="C12" s="163" t="n">
        <x:v>128</x:v>
      </x:c>
      <x:c r="D12" s="163" t="n">
        <x:v>8192</x:v>
      </x:c>
      <x:c r="E12" s="163" t="n">
        <x:v>128</x:v>
      </x:c>
      <x:c r="F12" s="163" t="n">
        <x:v>128</x:v>
      </x:c>
      <x:c r="G12" s="163" t="n">
        <x:v>32</x:v>
      </x:c>
      <x:c r="H12" s="163" t="n">
        <x:v>256</x:v>
      </x:c>
      <x:c r="I12" s="166" t="n">
        <x:f>C12*D12*E12*2/(16*16*IF(A12="FP32",8,IF(A12="BF16",16,IF(A12="FP8",32,""))))</x:f>
        <x:v>131072</x:v>
      </x:c>
      <x:c r="J12" s="166" t="n">
        <x:f>IF('原始数据'!O18="","",'原始数据'!O18)</x:f>
        <x:v>205912</x:v>
      </x:c>
      <x:c r="K12" s="446" t="n">
        <x:f>IF('原始数据'!Q18="","",'原始数据'!Q18)</x:f>
        <x:v>0.6365437662690858</x:v>
      </x:c>
      <x:c r="L12" s="252"/>
      <x:c r="M12" s="166" t="str">
        <x:v>PASS</x:v>
      </x:c>
      <x:c r="N12" s="166" t="n">
        <x:f>IF('原始数据'!O19="","",'原始数据'!O19)</x:f>
        <x:v>200201</x:v>
      </x:c>
      <x:c r="O12" s="169" t="n">
        <x:f>IF('原始数据'!Q19="","",'原始数据'!Q19)</x:f>
        <x:v>0.6547020244654123</x:v>
      </x:c>
      <x:c r="P12" s="446" t="n">
        <x:f>IF(OR(N12="",J12=""),"",N12/J12-1)</x:f>
        <x:v>-0.02773514899568752</x:v>
      </x:c>
      <x:c r="Q12" s="252"/>
      <x:c r="R12" s="166" t="str">
        <x:v>PASS</x:v>
      </x:c>
      <x:c r="S12" s="166" t="str">
        <x:f>IF('原始数据'!O20="","",'原始数据'!O20)</x:f>
      </x:c>
      <x:c r="T12" s="169" t="str">
        <x:f>IF('原始数据'!Q20="","",'原始数据'!Q20)</x:f>
      </x:c>
      <x:c r="U12" s="446" t="str">
        <x:f>IF(OR(S12="",J12=""),"",S12/J12-1)</x:f>
      </x:c>
      <x:c r="V12" s="254"/>
      <x:c r="W12" s="193" t="str">
        <x:v>COMPILE_FAIL</x:v>
      </x:c>
      <x:c r="X12" t="str">
        <x:v>2026-09-22 Trace-only复核：FP32 accumulator 直接 TSTORE_CUBE 到 BF16，dtype 契约编译失败</x:v>
      </x:c>
    </x:row>
    <x:row r="13" ht="20" customHeight="1">
      <x:c r="A13" s="321" t="str">
        <x:v>FP32</x:v>
      </x:c>
      <x:c r="B13" s="322" t="str">
        <x:v>BF16</x:v>
      </x:c>
      <x:c r="C13" s="163" t="n">
        <x:v>128</x:v>
      </x:c>
      <x:c r="D13" s="163" t="n">
        <x:v>8192</x:v>
      </x:c>
      <x:c r="E13" s="163" t="n">
        <x:v>128</x:v>
      </x:c>
      <x:c r="F13" s="163" t="n">
        <x:v>128</x:v>
      </x:c>
      <x:c r="G13" s="163" t="n">
        <x:v>64</x:v>
      </x:c>
      <x:c r="H13" s="163" t="n">
        <x:v>128</x:v>
      </x:c>
      <x:c r="I13" s="166" t="n">
        <x:f>C13*D13*E13*2/(16*16*IF(A13="FP32",8,IF(A13="BF16",16,IF(A13="FP8",32,""))))</x:f>
        <x:v>131072</x:v>
      </x:c>
      <x:c r="J13" s="166" t="n">
        <x:f>IF('原始数据'!O21="","",'原始数据'!O21)</x:f>
        <x:v>153650</x:v>
      </x:c>
      <x:c r="K13" s="446" t="n">
        <x:f>IF('原始数据'!Q21="","",'原始数据'!Q21)</x:f>
        <x:v>0.8530556459485844</x:v>
      </x:c>
      <x:c r="L13" s="252"/>
      <x:c r="M13" s="166" t="str">
        <x:v>PASS</x:v>
      </x:c>
      <x:c r="N13" s="166" t="n">
        <x:f>IF('原始数据'!O22="","",'原始数据'!O22)</x:f>
        <x:v>155502</x:v>
      </x:c>
      <x:c r="O13" s="169" t="n">
        <x:f>IF('原始数据'!Q22="","",'原始数据'!Q22)</x:f>
        <x:v>0.842895911306607</x:v>
      </x:c>
      <x:c r="P13" s="446" t="n">
        <x:f>IF(OR(N13="",J13=""),"",N13/J13-1)</x:f>
        <x:v>0.012053368044256496</x:v>
      </x:c>
      <x:c r="Q13" s="252"/>
      <x:c r="R13" s="166" t="str">
        <x:v>PASS</x:v>
      </x:c>
      <x:c r="S13" s="166" t="str">
        <x:f>IF('原始数据'!O23="","",'原始数据'!O23)</x:f>
      </x:c>
      <x:c r="T13" s="169" t="str">
        <x:f>IF('原始数据'!Q23="","",'原始数据'!Q23)</x:f>
      </x:c>
      <x:c r="U13" s="446" t="str">
        <x:f>IF(OR(S13="",J13=""),"",S13/J13-1)</x:f>
      </x:c>
      <x:c r="V13" s="254"/>
      <x:c r="W13" s="193" t="str">
        <x:v>COMPILE_FAIL</x:v>
      </x:c>
      <x:c r="X13" t="str">
        <x:v>2026-09-22 Trace-only复核：FP32 accumulator 直接 TSTORE_CUBE 到 BF16，dtype 契约编译失败</x:v>
      </x:c>
    </x:row>
    <x:row r="14" ht="20" customHeight="1">
      <x:c r="A14" s="321" t="str">
        <x:v>FP32</x:v>
      </x:c>
      <x:c r="B14" s="322" t="str">
        <x:v>BF16</x:v>
      </x:c>
      <x:c r="C14" s="163" t="n">
        <x:v>128</x:v>
      </x:c>
      <x:c r="D14" s="163" t="n">
        <x:v>8192</x:v>
      </x:c>
      <x:c r="E14" s="163" t="n">
        <x:v>128</x:v>
      </x:c>
      <x:c r="F14" s="163" t="n">
        <x:v>128</x:v>
      </x:c>
      <x:c r="G14" s="376" t="n">
        <x:v>128</x:v>
      </x:c>
      <x:c r="H14" s="163" t="n">
        <x:v>64</x:v>
      </x:c>
      <x:c r="I14" s="166" t="n">
        <x:f>C14*D14*E14*2/(16*16*IF(A14="FP32",8,IF(A14="BF16",16,IF(A14="FP8",32,""))))</x:f>
        <x:v>131072</x:v>
      </x:c>
      <x:c r="J14" s="444" t="n">
        <x:f>IF('原始数据'!O24="","",'原始数据'!O24)</x:f>
        <x:v>138078</x:v>
      </x:c>
      <x:c r="K14" s="375" t="n">
        <x:f>IF('原始数据'!Q24="","",'原始数据'!Q24)</x:f>
        <x:v>0.9492605628702617</x:v>
      </x:c>
      <x:c r="L14" s="252" t="str">
        <x:v>★ Tk=128</x:v>
      </x:c>
      <x:c r="M14" s="166" t="str">
        <x:v>PASS</x:v>
      </x:c>
      <x:c r="N14" s="444" t="n">
        <x:f>IF('原始数据'!O25="","",'原始数据'!O25)</x:f>
        <x:v>137945</x:v>
      </x:c>
      <x:c r="O14" s="169" t="n">
        <x:f>IF('原始数据'!Q25="","",'原始数据'!Q25)</x:f>
        <x:v>0.9501757947007865</x:v>
      </x:c>
      <x:c r="P14" s="375" t="n">
        <x:f>IF(OR(N14="",J14=""),"",N14/J14-1)</x:f>
        <x:v>-0.000963223685163439</x:v>
      </x:c>
      <x:c r="Q14" s="252" t="str">
        <x:v>★ Tk=128</x:v>
      </x:c>
      <x:c r="R14" s="166" t="str">
        <x:v>PASS</x:v>
      </x:c>
      <x:c r="S14" s="166" t="str">
        <x:f>IF('原始数据'!O26="","",'原始数据'!O26)</x:f>
      </x:c>
      <x:c r="T14" s="169" t="str">
        <x:f>IF('原始数据'!Q26="","",'原始数据'!Q26)</x:f>
      </x:c>
      <x:c r="U14" s="446" t="str">
        <x:f>IF(OR(S14="",J14=""),"",S14/J14-1)</x:f>
      </x:c>
      <x:c r="V14" s="254"/>
      <x:c r="W14" s="193" t="str">
        <x:v>COMPILE_FAIL</x:v>
      </x:c>
      <x:c r="X14" t="str">
        <x:v>2026-09-22 Trace-only复核：FP32 accumulator 直接 TSTORE_CUBE 到 BF16，dtype 契约编译失败</x:v>
      </x:c>
    </x:row>
    <x:row r="15" ht="20" customHeight="1">
      <x:c r="A15" s="321" t="str">
        <x:v>FP32</x:v>
      </x:c>
      <x:c r="B15" s="322" t="str">
        <x:v>BF16</x:v>
      </x:c>
      <x:c r="C15" s="163" t="n">
        <x:v>128</x:v>
      </x:c>
      <x:c r="D15" s="163" t="n">
        <x:v>8192</x:v>
      </x:c>
      <x:c r="E15" s="163" t="n">
        <x:v>128</x:v>
      </x:c>
      <x:c r="F15" s="163" t="n">
        <x:v>128</x:v>
      </x:c>
      <x:c r="G15" s="163" t="n">
        <x:v>256</x:v>
      </x:c>
      <x:c r="H15" s="163" t="n">
        <x:v>32</x:v>
      </x:c>
      <x:c r="I15" s="166" t="n">
        <x:f>C15*D15*E15*2/(16*16*IF(A15="FP32",8,IF(A15="BF16",16,IF(A15="FP8",32,""))))</x:f>
        <x:v>131072</x:v>
      </x:c>
      <x:c r="J15" s="166" t="n">
        <x:f>IF('原始数据'!O27="","",'原始数据'!O27)</x:f>
        <x:v>259876</x:v>
      </x:c>
      <x:c r="K15" s="446" t="n">
        <x:f>IF('原始数据'!Q27="","",'原始数据'!Q27)</x:f>
        <x:v>0.5043636195724115</x:v>
      </x:c>
      <x:c r="L15" s="252"/>
      <x:c r="M15" s="166" t="str">
        <x:v>PASS</x:v>
      </x:c>
      <x:c r="N15" s="166" t="n">
        <x:f>IF('原始数据'!O28="","",'原始数据'!O28)</x:f>
        <x:v>141359</x:v>
      </x:c>
      <x:c r="O15" s="169" t="n">
        <x:f>IF('原始数据'!Q28="","",'原始数据'!Q28)</x:f>
        <x:v>0.9272278383406787</x:v>
      </x:c>
      <x:c r="P15" s="446" t="n">
        <x:f>IF(OR(N15="",J15=""),"",N15/J15-1)</x:f>
        <x:v>-0.4560521171635703</x:v>
      </x:c>
      <x:c r="Q15" s="252"/>
      <x:c r="R15" s="166" t="str">
        <x:v>PASS</x:v>
      </x:c>
      <x:c r="S15" s="166" t="str">
        <x:f>IF('原始数据'!O29="","",'原始数据'!O29)</x:f>
      </x:c>
      <x:c r="T15" s="169" t="str">
        <x:f>IF('原始数据'!Q29="","",'原始数据'!Q29)</x:f>
      </x:c>
      <x:c r="U15" s="446" t="str">
        <x:f>IF(OR(S15="",J15=""),"",S15/J15-1)</x:f>
      </x:c>
      <x:c r="V15" s="254"/>
      <x:c r="W15" s="193" t="str">
        <x:v>COMPILE_FAIL</x:v>
      </x:c>
      <x:c r="X15" t="str">
        <x:v>2026-09-22 Trace-only复核：FP32 accumulator 直接 TSTORE_CUBE 到 BF16，dtype 契约编译失败</x:v>
      </x:c>
    </x:row>
    <x:row r="16" ht="20" customHeight="1">
      <x:c r="A16" s="327" t="str">
        <x:v>BF16</x:v>
      </x:c>
      <x:c r="B16" s="328" t="str">
        <x:v>FP32</x:v>
      </x:c>
      <x:c r="C16" s="163" t="n">
        <x:v>128</x:v>
      </x:c>
      <x:c r="D16" s="163" t="n">
        <x:v>8192</x:v>
      </x:c>
      <x:c r="E16" s="163" t="n">
        <x:v>128</x:v>
      </x:c>
      <x:c r="F16" s="163" t="n">
        <x:v>128</x:v>
      </x:c>
      <x:c r="G16" s="163" t="n">
        <x:v>32</x:v>
      </x:c>
      <x:c r="H16" s="163" t="n">
        <x:v>256</x:v>
      </x:c>
      <x:c r="I16" s="166" t="n">
        <x:f>C16*D16*E16*2/(16*16*IF(A16="FP32",8,IF(A16="BF16",16,IF(A16="FP8",32,""))))</x:f>
        <x:v>65536</x:v>
      </x:c>
      <x:c r="J16" s="166" t="n">
        <x:f>IF('原始数据'!O30="","",'原始数据'!O30)</x:f>
        <x:v>110875</x:v>
      </x:c>
      <x:c r="K16" s="446" t="n">
        <x:f>IF('原始数据'!Q30="","",'原始数据'!Q30)</x:f>
        <x:v>0.5910800450958287</x:v>
      </x:c>
      <x:c r="L16" s="252"/>
      <x:c r="M16" s="166" t="str">
        <x:v>PASS</x:v>
      </x:c>
      <x:c r="N16" s="166" t="n">
        <x:f>IF('原始数据'!O31="","",'原始数据'!O31)</x:f>
        <x:v>152840</x:v>
      </x:c>
      <x:c r="O16" s="169" t="n">
        <x:f>IF('原始数据'!Q31="","",'原始数据'!Q31)</x:f>
        <x:v>0.4287882753205967</x:v>
      </x:c>
      <x:c r="P16" s="446" t="n">
        <x:f>IF(OR(N16="",J16=""),"",N16/J16-1)</x:f>
        <x:v>0.37848928974069906</x:v>
      </x:c>
      <x:c r="Q16" s="252"/>
      <x:c r="R16" s="166" t="str">
        <x:v>PASS</x:v>
      </x:c>
      <x:c r="S16" s="166" t="str">
        <x:f>IF('原始数据'!O32="","",'原始数据'!O32)</x:f>
      </x:c>
      <x:c r="T16" s="169" t="str">
        <x:f>IF('原始数据'!Q32="","",'原始数据'!Q32)</x:f>
      </x:c>
      <x:c r="U16" s="446" t="str">
        <x:f>IF(OR(S16="",J16=""),"",S16/J16-1)</x:f>
      </x:c>
      <x:c r="V16" s="254"/>
      <x:c r="W16" s="193" t="str">
        <x:v>DEADLOCK</x:v>
      </x:c>
      <x:c r="X16" t="str">
        <x:v>2026-09-22 Trace-only复核：编译通过；协同 TLOAD 状态不一致后 deadlock，无有效 cycles</x:v>
      </x:c>
    </x:row>
    <x:row r="17" ht="20" customHeight="1">
      <x:c r="A17" s="327" t="str">
        <x:v>BF16</x:v>
      </x:c>
      <x:c r="B17" s="328" t="str">
        <x:v>FP32</x:v>
      </x:c>
      <x:c r="C17" s="163" t="n">
        <x:v>128</x:v>
      </x:c>
      <x:c r="D17" s="163" t="n">
        <x:v>8192</x:v>
      </x:c>
      <x:c r="E17" s="163" t="n">
        <x:v>128</x:v>
      </x:c>
      <x:c r="F17" s="163" t="n">
        <x:v>128</x:v>
      </x:c>
      <x:c r="G17" s="163" t="n">
        <x:v>64</x:v>
      </x:c>
      <x:c r="H17" s="163" t="n">
        <x:v>128</x:v>
      </x:c>
      <x:c r="I17" s="166" t="n">
        <x:f>C17*D17*E17*2/(16*16*IF(A17="FP32",8,IF(A17="BF16",16,IF(A17="FP8",32,""))))</x:f>
        <x:v>65536</x:v>
      </x:c>
      <x:c r="J17" s="166" t="n">
        <x:f>IF('原始数据'!O33="","",'原始数据'!O33)</x:f>
        <x:v>71102</x:v>
      </x:c>
      <x:c r="K17" s="446" t="n">
        <x:f>IF('原始数据'!Q33="","",'原始数据'!Q33)</x:f>
        <x:v>0.9217180951309386</x:v>
      </x:c>
      <x:c r="L17" s="252"/>
      <x:c r="M17" s="166" t="str">
        <x:v>PASS</x:v>
      </x:c>
      <x:c r="N17" s="166" t="n">
        <x:f>IF('原始数据'!O34="","",'原始数据'!O34)</x:f>
        <x:v>76747</x:v>
      </x:c>
      <x:c r="O17" s="169" t="n">
        <x:f>IF('原始数据'!Q34="","",'原始数据'!Q34)</x:f>
        <x:v>0.8539226288975464</x:v>
      </x:c>
      <x:c r="P17" s="446" t="n">
        <x:f>IF(OR(N17="",J17=""),"",N17/J17-1)</x:f>
        <x:v>0.07939298472616807</x:v>
      </x:c>
      <x:c r="Q17" s="252"/>
      <x:c r="R17" s="166" t="str">
        <x:v>PASS</x:v>
      </x:c>
      <x:c r="S17" s="166" t="str">
        <x:f>IF('原始数据'!O35="","",'原始数据'!O35)</x:f>
      </x:c>
      <x:c r="T17" s="169" t="str">
        <x:f>IF('原始数据'!Q35="","",'原始数据'!Q35)</x:f>
      </x:c>
      <x:c r="U17" s="446" t="str">
        <x:f>IF(OR(S17="",J17=""),"",S17/J17-1)</x:f>
      </x:c>
      <x:c r="V17" s="254"/>
      <x:c r="W17" s="193" t="str">
        <x:v>DEADLOCK</x:v>
      </x:c>
      <x:c r="X17" t="str">
        <x:v>2026-09-22 Trace-only复核：编译通过；协同 TLOAD 状态不一致后 deadlock，无有效 cycles</x:v>
      </x:c>
    </x:row>
    <x:row r="18" ht="20" customHeight="1">
      <x:c r="A18" s="327" t="str">
        <x:v>BF16</x:v>
      </x:c>
      <x:c r="B18" s="328" t="str">
        <x:v>FP32</x:v>
      </x:c>
      <x:c r="C18" s="163" t="n">
        <x:v>128</x:v>
      </x:c>
      <x:c r="D18" s="163" t="n">
        <x:v>8192</x:v>
      </x:c>
      <x:c r="E18" s="163" t="n">
        <x:v>128</x:v>
      </x:c>
      <x:c r="F18" s="163" t="n">
        <x:v>128</x:v>
      </x:c>
      <x:c r="G18" s="376" t="n">
        <x:v>128</x:v>
      </x:c>
      <x:c r="H18" s="163" t="n">
        <x:v>64</x:v>
      </x:c>
      <x:c r="I18" s="166" t="n">
        <x:f>C18*D18*E18*2/(16*16*IF(A18="FP32",8,IF(A18="BF16",16,IF(A18="FP8",32,""))))</x:f>
        <x:v>65536</x:v>
      </x:c>
      <x:c r="J18" s="444" t="n">
        <x:f>IF('原始数据'!O36="","",'原始数据'!O36)</x:f>
        <x:v>69320</x:v>
      </x:c>
      <x:c r="K18" s="375" t="n">
        <x:f>IF('原始数据'!Q36="","",'原始数据'!Q36)</x:f>
        <x:v>0.9454125793421811</x:v>
      </x:c>
      <x:c r="L18" s="252" t="str">
        <x:v>★ Tk=128</x:v>
      </x:c>
      <x:c r="M18" s="166" t="str">
        <x:v>PASS</x:v>
      </x:c>
      <x:c r="N18" s="444" t="n">
        <x:f>IF('原始数据'!O37="","",'原始数据'!O37)</x:f>
        <x:v>68727</x:v>
      </x:c>
      <x:c r="O18" s="169" t="n">
        <x:f>IF('原始数据'!Q37="","",'原始数据'!Q37)</x:f>
        <x:v>0.9535699215737629</x:v>
      </x:c>
      <x:c r="P18" s="375" t="n">
        <x:f>IF(OR(N18="",J18=""),"",N18/J18-1)</x:f>
        <x:v>-0.008554529717253345</x:v>
      </x:c>
      <x:c r="Q18" s="252" t="str">
        <x:v>★ Tk=128</x:v>
      </x:c>
      <x:c r="R18" s="166" t="str">
        <x:v>PASS</x:v>
      </x:c>
      <x:c r="S18" s="166" t="str">
        <x:f>IF('原始数据'!O38="","",'原始数据'!O38)</x:f>
      </x:c>
      <x:c r="T18" s="169" t="str">
        <x:f>IF('原始数据'!Q38="","",'原始数据'!Q38)</x:f>
      </x:c>
      <x:c r="U18" s="446" t="str">
        <x:f>IF(OR(S18="",J18=""),"",S18/J18-1)</x:f>
      </x:c>
      <x:c r="V18" s="254"/>
      <x:c r="W18" s="193" t="str">
        <x:v>DEADLOCK</x:v>
      </x:c>
      <x:c r="X18" t="str">
        <x:v>2026-09-22 Trace-only复核：编译通过；协同 TLOAD 状态不一致后 deadlock，无有效 cycles</x:v>
      </x:c>
    </x:row>
    <x:row r="19" ht="20" customHeight="1">
      <x:c r="A19" s="327" t="str">
        <x:v>BF16</x:v>
      </x:c>
      <x:c r="B19" s="328" t="str">
        <x:v>FP32</x:v>
      </x:c>
      <x:c r="C19" s="163" t="n">
        <x:v>128</x:v>
      </x:c>
      <x:c r="D19" s="163" t="n">
        <x:v>8192</x:v>
      </x:c>
      <x:c r="E19" s="163" t="n">
        <x:v>128</x:v>
      </x:c>
      <x:c r="F19" s="163" t="n">
        <x:v>128</x:v>
      </x:c>
      <x:c r="G19" s="163" t="n">
        <x:v>256</x:v>
      </x:c>
      <x:c r="H19" s="163" t="n">
        <x:v>32</x:v>
      </x:c>
      <x:c r="I19" s="166" t="n">
        <x:f>C19*D19*E19*2/(16*16*IF(A19="FP32",8,IF(A19="BF16",16,IF(A19="FP8",32,""))))</x:f>
        <x:v>65536</x:v>
      </x:c>
      <x:c r="J19" s="166" t="n">
        <x:f>IF('原始数据'!O39="","",'原始数据'!O39)</x:f>
        <x:v>84129</x:v>
      </x:c>
      <x:c r="K19" s="446" t="n">
        <x:f>IF('原始数据'!Q39="","",'原始数据'!Q39)</x:f>
        <x:v>0.778994163724756</x:v>
      </x:c>
      <x:c r="L19" s="252"/>
      <x:c r="M19" s="166" t="str">
        <x:v>PASS</x:v>
      </x:c>
      <x:c r="N19" s="166" t="n">
        <x:f>IF('原始数据'!O40="","",'原始数据'!O40)</x:f>
        <x:v>72400</x:v>
      </x:c>
      <x:c r="O19" s="169" t="n">
        <x:f>IF('原始数据'!Q40="","",'原始数据'!Q40)</x:f>
        <x:v>0.9051933701657459</x:v>
      </x:c>
      <x:c r="P19" s="446" t="n">
        <x:f>IF(OR(N19="",J19=""),"",N19/J19-1)</x:f>
        <x:v>-0.13941684793590792</x:v>
      </x:c>
      <x:c r="Q19" s="252"/>
      <x:c r="R19" s="166" t="str">
        <x:v>PASS</x:v>
      </x:c>
      <x:c r="S19" s="166" t="str">
        <x:f>IF('原始数据'!O41="","",'原始数据'!O41)</x:f>
      </x:c>
      <x:c r="T19" s="169" t="str">
        <x:f>IF('原始数据'!Q41="","",'原始数据'!Q41)</x:f>
      </x:c>
      <x:c r="U19" s="446" t="str">
        <x:f>IF(OR(S19="",J19=""),"",S19/J19-1)</x:f>
      </x:c>
      <x:c r="V19" s="254"/>
      <x:c r="W19" s="193" t="str">
        <x:v>DEADLOCK</x:v>
      </x:c>
      <x:c r="X19" t="str">
        <x:v>2026-09-22 Trace-only复核：编译通过；协同 TLOAD 状态不一致后 deadlock，无有效 cycles</x:v>
      </x:c>
    </x:row>
    <x:row r="20" ht="20" customHeight="1">
      <x:c r="A20" s="333" t="str">
        <x:v>BF16</x:v>
      </x:c>
      <x:c r="B20" s="334" t="str">
        <x:v>BF16</x:v>
      </x:c>
      <x:c r="C20" s="163" t="n">
        <x:v>128</x:v>
      </x:c>
      <x:c r="D20" s="163" t="n">
        <x:v>8192</x:v>
      </x:c>
      <x:c r="E20" s="163" t="n">
        <x:v>128</x:v>
      </x:c>
      <x:c r="F20" s="163" t="n">
        <x:v>128</x:v>
      </x:c>
      <x:c r="G20" s="163" t="n">
        <x:v>32</x:v>
      </x:c>
      <x:c r="H20" s="163" t="n">
        <x:v>256</x:v>
      </x:c>
      <x:c r="I20" s="166" t="n">
        <x:f>C20*D20*E20*2/(16*16*IF(A20="FP32",8,IF(A20="BF16",16,IF(A20="FP8",32,""))))</x:f>
        <x:v>65536</x:v>
      </x:c>
      <x:c r="J20" s="166" t="n">
        <x:f>IF('原始数据'!O42="","",'原始数据'!O42)</x:f>
        <x:v>122858</x:v>
      </x:c>
      <x:c r="K20" s="446" t="n">
        <x:f>IF('原始数据'!Q42="","",'原始数据'!Q42)</x:f>
        <x:v>0.5334288365430009</x:v>
      </x:c>
      <x:c r="L20" s="252"/>
      <x:c r="M20" s="166" t="str">
        <x:v>PASS</x:v>
      </x:c>
      <x:c r="N20" s="166" t="n">
        <x:f>IF('原始数据'!O43="","",'原始数据'!O43)</x:f>
        <x:v>153080</x:v>
      </x:c>
      <x:c r="O20" s="169" t="n">
        <x:f>IF('原始数据'!Q43="","",'原始数据'!Q43)</x:f>
        <x:v>0.42811601776848707</x:v>
      </x:c>
      <x:c r="P20" s="446" t="n">
        <x:f>IF(OR(N20="",J20=""),"",N20/J20-1)</x:f>
        <x:v>0.2459913070373927</x:v>
      </x:c>
      <x:c r="Q20" s="252"/>
      <x:c r="R20" s="166" t="str">
        <x:v>PASS</x:v>
      </x:c>
      <x:c r="S20" s="166" t="str">
        <x:f>IF('原始数据'!O44="","",'原始数据'!O44)</x:f>
      </x:c>
      <x:c r="T20" s="169" t="str">
        <x:f>IF('原始数据'!Q44="","",'原始数据'!Q44)</x:f>
      </x:c>
      <x:c r="U20" s="446" t="str">
        <x:f>IF(OR(S20="",J20=""),"",S20/J20-1)</x:f>
      </x:c>
      <x:c r="V20" s="254"/>
      <x:c r="W20" s="193" t="str">
        <x:v>COMPILE_FAIL</x:v>
      </x:c>
      <x:c r="X20" t="str">
        <x:v>2026-09-22 Trace-only复核：FP32 accumulator 直接 TSTORE_CUBE 到 BF16，dtype 契约编译失败</x:v>
      </x:c>
    </x:row>
    <x:row r="21" ht="20" customHeight="1">
      <x:c r="A21" s="333" t="str">
        <x:v>BF16</x:v>
      </x:c>
      <x:c r="B21" s="334" t="str">
        <x:v>BF16</x:v>
      </x:c>
      <x:c r="C21" s="163" t="n">
        <x:v>128</x:v>
      </x:c>
      <x:c r="D21" s="163" t="n">
        <x:v>8192</x:v>
      </x:c>
      <x:c r="E21" s="163" t="n">
        <x:v>128</x:v>
      </x:c>
      <x:c r="F21" s="163" t="n">
        <x:v>128</x:v>
      </x:c>
      <x:c r="G21" s="163" t="n">
        <x:v>64</x:v>
      </x:c>
      <x:c r="H21" s="163" t="n">
        <x:v>128</x:v>
      </x:c>
      <x:c r="I21" s="166" t="n">
        <x:f>C21*D21*E21*2/(16*16*IF(A21="FP32",8,IF(A21="BF16",16,IF(A21="FP8",32,""))))</x:f>
        <x:v>65536</x:v>
      </x:c>
      <x:c r="J21" s="166" t="n">
        <x:f>IF('原始数据'!O45="","",'原始数据'!O45)</x:f>
        <x:v>69965</x:v>
      </x:c>
      <x:c r="K21" s="446" t="n">
        <x:f>IF('原始数据'!Q45="","",'原始数据'!Q45)</x:f>
        <x:v>0.9366969198885157</x:v>
      </x:c>
      <x:c r="L21" s="252"/>
      <x:c r="M21" s="166" t="str">
        <x:v>PASS</x:v>
      </x:c>
      <x:c r="N21" s="166" t="n">
        <x:f>IF('原始数据'!O46="","",'原始数据'!O46)</x:f>
        <x:v>77220</x:v>
      </x:c>
      <x:c r="O21" s="169" t="n">
        <x:f>IF('原始数据'!Q46="","",'原始数据'!Q46)</x:f>
        <x:v>0.8486920486920487</x:v>
      </x:c>
      <x:c r="P21" s="446" t="n">
        <x:f>IF(OR(N21="",J21=""),"",N21/J21-1)</x:f>
        <x:v>0.10369470449510465</x:v>
      </x:c>
      <x:c r="Q21" s="252"/>
      <x:c r="R21" s="166" t="str">
        <x:v>PASS</x:v>
      </x:c>
      <x:c r="S21" s="166" t="str">
        <x:f>IF('原始数据'!O47="","",'原始数据'!O47)</x:f>
      </x:c>
      <x:c r="T21" s="169" t="str">
        <x:f>IF('原始数据'!Q47="","",'原始数据'!Q47)</x:f>
      </x:c>
      <x:c r="U21" s="446" t="str">
        <x:f>IF(OR(S21="",J21=""),"",S21/J21-1)</x:f>
      </x:c>
      <x:c r="V21" s="254"/>
      <x:c r="W21" s="193" t="str">
        <x:v>COMPILE_FAIL</x:v>
      </x:c>
      <x:c r="X21" t="str">
        <x:v>2026-09-22 Trace-only复核：FP32 accumulator 直接 TSTORE_CUBE 到 BF16，dtype 契约编译失败</x:v>
      </x:c>
    </x:row>
    <x:row r="22" ht="20" customHeight="1">
      <x:c r="A22" s="333" t="str">
        <x:v>BF16</x:v>
      </x:c>
      <x:c r="B22" s="334" t="str">
        <x:v>BF16</x:v>
      </x:c>
      <x:c r="C22" s="163" t="n">
        <x:v>128</x:v>
      </x:c>
      <x:c r="D22" s="163" t="n">
        <x:v>8192</x:v>
      </x:c>
      <x:c r="E22" s="163" t="n">
        <x:v>128</x:v>
      </x:c>
      <x:c r="F22" s="163" t="n">
        <x:v>128</x:v>
      </x:c>
      <x:c r="G22" s="376" t="n">
        <x:v>128</x:v>
      </x:c>
      <x:c r="H22" s="163" t="n">
        <x:v>64</x:v>
      </x:c>
      <x:c r="I22" s="166" t="n">
        <x:f>C22*D22*E22*2/(16*16*IF(A22="FP32",8,IF(A22="BF16",16,IF(A22="FP8",32,""))))</x:f>
        <x:v>65536</x:v>
      </x:c>
      <x:c r="J22" s="444" t="n">
        <x:f>IF('原始数据'!O48="","",'原始数据'!O48)</x:f>
        <x:v>68822</x:v>
      </x:c>
      <x:c r="K22" s="375" t="n">
        <x:f>IF('原始数据'!Q48="","",'原始数据'!Q48)</x:f>
        <x:v>0.9522536398244748</x:v>
      </x:c>
      <x:c r="L22" s="252" t="str">
        <x:v>★ Tk=128</x:v>
      </x:c>
      <x:c r="M22" s="166" t="str">
        <x:v>PASS</x:v>
      </x:c>
      <x:c r="N22" s="444" t="n">
        <x:f>IF('原始数据'!O49="","",'原始数据'!O49)</x:f>
        <x:v>68753</x:v>
      </x:c>
      <x:c r="O22" s="169" t="n">
        <x:f>IF('原始数据'!Q49="","",'原始数据'!Q49)</x:f>
        <x:v>0.9532093145026399</x:v>
      </x:c>
      <x:c r="P22" s="375" t="n">
        <x:f>IF(OR(N22="",J22=""),"",N22/J22-1)</x:f>
        <x:v>-0.0010025863822614722</x:v>
      </x:c>
      <x:c r="Q22" s="252" t="str">
        <x:v>★ Tk=128</x:v>
      </x:c>
      <x:c r="R22" s="166" t="str">
        <x:v>PASS</x:v>
      </x:c>
      <x:c r="S22" s="166" t="str">
        <x:f>IF('原始数据'!O50="","",'原始数据'!O50)</x:f>
      </x:c>
      <x:c r="T22" s="169" t="str">
        <x:f>IF('原始数据'!Q50="","",'原始数据'!Q50)</x:f>
      </x:c>
      <x:c r="U22" s="446" t="str">
        <x:f>IF(OR(S22="",J22=""),"",S22/J22-1)</x:f>
      </x:c>
      <x:c r="V22" s="254"/>
      <x:c r="W22" s="193" t="str">
        <x:v>COMPILE_FAIL</x:v>
      </x:c>
      <x:c r="X22" t="str">
        <x:v>2026-09-22 Trace-only复核：FP32 accumulator 直接 TSTORE_CUBE 到 BF16，dtype 契约编译失败</x:v>
      </x:c>
    </x:row>
    <x:row r="23" ht="20" customHeight="1">
      <x:c r="A23" s="333" t="str">
        <x:v>BF16</x:v>
      </x:c>
      <x:c r="B23" s="334" t="str">
        <x:v>BF16</x:v>
      </x:c>
      <x:c r="C23" s="163" t="n">
        <x:v>128</x:v>
      </x:c>
      <x:c r="D23" s="163" t="n">
        <x:v>8192</x:v>
      </x:c>
      <x:c r="E23" s="163" t="n">
        <x:v>128</x:v>
      </x:c>
      <x:c r="F23" s="163" t="n">
        <x:v>128</x:v>
      </x:c>
      <x:c r="G23" s="163" t="n">
        <x:v>256</x:v>
      </x:c>
      <x:c r="H23" s="163" t="n">
        <x:v>32</x:v>
      </x:c>
      <x:c r="I23" s="166" t="n">
        <x:f>C23*D23*E23*2/(16*16*IF(A23="FP32",8,IF(A23="BF16",16,IF(A23="FP8",32,""))))</x:f>
        <x:v>65536</x:v>
      </x:c>
      <x:c r="J23" s="166" t="n">
        <x:f>IF('原始数据'!O51="","",'原始数据'!O51)</x:f>
        <x:v>71980</x:v>
      </x:c>
      <x:c r="K23" s="446" t="n">
        <x:f>IF('原始数据'!Q51="","",'原始数据'!Q51)</x:f>
        <x:v>0.9104751319811059</x:v>
      </x:c>
      <x:c r="L23" s="252"/>
      <x:c r="M23" s="166" t="str">
        <x:v>PASS</x:v>
      </x:c>
      <x:c r="N23" s="166" t="n">
        <x:f>IF('原始数据'!O52="","",'原始数据'!O52)</x:f>
        <x:v>69627</x:v>
      </x:c>
      <x:c r="O23" s="169" t="n">
        <x:f>IF('原始数据'!Q52="","",'原始数据'!Q52)</x:f>
        <x:v>0.941244057621325</x:v>
      </x:c>
      <x:c r="P23" s="446" t="n">
        <x:f>IF(OR(N23="",J23=""),"",N23/J23-1)</x:f>
        <x:v>-0.03268963601000274</x:v>
      </x:c>
      <x:c r="Q23" s="252"/>
      <x:c r="R23" s="166" t="str">
        <x:v>PASS</x:v>
      </x:c>
      <x:c r="S23" s="166" t="str">
        <x:f>IF('原始数据'!O53="","",'原始数据'!O53)</x:f>
      </x:c>
      <x:c r="T23" s="169" t="str">
        <x:f>IF('原始数据'!Q53="","",'原始数据'!Q53)</x:f>
      </x:c>
      <x:c r="U23" s="446" t="str">
        <x:f>IF(OR(S23="",J23=""),"",S23/J23-1)</x:f>
      </x:c>
      <x:c r="V23" s="254"/>
      <x:c r="W23" s="193" t="str">
        <x:v>COMPILE_FAIL</x:v>
      </x:c>
      <x:c r="X23" t="str">
        <x:v>2026-09-22 Trace-only复核：FP32 accumulator 直接 TSTORE_CUBE 到 BF16，dtype 契约编译失败</x:v>
      </x:c>
    </x:row>
    <x:row r="24" ht="20" customHeight="1">
      <x:c r="A24" s="339" t="str">
        <x:v>FP8</x:v>
      </x:c>
      <x:c r="B24" s="340" t="str">
        <x:v>FP32</x:v>
      </x:c>
      <x:c r="C24" s="163" t="n">
        <x:v>128</x:v>
      </x:c>
      <x:c r="D24" s="163" t="n">
        <x:v>8192</x:v>
      </x:c>
      <x:c r="E24" s="163" t="n">
        <x:v>128</x:v>
      </x:c>
      <x:c r="F24" s="163" t="n">
        <x:v>128</x:v>
      </x:c>
      <x:c r="G24" s="163" t="n">
        <x:v>32</x:v>
      </x:c>
      <x:c r="H24" s="163" t="n">
        <x:v>256</x:v>
      </x:c>
      <x:c r="I24" s="166" t="n">
        <x:f>C24*D24*E24*2/(16*16*IF(A24="FP32",8,IF(A24="BF16",16,IF(A24="FP8",32,""))))</x:f>
        <x:v>32768</x:v>
      </x:c>
      <x:c r="J24" s="166" t="n">
        <x:f>IF('原始数据'!O54="","",'原始数据'!O54)</x:f>
        <x:v>112227</x:v>
      </x:c>
      <x:c r="K24" s="446" t="n">
        <x:f>IF('原始数据'!Q54="","",'原始数据'!Q54)</x:f>
        <x:v>0.2919796483912071</x:v>
      </x:c>
      <x:c r="L24" s="252"/>
      <x:c r="M24" s="166" t="str">
        <x:v>PASS</x:v>
      </x:c>
      <x:c r="N24" s="166" t="n">
        <x:f>IF('原始数据'!O55="","",'原始数据'!O55)</x:f>
        <x:v>153095</x:v>
      </x:c>
      <x:c r="O24" s="169" t="n">
        <x:f>IF('原始数据'!Q55="","",'原始数据'!Q55)</x:f>
        <x:v>0.21403703582742742</x:v>
      </x:c>
      <x:c r="P24" s="446" t="n">
        <x:f>IF(OR(N24="",J24=""),"",N24/J24-1)</x:f>
        <x:v>0.3641547934097855</x:v>
      </x:c>
      <x:c r="Q24" s="252"/>
      <x:c r="R24" s="166" t="str">
        <x:v>PASS</x:v>
      </x:c>
      <x:c r="S24" s="166" t="str">
        <x:f>IF('原始数据'!O56="","",'原始数据'!O56)</x:f>
      </x:c>
      <x:c r="T24" s="169" t="str">
        <x:f>IF('原始数据'!Q56="","",'原始数据'!Q56)</x:f>
      </x:c>
      <x:c r="U24" s="446" t="str">
        <x:f>IF(OR(S24="",J24=""),"",S24/J24-1)</x:f>
      </x:c>
      <x:c r="V24" s="254"/>
      <x:c r="W24" s="193" t="str">
        <x:v>DEADLOCK</x:v>
      </x:c>
      <x:c r="X24" t="str">
        <x:v>2026-09-22 Trace-only复核：编译通过；协同 TLOAD 状态不一致后 deadlock，无有效 cycles</x:v>
      </x:c>
    </x:row>
    <x:row r="25" ht="20" customHeight="1">
      <x:c r="A25" s="339" t="str">
        <x:v>FP8</x:v>
      </x:c>
      <x:c r="B25" s="340" t="str">
        <x:v>FP32</x:v>
      </x:c>
      <x:c r="C25" s="163" t="n">
        <x:v>128</x:v>
      </x:c>
      <x:c r="D25" s="163" t="n">
        <x:v>8192</x:v>
      </x:c>
      <x:c r="E25" s="163" t="n">
        <x:v>128</x:v>
      </x:c>
      <x:c r="F25" s="163" t="n">
        <x:v>128</x:v>
      </x:c>
      <x:c r="G25" s="163" t="n">
        <x:v>64</x:v>
      </x:c>
      <x:c r="H25" s="163" t="n">
        <x:v>128</x:v>
      </x:c>
      <x:c r="I25" s="166" t="n">
        <x:f>C25*D25*E25*2/(16*16*IF(A25="FP32",8,IF(A25="BF16",16,IF(A25="FP8",32,""))))</x:f>
        <x:v>32768</x:v>
      </x:c>
      <x:c r="J25" s="166" t="n">
        <x:f>IF('原始数据'!O57="","",'原始数据'!O57)</x:f>
        <x:v>57166</x:v>
      </x:c>
      <x:c r="K25" s="446" t="n">
        <x:f>IF('原始数据'!Q57="","",'原始数据'!Q57)</x:f>
        <x:v>0.5732078508204177</x:v>
      </x:c>
      <x:c r="L25" s="252"/>
      <x:c r="M25" s="166" t="str">
        <x:v>PASS</x:v>
      </x:c>
      <x:c r="N25" s="166" t="n">
        <x:f>IF('原始数据'!O58="","",'原始数据'!O58)</x:f>
        <x:v>77831</x:v>
      </x:c>
      <x:c r="O25" s="169" t="n">
        <x:f>IF('原始数据'!Q58="","",'原始数据'!Q58)</x:f>
        <x:v>0.4210147627552004</x:v>
      </x:c>
      <x:c r="P25" s="446" t="n">
        <x:f>IF(OR(N25="",J25=""),"",N25/J25-1)</x:f>
        <x:v>0.3614910961060771</x:v>
      </x:c>
      <x:c r="Q25" s="252"/>
      <x:c r="R25" s="166" t="str">
        <x:v>PASS</x:v>
      </x:c>
      <x:c r="S25" s="166" t="str">
        <x:f>IF('原始数据'!O59="","",'原始数据'!O59)</x:f>
      </x:c>
      <x:c r="T25" s="169" t="str">
        <x:f>IF('原始数据'!Q59="","",'原始数据'!Q59)</x:f>
      </x:c>
      <x:c r="U25" s="446" t="str">
        <x:f>IF(OR(S25="",J25=""),"",S25/J25-1)</x:f>
      </x:c>
      <x:c r="V25" s="254"/>
      <x:c r="W25" s="193" t="str">
        <x:v>DEADLOCK</x:v>
      </x:c>
      <x:c r="X25" t="str">
        <x:v>2026-09-22 Trace-only复核：编译通过；协同 TLOAD 状态不一致后 deadlock，无有效 cycles</x:v>
      </x:c>
    </x:row>
    <x:row r="26" ht="20" customHeight="1">
      <x:c r="A26" s="339" t="str">
        <x:v>FP8</x:v>
      </x:c>
      <x:c r="B26" s="340" t="str">
        <x:v>FP32</x:v>
      </x:c>
      <x:c r="C26" s="163" t="n">
        <x:v>128</x:v>
      </x:c>
      <x:c r="D26" s="163" t="n">
        <x:v>8192</x:v>
      </x:c>
      <x:c r="E26" s="163" t="n">
        <x:v>128</x:v>
      </x:c>
      <x:c r="F26" s="163" t="n">
        <x:v>128</x:v>
      </x:c>
      <x:c r="G26" s="376" t="n">
        <x:v>128</x:v>
      </x:c>
      <x:c r="H26" s="163" t="n">
        <x:v>64</x:v>
      </x:c>
      <x:c r="I26" s="166" t="n">
        <x:f>C26*D26*E26*2/(16*16*IF(A26="FP32",8,IF(A26="BF16",16,IF(A26="FP8",32,""))))</x:f>
        <x:v>32768</x:v>
      </x:c>
      <x:c r="J26" s="444" t="n">
        <x:f>IF('原始数据'!O60="","",'原始数据'!O60)</x:f>
        <x:v>43505</x:v>
      </x:c>
      <x:c r="K26" s="375" t="n">
        <x:f>IF('原始数据'!Q60="","",'原始数据'!Q60)</x:f>
        <x:v>0.7532007815193655</x:v>
      </x:c>
      <x:c r="L26" s="252" t="str">
        <x:v>★ Tk=128</x:v>
      </x:c>
      <x:c r="M26" s="166" t="str">
        <x:v>PASS</x:v>
      </x:c>
      <x:c r="N26" s="444" t="n">
        <x:f>IF('原始数据'!O61="","",'原始数据'!O61)</x:f>
        <x:v>41641</x:v>
      </x:c>
      <x:c r="O26" s="169" t="n">
        <x:f>IF('原始数据'!Q61="","",'原始数据'!Q61)</x:f>
        <x:v>0.7869167407122788</x:v>
      </x:c>
      <x:c r="P26" s="375" t="n">
        <x:f>IF(OR(N26="",J26=""),"",N26/J26-1)</x:f>
        <x:v>-0.04284564992529594</x:v>
      </x:c>
      <x:c r="Q26" s="252" t="str">
        <x:v>★ Tk=128</x:v>
      </x:c>
      <x:c r="R26" s="166" t="str">
        <x:v>PASS</x:v>
      </x:c>
      <x:c r="S26" s="166" t="str">
        <x:f>IF('原始数据'!O62="","",'原始数据'!O62)</x:f>
      </x:c>
      <x:c r="T26" s="169" t="str">
        <x:f>IF('原始数据'!Q62="","",'原始数据'!Q62)</x:f>
      </x:c>
      <x:c r="U26" s="446" t="str">
        <x:f>IF(OR(S26="",J26=""),"",S26/J26-1)</x:f>
      </x:c>
      <x:c r="V26" s="254"/>
      <x:c r="W26" s="193" t="str">
        <x:v>DEADLOCK</x:v>
      </x:c>
      <x:c r="X26" t="str">
        <x:v>2026-09-22 Trace-only复核：编译通过；协同 TLOAD 状态不一致后 deadlock，无有效 cycles</x:v>
      </x:c>
    </x:row>
    <x:row r="27" ht="20" customHeight="1">
      <x:c r="A27" s="339" t="str">
        <x:v>FP8</x:v>
      </x:c>
      <x:c r="B27" s="340" t="str">
        <x:v>FP32</x:v>
      </x:c>
      <x:c r="C27" s="163" t="n">
        <x:v>128</x:v>
      </x:c>
      <x:c r="D27" s="163" t="n">
        <x:v>8192</x:v>
      </x:c>
      <x:c r="E27" s="163" t="n">
        <x:v>128</x:v>
      </x:c>
      <x:c r="F27" s="163" t="n">
        <x:v>128</x:v>
      </x:c>
      <x:c r="G27" s="163" t="n">
        <x:v>256</x:v>
      </x:c>
      <x:c r="H27" s="163" t="n">
        <x:v>32</x:v>
      </x:c>
      <x:c r="I27" s="166" t="n">
        <x:f>C27*D27*E27*2/(16*16*IF(A27="FP32",8,IF(A27="BF16",16,IF(A27="FP8",32,""))))</x:f>
        <x:v>32768</x:v>
      </x:c>
      <x:c r="J27" s="166" t="n">
        <x:f>IF('原始数据'!O63="","",'原始数据'!O63)</x:f>
        <x:v>46093</x:v>
      </x:c>
      <x:c r="K27" s="446" t="n">
        <x:f>IF('原始数据'!Q63="","",'原始数据'!Q63)</x:f>
        <x:v>0.7109105504089558</x:v>
      </x:c>
      <x:c r="L27" s="252"/>
      <x:c r="M27" s="166" t="str">
        <x:v>PASS</x:v>
      </x:c>
      <x:c r="N27" s="166" t="n">
        <x:f>IF('原始数据'!O64="","",'原始数据'!O64)</x:f>
        <x:v>42622</x:v>
      </x:c>
      <x:c r="O27" s="169" t="n">
        <x:f>IF('原始数据'!Q64="","",'原始数据'!Q64)</x:f>
        <x:v>0.768804842569565</x:v>
      </x:c>
      <x:c r="P27" s="446" t="n">
        <x:f>IF(OR(N27="",J27=""),"",N27/J27-1)</x:f>
        <x:v>-0.07530427613737445</x:v>
      </x:c>
      <x:c r="Q27" s="252"/>
      <x:c r="R27" s="166" t="str">
        <x:v>PASS</x:v>
      </x:c>
      <x:c r="S27" s="166" t="str">
        <x:f>IF('原始数据'!O65="","",'原始数据'!O65)</x:f>
      </x:c>
      <x:c r="T27" s="169" t="str">
        <x:f>IF('原始数据'!Q65="","",'原始数据'!Q65)</x:f>
      </x:c>
      <x:c r="U27" s="446" t="str">
        <x:f>IF(OR(S27="",J27=""),"",S27/J27-1)</x:f>
      </x:c>
      <x:c r="V27" s="254"/>
      <x:c r="W27" s="193" t="str">
        <x:v>DEADLOCK</x:v>
      </x:c>
      <x:c r="X27" t="str">
        <x:v>2026-09-22 Trace-only复核：编译通过；协同 TLOAD 状态不一致后 deadlock，无有效 cycles</x:v>
      </x:c>
    </x:row>
    <x:row r="28" ht="20" customHeight="1">
      <x:c r="A28" s="345" t="str">
        <x:v>FP8</x:v>
      </x:c>
      <x:c r="B28" s="346" t="str">
        <x:v>BF16</x:v>
      </x:c>
      <x:c r="C28" s="163" t="n">
        <x:v>128</x:v>
      </x:c>
      <x:c r="D28" s="163" t="n">
        <x:v>8192</x:v>
      </x:c>
      <x:c r="E28" s="163" t="n">
        <x:v>128</x:v>
      </x:c>
      <x:c r="F28" s="163" t="n">
        <x:v>128</x:v>
      </x:c>
      <x:c r="G28" s="163" t="n">
        <x:v>32</x:v>
      </x:c>
      <x:c r="H28" s="163" t="n">
        <x:v>256</x:v>
      </x:c>
      <x:c r="I28" s="166" t="n">
        <x:f>C28*D28*E28*2/(16*16*IF(A28="FP32",8,IF(A28="BF16",16,IF(A28="FP8",32,""))))</x:f>
        <x:v>32768</x:v>
      </x:c>
      <x:c r="J28" s="166" t="n">
        <x:f>IF('原始数据'!O66="","",'原始数据'!O66)</x:f>
        <x:v>123590</x:v>
      </x:c>
      <x:c r="K28" s="446" t="n">
        <x:f>IF('原始数据'!Q66="","",'原始数据'!Q66)</x:f>
        <x:v>0.2651347196375111</x:v>
      </x:c>
      <x:c r="L28" s="252"/>
      <x:c r="M28" s="166" t="str">
        <x:v>PASS</x:v>
      </x:c>
      <x:c r="N28" s="166" t="n">
        <x:f>IF('原始数据'!O67="","",'原始数据'!O67)</x:f>
        <x:v>159492</x:v>
      </x:c>
      <x:c r="O28" s="169" t="n">
        <x:f>IF('原始数据'!Q67="","",'原始数据'!Q67)</x:f>
        <x:v>0.20545231108770345</x:v>
      </x:c>
      <x:c r="P28" s="446" t="n">
        <x:f>IF(OR(N28="",J28=""),"",N28/J28-1)</x:f>
        <x:v>0.2904927583137795</x:v>
      </x:c>
      <x:c r="Q28" s="252"/>
      <x:c r="R28" s="166" t="str">
        <x:v>PASS</x:v>
      </x:c>
      <x:c r="S28" s="166" t="str">
        <x:f>IF('原始数据'!O68="","",'原始数据'!O68)</x:f>
      </x:c>
      <x:c r="T28" s="169" t="str">
        <x:f>IF('原始数据'!Q68="","",'原始数据'!Q68)</x:f>
      </x:c>
      <x:c r="U28" s="446" t="str">
        <x:f>IF(OR(S28="",J28=""),"",S28/J28-1)</x:f>
      </x:c>
      <x:c r="V28" s="254"/>
      <x:c r="W28" s="193" t="str">
        <x:v>COMPILE_FAIL</x:v>
      </x:c>
      <x:c r="X28" t="str">
        <x:v>2026-09-22 Trace-only复核：FP32 accumulator 直接 TSTORE_CUBE 到 BF16，dtype 契约编译失败</x:v>
      </x:c>
    </x:row>
    <x:row r="29" ht="20" customHeight="1">
      <x:c r="A29" s="345" t="str">
        <x:v>FP8</x:v>
      </x:c>
      <x:c r="B29" s="346" t="str">
        <x:v>BF16</x:v>
      </x:c>
      <x:c r="C29" s="163" t="n">
        <x:v>128</x:v>
      </x:c>
      <x:c r="D29" s="163" t="n">
        <x:v>8192</x:v>
      </x:c>
      <x:c r="E29" s="163" t="n">
        <x:v>128</x:v>
      </x:c>
      <x:c r="F29" s="163" t="n">
        <x:v>128</x:v>
      </x:c>
      <x:c r="G29" s="163" t="n">
        <x:v>64</x:v>
      </x:c>
      <x:c r="H29" s="163" t="n">
        <x:v>128</x:v>
      </x:c>
      <x:c r="I29" s="166" t="n">
        <x:f>C29*D29*E29*2/(16*16*IF(A29="FP32",8,IF(A29="BF16",16,IF(A29="FP8",32,""))))</x:f>
        <x:v>32768</x:v>
      </x:c>
      <x:c r="J29" s="166" t="n">
        <x:f>IF('原始数据'!O69="","",'原始数据'!O69)</x:f>
        <x:v>62706</x:v>
      </x:c>
      <x:c r="K29" s="446" t="n">
        <x:f>IF('原始数据'!Q69="","",'原始数据'!Q69)</x:f>
        <x:v>0.5225656237042707</x:v>
      </x:c>
      <x:c r="L29" s="252"/>
      <x:c r="M29" s="166" t="str">
        <x:v>PASS</x:v>
      </x:c>
      <x:c r="N29" s="166" t="n">
        <x:f>IF('原始数据'!O70="","",'原始数据'!O70)</x:f>
        <x:v>80806</x:v>
      </x:c>
      <x:c r="O29" s="169" t="n">
        <x:f>IF('原始数据'!Q70="","",'原始数据'!Q70)</x:f>
        <x:v>0.4055144419968814</x:v>
      </x:c>
      <x:c r="P29" s="446" t="n">
        <x:f>IF(OR(N29="",J29=""),"",N29/J29-1)</x:f>
        <x:v>0.28864861416770315</x:v>
      </x:c>
      <x:c r="Q29" s="252"/>
      <x:c r="R29" s="166" t="str">
        <x:v>PASS</x:v>
      </x:c>
      <x:c r="S29" s="166" t="str">
        <x:f>IF('原始数据'!O71="","",'原始数据'!O71)</x:f>
      </x:c>
      <x:c r="T29" s="169" t="str">
        <x:f>IF('原始数据'!Q71="","",'原始数据'!Q71)</x:f>
      </x:c>
      <x:c r="U29" s="446" t="str">
        <x:f>IF(OR(S29="",J29=""),"",S29/J29-1)</x:f>
      </x:c>
      <x:c r="V29" s="254"/>
      <x:c r="W29" s="193" t="str">
        <x:v>COMPILE_FAIL</x:v>
      </x:c>
      <x:c r="X29" t="str">
        <x:v>2026-09-22 Trace-only复核：FP32 accumulator 直接 TSTORE_CUBE 到 BF16，dtype 契约编译失败</x:v>
      </x:c>
    </x:row>
    <x:row r="30" ht="20" customHeight="1">
      <x:c r="A30" s="345" t="str">
        <x:v>FP8</x:v>
      </x:c>
      <x:c r="B30" s="346" t="str">
        <x:v>BF16</x:v>
      </x:c>
      <x:c r="C30" s="163" t="n">
        <x:v>128</x:v>
      </x:c>
      <x:c r="D30" s="163" t="n">
        <x:v>8192</x:v>
      </x:c>
      <x:c r="E30" s="163" t="n">
        <x:v>128</x:v>
      </x:c>
      <x:c r="F30" s="163" t="n">
        <x:v>128</x:v>
      </x:c>
      <x:c r="G30" s="376" t="n">
        <x:v>128</x:v>
      </x:c>
      <x:c r="H30" s="163" t="n">
        <x:v>64</x:v>
      </x:c>
      <x:c r="I30" s="166" t="n">
        <x:f>C30*D30*E30*2/(16*16*IF(A30="FP32",8,IF(A30="BF16",16,IF(A30="FP8",32,""))))</x:f>
        <x:v>32768</x:v>
      </x:c>
      <x:c r="J30" s="444" t="n">
        <x:f>IF('原始数据'!O72="","",'原始数据'!O72)</x:f>
        <x:v>40745</x:v>
      </x:c>
      <x:c r="K30" s="375" t="n">
        <x:f>IF('原始数据'!Q72="","",'原始数据'!Q72)</x:f>
        <x:v>0.804221376856056</x:v>
      </x:c>
      <x:c r="L30" s="252" t="str">
        <x:v>★ Tk=128</x:v>
      </x:c>
      <x:c r="M30" s="166" t="str">
        <x:v>PASS</x:v>
      </x:c>
      <x:c r="N30" s="166" t="n">
        <x:f>IF('原始数据'!O73="","",'原始数据'!O73)</x:f>
        <x:v>42087</x:v>
      </x:c>
      <x:c r="O30" s="169" t="n">
        <x:f>IF('原始数据'!Q73="","",'原始数据'!Q73)</x:f>
        <x:v>0.7785777080808801</x:v>
      </x:c>
      <x:c r="P30" s="446" t="n">
        <x:f>IF(OR(N30="",J30=""),"",N30/J30-1)</x:f>
        <x:v>0.032936556632715774</x:v>
      </x:c>
      <x:c r="Q30" s="252"/>
      <x:c r="R30" s="166" t="str">
        <x:v>PASS</x:v>
      </x:c>
      <x:c r="S30" s="166" t="str">
        <x:f>IF('原始数据'!O74="","",'原始数据'!O74)</x:f>
      </x:c>
      <x:c r="T30" s="169" t="str">
        <x:f>IF('原始数据'!Q74="","",'原始数据'!Q74)</x:f>
      </x:c>
      <x:c r="U30" s="446" t="str">
        <x:f>IF(OR(S30="",J30=""),"",S30/J30-1)</x:f>
      </x:c>
      <x:c r="V30" s="254"/>
      <x:c r="W30" s="193" t="str">
        <x:v>COMPILE_FAIL</x:v>
      </x:c>
      <x:c r="X30" t="str">
        <x:v>2026-09-22 Trace-only复核：FP32 accumulator 直接 TSTORE_CUBE 到 BF16，dtype 契约编译失败</x:v>
      </x:c>
    </x:row>
    <x:row r="31" ht="20" customHeight="1">
      <x:c r="A31" s="351" t="str">
        <x:v>FP8</x:v>
      </x:c>
      <x:c r="B31" s="352" t="str">
        <x:v>BF16</x:v>
      </x:c>
      <x:c r="C31" s="164" t="n">
        <x:v>128</x:v>
      </x:c>
      <x:c r="D31" s="164" t="n">
        <x:v>8192</x:v>
      </x:c>
      <x:c r="E31" s="164" t="n">
        <x:v>128</x:v>
      </x:c>
      <x:c r="F31" s="164" t="n">
        <x:v>128</x:v>
      </x:c>
      <x:c r="G31" s="380" t="n">
        <x:v>256</x:v>
      </x:c>
      <x:c r="H31" s="164" t="n">
        <x:v>32</x:v>
      </x:c>
      <x:c r="I31" s="167" t="n">
        <x:f>C31*D31*E31*2/(16*16*IF(A31="FP32",8,IF(A31="BF16",16,IF(A31="FP8",32,""))))</x:f>
        <x:v>32768</x:v>
      </x:c>
      <x:c r="J31" s="167" t="n">
        <x:f>IF('原始数据'!O75="","",'原始数据'!O75)</x:f>
        <x:v>42189</x:v>
      </x:c>
      <x:c r="K31" s="447" t="n">
        <x:f>IF('原始数据'!Q75="","",'原始数据'!Q75)</x:f>
        <x:v>0.7766953471283984</x:v>
      </x:c>
      <x:c r="L31" s="261"/>
      <x:c r="M31" s="167" t="str">
        <x:v>PASS</x:v>
      </x:c>
      <x:c r="N31" s="448" t="n">
        <x:f>IF('原始数据'!O76="","",'原始数据'!O76)</x:f>
        <x:v>36893</x:v>
      </x:c>
      <x:c r="O31" s="170" t="n">
        <x:f>IF('原始数据'!Q76="","",'原始数据'!Q76)</x:f>
        <x:v>0.888190171577264</x:v>
      </x:c>
      <x:c r="P31" s="379" t="n">
        <x:f>IF(OR(N31="",J31=""),"",N31/J31-1)</x:f>
        <x:v>-0.12553035151342762</x:v>
      </x:c>
      <x:c r="Q31" s="261" t="str">
        <x:v>★ Tk=256</x:v>
      </x:c>
      <x:c r="R31" s="167" t="str">
        <x:v>PASS</x:v>
      </x:c>
      <x:c r="S31" s="167" t="str">
        <x:f>IF('原始数据'!O77="","",'原始数据'!O77)</x:f>
      </x:c>
      <x:c r="T31" s="170" t="str">
        <x:f>IF('原始数据'!Q77="","",'原始数据'!Q77)</x:f>
      </x:c>
      <x:c r="U31" s="447" t="str">
        <x:f>IF(OR(S31="",J31=""),"",S31/J31-1)</x:f>
      </x:c>
      <x:c r="V31" s="263"/>
      <x:c r="W31" s="194" t="str">
        <x:v>COMPILE_FAIL</x:v>
      </x:c>
      <x:c r="X31" t="str">
        <x:v>2026-09-22 Trace-only复核：FP32 accumulator 直接 TSTORE_CUBE 到 BF16，dtype 契约编译失败</x:v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</x:row>
    <x:row r="35" ht="24" customHeight="1">
      <x:c r="A35" s="236" t="str">
        <x:v>Dedicated lowp operator (TMATMUL_MX)</x:v>
      </x:c>
      <x:c r="B35" s="236"/>
      <x:c r="C35" s="236"/>
      <x:c r="D35" s="236"/>
      <x:c r="E35" s="236"/>
      <x:c r="F35" s="236"/>
      <x:c r="G35" s="236"/>
      <x:c r="H35" s="236"/>
      <x:c r="I35" s="236"/>
      <x:c r="J35" s="236"/>
      <x:c r="K35" s="236"/>
      <x:c r="L35" s="236"/>
      <x:c r="M35" s="236"/>
      <x:c r="N35" s="236"/>
    </x:row>
    <x:row r="36" ht="32" customHeight="1">
      <x:c r="A36" s="242" t="str">
        <x:v>Cube dtype</x:v>
      </x:c>
      <x:c r="B36" s="242" t="str">
        <x:v>Vector dtype</x:v>
      </x:c>
      <x:c r="C36" s="242" t="str">
        <x:v>Sq</x:v>
      </x:c>
      <x:c r="D36" s="242" t="str">
        <x:v>Skv</x:v>
      </x:c>
      <x:c r="E36" s="242" t="str">
        <x:v>Head dim</x:v>
      </x:c>
      <x:c r="F36" s="242" t="str">
        <x:v>Tm</x:v>
      </x:c>
      <x:c r="G36" s="242" t="str">
        <x:v>Tk</x:v>
      </x:c>
      <x:c r="H36" s="242" t="str">
        <x:v>QK shared (KiB)</x:v>
      </x:c>
      <x:c r="I36" s="242" t="str">
        <x:v>PV shared (KiB)</x:v>
      </x:c>
      <x:c r="J36" s="242" t="str">
        <x:v>Cycles</x:v>
      </x:c>
      <x:c r="K36" s="242" t="str">
        <x:v>MFU</x:v>
      </x:c>
      <x:c r="L36" s="150" t="str">
        <x:v>Best tile
(max MFU)</x:v>
      </x:c>
      <x:c r="M36" s="242" t="str">
        <x:v>Status</x:v>
      </x:c>
      <x:c r="N36" s="242" t="str">
        <x:v>执行结果</x:v>
      </x:c>
    </x:row>
    <x:row r="37" ht="20" customHeight="1">
      <x:c r="A37" s="357" t="str">
        <x:v>MXFP4</x:v>
      </x:c>
      <x:c r="B37" s="358" t="str">
        <x:v>BF16</x:v>
      </x:c>
      <x:c r="C37" s="154" t="n">
        <x:v>128</x:v>
      </x:c>
      <x:c r="D37" s="154" t="n">
        <x:v>8192</x:v>
      </x:c>
      <x:c r="E37" s="154" t="n">
        <x:v>128</x:v>
      </x:c>
      <x:c r="F37" s="154" t="n">
        <x:v>128</x:v>
      </x:c>
      <x:c r="G37" s="154" t="n">
        <x:v>32</x:v>
      </x:c>
      <x:c r="H37" s="203" t="n">
        <x:v>25</x:v>
      </x:c>
      <x:c r="I37" s="203" t="n">
        <x:v>8</x:v>
      </x:c>
      <x:c r="J37" s="212" t="n">
        <x:f>IF('原始数据'!O78="","",'原始数据'!O78)</x:f>
        <x:v>206269</x:v>
      </x:c>
      <x:c r="K37" s="215" t="n">
        <x:f>IF('原始数据'!Q78="","",'原始数据'!Q78)</x:f>
        <x:v>0.03971512927293971</x:v>
      </x:c>
      <x:c r="L37" s="367"/>
      <x:c r="M37" s="293" t="str">
        <x:v>PASS</x:v>
      </x:c>
      <x:c r="N37" s="154" t="str">
        <x:v>完成</x:v>
      </x:c>
    </x:row>
    <x:row r="38" ht="20" customHeight="1">
      <x:c r="A38" s="363" t="str">
        <x:v>MXFP4</x:v>
      </x:c>
      <x:c r="B38" s="364" t="str">
        <x:v>BF16</x:v>
      </x:c>
      <x:c r="C38" s="157" t="n">
        <x:v>128</x:v>
      </x:c>
      <x:c r="D38" s="157" t="n">
        <x:v>8192</x:v>
      </x:c>
      <x:c r="E38" s="157" t="n">
        <x:v>128</x:v>
      </x:c>
      <x:c r="F38" s="157" t="n">
        <x:v>128</x:v>
      </x:c>
      <x:c r="G38" s="157" t="n">
        <x:v>64</x:v>
      </x:c>
      <x:c r="H38" s="204" t="n">
        <x:v>30</x:v>
      </x:c>
      <x:c r="I38" s="204" t="n">
        <x:v>12</x:v>
      </x:c>
      <x:c r="J38" s="213" t="n">
        <x:f>IF('原始数据'!O79="","",'原始数据'!O79)</x:f>
        <x:v>141661</x:v>
      </x:c>
      <x:c r="K38" s="216" t="n">
        <x:f>IF('原始数据'!Q79="","",'原始数据'!Q79)</x:f>
        <x:v>0.05782819548076041</x:v>
      </x:c>
      <x:c r="L38" s="370"/>
      <x:c r="M38" s="295" t="str">
        <x:v>PASS</x:v>
      </x:c>
      <x:c r="N38" s="157" t="str">
        <x:v>完成</x:v>
      </x:c>
    </x:row>
    <x:row r="39" ht="20" customHeight="1">
      <x:c r="A39" s="363" t="str">
        <x:v>MXFP4</x:v>
      </x:c>
      <x:c r="B39" s="364" t="str">
        <x:v>BF16</x:v>
      </x:c>
      <x:c r="C39" s="157" t="n">
        <x:v>128</x:v>
      </x:c>
      <x:c r="D39" s="157" t="n">
        <x:v>8192</x:v>
      </x:c>
      <x:c r="E39" s="157" t="n">
        <x:v>128</x:v>
      </x:c>
      <x:c r="F39" s="157" t="n">
        <x:v>128</x:v>
      </x:c>
      <x:c r="G39" s="386" t="n">
        <x:v>128</x:v>
      </x:c>
      <x:c r="H39" s="204" t="n">
        <x:v>40</x:v>
      </x:c>
      <x:c r="I39" s="204" t="n">
        <x:v>20</x:v>
      </x:c>
      <x:c r="J39" s="213" t="n">
        <x:f>IF('原始数据'!O80="","",'原始数据'!O80)</x:f>
        <x:v>112245</x:v>
      </x:c>
      <x:c r="K39" s="455" t="n">
        <x:f>IF('原始数据'!Q80="","",'原始数据'!Q80)</x:f>
        <x:v>0.07298320637890329</x:v>
      </x:c>
      <x:c r="L39" s="456"/>
      <x:c r="M39" s="295" t="str">
        <x:v>PASS</x:v>
      </x:c>
      <x:c r="N39" s="157" t="str">
        <x:v>完成</x:v>
      </x:c>
    </x:row>
    <x:row r="40" ht="20" customHeight="1">
      <x:c r="A40" s="363" t="str">
        <x:v>MXFP4</x:v>
      </x:c>
      <x:c r="B40" s="364" t="str">
        <x:v>BF16</x:v>
      </x:c>
      <x:c r="C40" s="157" t="n">
        <x:v>128</x:v>
      </x:c>
      <x:c r="D40" s="157" t="n">
        <x:v>8192</x:v>
      </x:c>
      <x:c r="E40" s="157" t="n">
        <x:v>128</x:v>
      </x:c>
      <x:c r="F40" s="157" t="n">
        <x:v>128</x:v>
      </x:c>
      <x:c r="G40" s="157" t="n">
        <x:v>256</x:v>
      </x:c>
      <x:c r="H40" s="204" t="n">
        <x:v>60</x:v>
      </x:c>
      <x:c r="I40" s="204" t="n">
        <x:v>36</x:v>
      </x:c>
      <x:c r="J40" s="213" t="n">
        <x:f>IF('原始数据'!O81="","",'原始数据'!O81)</x:f>
        <x:v>107095</x:v>
      </x:c>
      <x:c r="K40" s="459" t="n">
        <x:f>IF('原始数据'!Q81="","",'原始数据'!Q81)</x:f>
        <x:v>0.07649283346561464</x:v>
      </x:c>
      <x:c r="L40" s="460" t="str">
        <x:v>★ Tk=256</x:v>
      </x:c>
      <x:c r="M40" s="462" t="str">
        <x:v>PASS</x:v>
      </x:c>
      <x:c r="N40" s="157" t="str">
        <x:v>完成</x:v>
      </x:c>
    </x:row>
    <x:row r="41">
      <x:c r="A41" s="452" t="str">
        <x:v>MXFP4</x:v>
      </x:c>
      <x:c r="B41" s="452" t="str">
        <x:v>BF16</x:v>
      </x:c>
      <x:c r="C41" s="157" t="n">
        <x:v>128</x:v>
      </x:c>
      <x:c r="D41" s="157" t="n">
        <x:v>8192</x:v>
      </x:c>
      <x:c r="E41" s="157" t="n">
        <x:v>128</x:v>
      </x:c>
      <x:c r="F41" s="157" t="n">
        <x:v>128</x:v>
      </x:c>
      <x:c r="G41" s="157" t="n">
        <x:v>512</x:v>
      </x:c>
      <x:c r="H41" s="204" t="n">
        <x:v>100</x:v>
      </x:c>
      <x:c r="I41" s="204" t="n">
        <x:v>68</x:v>
      </x:c>
      <x:c r="J41" s="213" t="str">
        <x:f>IF('原始数据'!O82="","",'原始数据'!O82)</x:f>
      </x:c>
      <x:c r="K41" s="216" t="str">
        <x:f>IF('原始数据'!Q82="","",'原始数据'!Q82)</x:f>
      </x:c>
      <x:c r="L41" s="157"/>
      <x:c r="M41" s="464" t="str">
        <x:v>DEADLOCK</x:v>
      </x:c>
      <x:c r="N41" s="157" t="str">
        <x:v>gfsim: TMATMULMX PC 0x11444 destination T&lt;32KB&gt; not ready; 9999-cycle watchdog</x:v>
      </x:c>
    </x:row>
  </x:sheetData>
  <x:mergeCells>
    <x:mergeCell ref="A2:W2"/>
    <x:mergeCell ref="A35:N35"/>
    <x:mergeCell ref="A6:I6"/>
    <x:mergeCell ref="J6:M6"/>
    <x:mergeCell ref="N6:R6"/>
    <x:mergeCell ref="S6:W6"/>
  </x:mergeCells>
  <x:conditionalFormatting sqref="K8:K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DEADLOCK"/>
  </x:conditionalFormatting>
  <x:conditionalFormatting sqref="P8:P10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DEADLOCK"/>
  </x:conditionalFormatting>
  <x:conditionalFormatting sqref="U8:U10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DEADLOCK"/>
  </x:conditionalFormatting>
  <x:conditionalFormatting sqref="M15:M15">
    <x:cfRule type="containsText" dxfId="9" priority="10" operator="containsText" text="PASS"/>
    <x:cfRule type="containsText" dxfId="10" priority="11" operator="containsText" text="FAIL"/>
    <x:cfRule type="containsText" dxfId="11" priority="12" operator="containsText" text="DEADLOCK"/>
  </x:conditionalFormatting>
  <x:conditionalFormatting sqref="K8:K19">
    <x:cfRule type="containsText" dxfId="15" priority="13" operator="containsText" text="PASS"/>
    <x:cfRule type="containsText" dxfId="16" priority="14" operator="containsText" text="FAIL"/>
    <x:cfRule type="containsText" dxfId="17" priority="15" operator="containsText" text="DEADLOCK"/>
  </x:conditionalFormatting>
  <x:conditionalFormatting sqref="P8:P19">
    <x:cfRule type="containsText" dxfId="18" priority="16" operator="containsText" text="PASS"/>
    <x:cfRule type="containsText" dxfId="19" priority="17" operator="containsText" text="FAIL"/>
    <x:cfRule type="containsText" dxfId="20" priority="18" operator="containsText" text="DEADLOCK"/>
  </x:conditionalFormatting>
  <x:conditionalFormatting sqref="U8:U19">
    <x:cfRule type="containsText" dxfId="21" priority="19" operator="containsText" text="PASS"/>
    <x:cfRule type="containsText" dxfId="22" priority="20" operator="containsText" text="FAIL"/>
    <x:cfRule type="containsText" dxfId="23" priority="21" operator="containsText" text="DEADLOCK"/>
  </x:conditionalFormatting>
  <x:conditionalFormatting sqref="M24:M27">
    <x:cfRule type="containsText" dxfId="24" priority="2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0" hidden="0" customWidth="1"/>
    <x:col min="7" max="7" width="9" hidden="0" customWidth="1"/>
    <x:col min="8" max="8" width="10" hidden="0" customWidth="1"/>
    <x:col min="9" max="9" width="8" hidden="0" customWidth="1"/>
    <x:col min="10" max="10" width="8" hidden="0" customWidth="1"/>
    <x:col min="11" max="11" width="9" hidden="0" customWidth="1"/>
    <x:col min="12" max="12" width="9" hidden="0" customWidth="1"/>
    <x:col min="13" max="13" width="14" hidden="0" customWidth="1"/>
    <x:col min="14" max="14" width="14" hidden="0" customWidth="1"/>
    <x:col min="15" max="15" width="13" hidden="0" customWidth="1"/>
    <x:col min="16" max="16" width="10" hidden="0" customWidth="1"/>
    <x:col min="17" max="17" width="10" hidden="0" customWidth="1"/>
    <x:col min="18" max="18" width="15" hidden="0" customWidth="1"/>
    <x:col min="19" max="19" width="14" hidden="0" customWidth="1"/>
    <x:col min="20" max="20" width="15" hidden="0" customWidth="1"/>
    <x:col min="21" max="21" width="62" hidden="0" customWidth="1"/>
    <x:col min="22" max="22" width="3" hidden="0" customWidth="1"/>
    <x:col min="23" max="23" width="23" hidden="0" customWidth="1"/>
  </x:cols>
  <x:sheetData>
    <x:row r="2" ht="24" customHeight="1">
      <x:c r="A2" s="40" t="str">
        <x:v>FA performance raw results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32" customHeight="1">
      <x:c r="A5" s="242" t="str">
        <x:v>Family</x:v>
      </x:c>
      <x:c r="B5" s="242" t="str">
        <x:v>Cube dtype</x:v>
      </x:c>
      <x:c r="C5" s="242" t="str">
        <x:v>Vector dtype</x:v>
      </x:c>
      <x:c r="D5" s="242" t="str">
        <x:v>Testcase</x:v>
      </x:c>
      <x:c r="E5" s="242" t="str">
        <x:v>Mode</x:v>
      </x:c>
      <x:c r="F5" s="242" t="str">
        <x:v>Trace only</x:v>
      </x:c>
      <x:c r="G5" s="242" t="str">
        <x:v>Sq</x:v>
      </x:c>
      <x:c r="H5" s="242" t="str">
        <x:v>Skv</x:v>
      </x:c>
      <x:c r="I5" s="242" t="str">
        <x:v>QD</x:v>
      </x:c>
      <x:c r="J5" s="242" t="str">
        <x:v>VD</x:v>
      </x:c>
      <x:c r="K5" s="242" t="str">
        <x:v>Tm</x:v>
      </x:c>
      <x:c r="L5" s="242" t="str">
        <x:v>Tk</x:v>
      </x:c>
      <x:c r="M5" s="242" t="str">
        <x:v>QK shared (KiB)</x:v>
      </x:c>
      <x:c r="N5" s="242" t="str">
        <x:v>PV shared (KiB)</x:v>
      </x:c>
      <x:c r="O5" s="242" t="str">
        <x:v>Cycles</x:v>
      </x:c>
      <x:c r="P5" s="242" t="str">
        <x:v>Peak K</x:v>
      </x:c>
      <x:c r="Q5" s="242" t="str">
        <x:v>MFU</x:v>
      </x:c>
      <x:c r="R5" s="150" t="str">
        <x:v>Best tile
(max MFU)</x:v>
      </x:c>
      <x:c r="S5" s="242" t="str">
        <x:v>TLSU busy share</x:v>
      </x:c>
      <x:c r="T5" s="242" t="str">
        <x:v>Status</x:v>
      </x:c>
      <x:c r="U5" s="242" t="str">
        <x:v>Result</x:v>
      </x:c>
      <x:c r="V5"/>
      <x:c r="W5" s="399" t="str">
        <x:v>Trace-only refresh
2026-09-22</x:v>
      </x:c>
    </x:row>
    <x:row r="6" ht="20" customHeight="1">
      <x:c r="A6" s="153" t="str">
        <x:v>FA GMMA</x:v>
      </x:c>
      <x:c r="B6" s="310" t="str">
        <x:v>FP32</x:v>
      </x:c>
      <x:c r="C6" s="310" t="str">
        <x:v>FP32</x:v>
      </x:c>
      <x:c r="D6" s="154" t="str">
        <x:v>fa_2d_unroll_gmma</x:v>
      </x:c>
      <x:c r="E6" s="154" t="str">
        <x:v>FP32_VECFP32</x:v>
      </x:c>
      <x:c r="F6" s="209" t="b">
        <x:v>0</x:v>
      </x:c>
      <x:c r="G6" s="154" t="n">
        <x:v>128</x:v>
      </x:c>
      <x:c r="H6" s="154" t="n">
        <x:v>8192</x:v>
      </x:c>
      <x:c r="I6" s="154" t="n">
        <x:v>128</x:v>
      </x:c>
      <x:c r="J6" s="154" t="n">
        <x:v>128</x:v>
      </x:c>
      <x:c r="K6" s="154" t="n">
        <x:v>128</x:v>
      </x:c>
      <x:c r="L6" s="154" t="n">
        <x:v>32</x:v>
      </x:c>
      <x:c r="M6" s="203" t="n">
        <x:v>80</x:v>
      </x:c>
      <x:c r="N6" s="203" t="n">
        <x:v>16</x:v>
      </x:c>
      <x:c r="O6" s="212" t="n">
        <x:v>219692</x:v>
      </x:c>
      <x:c r="P6" s="154" t="n">
        <x:v>8</x:v>
      </x:c>
      <x:c r="Q6" s="215" t="n">
        <x:f>IF(O6="","",G6*H6*I6*2/(16*16*P6*O6))</x:f>
        <x:v>0.5966170820967537</x:v>
      </x:c>
      <x:c r="R6" s="367"/>
      <x:c r="S6" s="215" t="n">
        <x:v>0.20723444640678768</x:v>
      </x:c>
      <x:c r="T6" s="273" t="str">
        <x:v>PASS</x:v>
      </x:c>
      <x:c r="U6" s="155" t="str">
        <x:v>完成</x:v>
      </x:c>
      <x:c r="V6"/>
      <x:c r="W6" s="409"/>
    </x:row>
    <x:row r="7" ht="20" customHeight="1">
      <x:c r="A7" s="156" t="str">
        <x:v>FA K-chain</x:v>
      </x:c>
      <x:c r="B7" s="316" t="str">
        <x:v>FP32</x:v>
      </x:c>
      <x:c r="C7" s="316" t="str">
        <x:v>FP32</x:v>
      </x:c>
      <x:c r="D7" s="157" t="str">
        <x:v>fa_gmma_kchains</x:v>
      </x:c>
      <x:c r="E7" s="157" t="str">
        <x:v>FP32_VECFP32</x:v>
      </x:c>
      <x:c r="F7" s="210" t="b">
        <x:v>0</x:v>
      </x:c>
      <x:c r="G7" s="157" t="n">
        <x:v>128</x:v>
      </x:c>
      <x:c r="H7" s="157" t="n">
        <x:v>8192</x:v>
      </x:c>
      <x:c r="I7" s="157" t="n">
        <x:v>128</x:v>
      </x:c>
      <x:c r="J7" s="157" t="n">
        <x:v>128</x:v>
      </x:c>
      <x:c r="K7" s="157" t="n">
        <x:v>128</x:v>
      </x:c>
      <x:c r="L7" s="157" t="n">
        <x:v>32</x:v>
      </x:c>
      <x:c r="M7" s="204" t="n">
        <x:v>80</x:v>
      </x:c>
      <x:c r="N7" s="204" t="n">
        <x:v>16</x:v>
      </x:c>
      <x:c r="O7" s="213" t="n">
        <x:v>199764</x:v>
      </x:c>
      <x:c r="P7" s="157" t="n">
        <x:v>8</x:v>
      </x:c>
      <x:c r="Q7" s="216" t="n">
        <x:f>IF(O7="","",G7*H7*I7*2/(16*16*P7*O7))</x:f>
        <x:v>0.6561342384013136</x:v>
      </x:c>
      <x:c r="R7" s="370"/>
      <x:c r="S7" s="216" t="n">
        <x:v>0.22873866162071244</x:v>
      </x:c>
      <x:c r="T7" s="275" t="str">
        <x:v>PASS</x:v>
      </x:c>
      <x:c r="U7" s="158" t="str">
        <x:v>完成</x:v>
      </x:c>
      <x:c r="V7"/>
      <x:c r="W7" s="409"/>
    </x:row>
    <x:row r="8" ht="20" customHeight="1">
      <x:c r="A8" s="156" t="str">
        <x:v>FA Dynamic</x:v>
      </x:c>
      <x:c r="B8" s="316" t="str">
        <x:v>FP32</x:v>
      </x:c>
      <x:c r="C8" s="316" t="str">
        <x:v>FP32</x:v>
      </x:c>
      <x:c r="D8" s="157" t="str">
        <x:v>fa_gmma_dynamic</x:v>
      </x:c>
      <x:c r="E8" s="157" t="str">
        <x:v>FP32_VECFP32</x:v>
      </x:c>
      <x:c r="F8" s="210" t="b">
        <x:v>1</x:v>
      </x:c>
      <x:c r="G8" s="157" t="n">
        <x:v>128</x:v>
      </x:c>
      <x:c r="H8" s="157" t="n">
        <x:v>8192</x:v>
      </x:c>
      <x:c r="I8" s="157" t="n">
        <x:v>128</x:v>
      </x:c>
      <x:c r="J8" s="157" t="n">
        <x:v>128</x:v>
      </x:c>
      <x:c r="K8" s="157" t="n">
        <x:v>128</x:v>
      </x:c>
      <x:c r="L8" s="157" t="n">
        <x:v>32</x:v>
      </x:c>
      <x:c r="M8" s="204" t="n">
        <x:v>80</x:v>
      </x:c>
      <x:c r="N8" s="204" t="n">
        <x:v>16</x:v>
      </x:c>
      <x:c r="O8" s="213"/>
      <x:c r="P8" s="157" t="n">
        <x:v>8</x:v>
      </x:c>
      <x:c r="Q8" s="216" t="str">
        <x:f>IF(O8="","",G8*H8*I8*2/(16*16*P8*O8))</x:f>
      </x:c>
      <x:c r="R8" s="370"/>
      <x:c r="S8" s="216"/>
      <x:c r="T8" s="270" t="str">
        <x:v>DEADLOCK</x:v>
      </x:c>
      <x:c r="U8" s="158" t="str">
        <x:v>FA_TRACE_ONLY=1；gfsim 无新 block commit，触发 deadlock watchdog</x:v>
      </x:c>
      <x:c r="V8"/>
      <x:c r="W8" s="410" t="str">
        <x:v>DEADLOCK (rechecked)</x:v>
      </x:c>
    </x:row>
    <x:row r="9" ht="20" customHeight="1">
      <x:c r="A9" s="156" t="str">
        <x:v>FA GMMA</x:v>
      </x:c>
      <x:c r="B9" s="316" t="str">
        <x:v>FP32</x:v>
      </x:c>
      <x:c r="C9" s="316" t="str">
        <x:v>FP32</x:v>
      </x:c>
      <x:c r="D9" s="157" t="str">
        <x:v>fa_2d_unroll_gmma</x:v>
      </x:c>
      <x:c r="E9" s="157" t="str">
        <x:v>FP32_VECFP32</x:v>
      </x:c>
      <x:c r="F9" s="210" t="b">
        <x:v>0</x:v>
      </x:c>
      <x:c r="G9" s="157" t="n">
        <x:v>128</x:v>
      </x:c>
      <x:c r="H9" s="157" t="n">
        <x:v>8192</x:v>
      </x:c>
      <x:c r="I9" s="157" t="n">
        <x:v>128</x:v>
      </x:c>
      <x:c r="J9" s="157" t="n">
        <x:v>128</x:v>
      </x:c>
      <x:c r="K9" s="157" t="n">
        <x:v>128</x:v>
      </x:c>
      <x:c r="L9" s="157" t="n">
        <x:v>64</x:v>
      </x:c>
      <x:c r="M9" s="204" t="n">
        <x:v>96</x:v>
      </x:c>
      <x:c r="N9" s="204" t="n">
        <x:v>32</x:v>
      </x:c>
      <x:c r="O9" s="213" t="n">
        <x:v>160558</x:v>
      </x:c>
      <x:c r="P9" s="157" t="n">
        <x:v>8</x:v>
      </x:c>
      <x:c r="Q9" s="216" t="n">
        <x:f>IF(O9="","",G9*H9*I9*2/(16*16*P9*O9))</x:f>
        <x:v>0.8163529690205409</x:v>
      </x:c>
      <x:c r="R9" s="370"/>
      <x:c r="S9" s="216" t="n">
        <x:v>0.2172703944991841</x:v>
      </x:c>
      <x:c r="T9" s="275" t="str">
        <x:v>PASS</x:v>
      </x:c>
      <x:c r="U9" s="158" t="str">
        <x:v>完成</x:v>
      </x:c>
      <x:c r="V9"/>
      <x:c r="W9" s="409"/>
    </x:row>
    <x:row r="10" ht="20" customHeight="1">
      <x:c r="A10" s="156" t="str">
        <x:v>FA K-chain</x:v>
      </x:c>
      <x:c r="B10" s="316" t="str">
        <x:v>FP32</x:v>
      </x:c>
      <x:c r="C10" s="316" t="str">
        <x:v>FP32</x:v>
      </x:c>
      <x:c r="D10" s="157" t="str">
        <x:v>fa_gmma_kchains</x:v>
      </x:c>
      <x:c r="E10" s="157" t="str">
        <x:v>FP32_VECFP32</x:v>
      </x:c>
      <x:c r="F10" s="210" t="b">
        <x:v>0</x:v>
      </x:c>
      <x:c r="G10" s="157" t="n">
        <x:v>128</x:v>
      </x:c>
      <x:c r="H10" s="157" t="n">
        <x:v>8192</x:v>
      </x:c>
      <x:c r="I10" s="157" t="n">
        <x:v>128</x:v>
      </x:c>
      <x:c r="J10" s="157" t="n">
        <x:v>128</x:v>
      </x:c>
      <x:c r="K10" s="157" t="n">
        <x:v>128</x:v>
      </x:c>
      <x:c r="L10" s="157" t="n">
        <x:v>64</x:v>
      </x:c>
      <x:c r="M10" s="204" t="n">
        <x:v>96</x:v>
      </x:c>
      <x:c r="N10" s="204" t="n">
        <x:v>32</x:v>
      </x:c>
      <x:c r="O10" s="213" t="n">
        <x:v>158368</x:v>
      </x:c>
      <x:c r="P10" s="157" t="n">
        <x:v>8</x:v>
      </x:c>
      <x:c r="Q10" s="216" t="n">
        <x:f>IF(O10="","",G10*H10*I10*2/(16*16*P10*O10))</x:f>
        <x:v>0.8276419478682562</x:v>
      </x:c>
      <x:c r="R10" s="370"/>
      <x:c r="S10" s="216" t="n">
        <x:v>0.22133890684986865</x:v>
      </x:c>
      <x:c r="T10" s="275" t="str">
        <x:v>PASS</x:v>
      </x:c>
      <x:c r="U10" s="158" t="str">
        <x:v>完成</x:v>
      </x:c>
      <x:c r="V10"/>
      <x:c r="W10" s="409"/>
    </x:row>
    <x:row r="11" ht="20" customHeight="1">
      <x:c r="A11" s="156" t="str">
        <x:v>FA Dynamic</x:v>
      </x:c>
      <x:c r="B11" s="316" t="str">
        <x:v>FP32</x:v>
      </x:c>
      <x:c r="C11" s="316" t="str">
        <x:v>FP32</x:v>
      </x:c>
      <x:c r="D11" s="157" t="str">
        <x:v>fa_gmma_dynamic</x:v>
      </x:c>
      <x:c r="E11" s="157" t="str">
        <x:v>FP32_VECFP32</x:v>
      </x:c>
      <x:c r="F11" s="210" t="b">
        <x:v>1</x:v>
      </x:c>
      <x:c r="G11" s="157" t="n">
        <x:v>128</x:v>
      </x:c>
      <x:c r="H11" s="157" t="n">
        <x:v>8192</x:v>
      </x:c>
      <x:c r="I11" s="157" t="n">
        <x:v>128</x:v>
      </x:c>
      <x:c r="J11" s="157" t="n">
        <x:v>128</x:v>
      </x:c>
      <x:c r="K11" s="157" t="n">
        <x:v>128</x:v>
      </x:c>
      <x:c r="L11" s="157" t="n">
        <x:v>64</x:v>
      </x:c>
      <x:c r="M11" s="204" t="n">
        <x:v>96</x:v>
      </x:c>
      <x:c r="N11" s="204" t="n">
        <x:v>32</x:v>
      </x:c>
      <x:c r="O11" s="213"/>
      <x:c r="P11" s="157" t="n">
        <x:v>8</x:v>
      </x:c>
      <x:c r="Q11" s="216" t="str">
        <x:f>IF(O11="","",G11*H11*I11*2/(16*16*P11*O11))</x:f>
      </x:c>
      <x:c r="R11" s="370"/>
      <x:c r="S11" s="216"/>
      <x:c r="T11" s="270" t="str">
        <x:v>DEADLOCK</x:v>
      </x:c>
      <x:c r="U11" s="158" t="str">
        <x:v>FA_TRACE_ONLY=1；gfsim 无新 block commit，触发 deadlock watchdog</x:v>
      </x:c>
      <x:c r="V11"/>
      <x:c r="W11" s="410" t="str">
        <x:v>DEADLOCK (rechecked)</x:v>
      </x:c>
    </x:row>
    <x:row r="12" ht="20" customHeight="1">
      <x:c r="A12" s="156" t="str">
        <x:v>FA GMMA</x:v>
      </x:c>
      <x:c r="B12" s="316" t="str">
        <x:v>FP32</x:v>
      </x:c>
      <x:c r="C12" s="316" t="str">
        <x:v>FP32</x:v>
      </x:c>
      <x:c r="D12" s="157" t="str">
        <x:v>fa_2d_unroll_gmma</x:v>
      </x:c>
      <x:c r="E12" s="157" t="str">
        <x:v>FP32_VECFP32</x:v>
      </x:c>
      <x:c r="F12" s="210" t="b">
        <x:v>0</x:v>
      </x:c>
      <x:c r="G12" s="157" t="n">
        <x:v>128</x:v>
      </x:c>
      <x:c r="H12" s="157" t="n">
        <x:v>8192</x:v>
      </x:c>
      <x:c r="I12" s="157" t="n">
        <x:v>128</x:v>
      </x:c>
      <x:c r="J12" s="157" t="n">
        <x:v>128</x:v>
      </x:c>
      <x:c r="K12" s="157" t="n">
        <x:v>128</x:v>
      </x:c>
      <x:c r="L12" s="386" t="n">
        <x:v>128</x:v>
      </x:c>
      <x:c r="M12" s="204" t="n">
        <x:v>128</x:v>
      </x:c>
      <x:c r="N12" s="204" t="n">
        <x:v>64</x:v>
      </x:c>
      <x:c r="O12" s="213" t="n">
        <x:v>146439</x:v>
      </x:c>
      <x:c r="P12" s="157" t="n">
        <x:v>8</x:v>
      </x:c>
      <x:c r="Q12" s="387" t="n">
        <x:f>IF(O12="","",G12*H12*I12*2/(16*16*P12*O12))</x:f>
        <x:v>0.8950621077718367</x:v>
      </x:c>
      <x:c r="R12" s="375" t="str">
        <x:v>★ Tk=128</x:v>
      </x:c>
      <x:c r="S12" s="216" t="n">
        <x:v>0.2137203886942686</x:v>
      </x:c>
      <x:c r="T12" s="275" t="str">
        <x:v>PASS</x:v>
      </x:c>
      <x:c r="U12" s="158" t="str">
        <x:v>完成</x:v>
      </x:c>
      <x:c r="V12"/>
      <x:c r="W12" s="409"/>
    </x:row>
    <x:row r="13" ht="20" customHeight="1">
      <x:c r="A13" s="156" t="str">
        <x:v>FA K-chain</x:v>
      </x:c>
      <x:c r="B13" s="316" t="str">
        <x:v>FP32</x:v>
      </x:c>
      <x:c r="C13" s="316" t="str">
        <x:v>FP32</x:v>
      </x:c>
      <x:c r="D13" s="157" t="str">
        <x:v>fa_gmma_kchains</x:v>
      </x:c>
      <x:c r="E13" s="157" t="str">
        <x:v>FP32_VECFP32</x:v>
      </x:c>
      <x:c r="F13" s="210" t="b">
        <x:v>0</x:v>
      </x:c>
      <x:c r="G13" s="157" t="n">
        <x:v>128</x:v>
      </x:c>
      <x:c r="H13" s="157" t="n">
        <x:v>8192</x:v>
      </x:c>
      <x:c r="I13" s="157" t="n">
        <x:v>128</x:v>
      </x:c>
      <x:c r="J13" s="157" t="n">
        <x:v>128</x:v>
      </x:c>
      <x:c r="K13" s="157" t="n">
        <x:v>128</x:v>
      </x:c>
      <x:c r="L13" s="386" t="n">
        <x:v>128</x:v>
      </x:c>
      <x:c r="M13" s="204" t="n">
        <x:v>128</x:v>
      </x:c>
      <x:c r="N13" s="204" t="n">
        <x:v>64</x:v>
      </x:c>
      <x:c r="O13" s="213" t="n">
        <x:v>137841</x:v>
      </x:c>
      <x:c r="P13" s="157" t="n">
        <x:v>8</x:v>
      </x:c>
      <x:c r="Q13" s="387" t="n">
        <x:f>IF(O13="","",G13*H13*I13*2/(16*16*P13*O13))</x:f>
        <x:v>0.9508926952067962</x:v>
      </x:c>
      <x:c r="R13" s="375" t="str">
        <x:v>★ Tk=128</x:v>
      </x:c>
      <x:c r="S13" s="216" t="n">
        <x:v>0.2282865765628514</x:v>
      </x:c>
      <x:c r="T13" s="275" t="str">
        <x:v>PASS</x:v>
      </x:c>
      <x:c r="U13" s="158" t="str">
        <x:v>完成</x:v>
      </x:c>
      <x:c r="V13"/>
      <x:c r="W13" s="409"/>
    </x:row>
    <x:row r="14" ht="20" customHeight="1">
      <x:c r="A14" s="156" t="str">
        <x:v>FA Dynamic</x:v>
      </x:c>
      <x:c r="B14" s="316" t="str">
        <x:v>FP32</x:v>
      </x:c>
      <x:c r="C14" s="316" t="str">
        <x:v>FP32</x:v>
      </x:c>
      <x:c r="D14" s="157" t="str">
        <x:v>fa_gmma_dynamic</x:v>
      </x:c>
      <x:c r="E14" s="157" t="str">
        <x:v>FP32_VECFP32</x:v>
      </x:c>
      <x:c r="F14" s="210" t="b">
        <x:v>1</x:v>
      </x:c>
      <x:c r="G14" s="157" t="n">
        <x:v>128</x:v>
      </x:c>
      <x:c r="H14" s="157" t="n">
        <x:v>8192</x:v>
      </x:c>
      <x:c r="I14" s="157" t="n">
        <x:v>128</x:v>
      </x:c>
      <x:c r="J14" s="157" t="n">
        <x:v>128</x:v>
      </x:c>
      <x:c r="K14" s="157" t="n">
        <x:v>128</x:v>
      </x:c>
      <x:c r="L14" s="157" t="n">
        <x:v>128</x:v>
      </x:c>
      <x:c r="M14" s="204" t="n">
        <x:v>128</x:v>
      </x:c>
      <x:c r="N14" s="204" t="n">
        <x:v>64</x:v>
      </x:c>
      <x:c r="O14" s="213"/>
      <x:c r="P14" s="157" t="n">
        <x:v>8</x:v>
      </x:c>
      <x:c r="Q14" s="216" t="str">
        <x:f>IF(O14="","",G14*H14*I14*2/(16*16*P14*O14))</x:f>
      </x:c>
      <x:c r="R14" s="370"/>
      <x:c r="S14" s="216"/>
      <x:c r="T14" s="270" t="str">
        <x:v>DEADLOCK</x:v>
      </x:c>
      <x:c r="U14" s="158" t="str">
        <x:v>FA_TRACE_ONLY=1；gfsim 无新 block commit，触发 deadlock watchdog</x:v>
      </x:c>
      <x:c r="V14"/>
      <x:c r="W14" s="410" t="str">
        <x:v>DEADLOCK (rechecked)</x:v>
      </x:c>
    </x:row>
    <x:row r="15" ht="20" customHeight="1">
      <x:c r="A15" s="156" t="str">
        <x:v>FA GMMA</x:v>
      </x:c>
      <x:c r="B15" s="316" t="str">
        <x:v>FP32</x:v>
      </x:c>
      <x:c r="C15" s="316" t="str">
        <x:v>FP32</x:v>
      </x:c>
      <x:c r="D15" s="157" t="str">
        <x:v>fa_2d_unroll_gmma</x:v>
      </x:c>
      <x:c r="E15" s="157" t="str">
        <x:v>FP32_VECFP32</x:v>
      </x:c>
      <x:c r="F15" s="210" t="b">
        <x:v>0</x:v>
      </x:c>
      <x:c r="G15" s="157" t="n">
        <x:v>128</x:v>
      </x:c>
      <x:c r="H15" s="157" t="n">
        <x:v>8192</x:v>
      </x:c>
      <x:c r="I15" s="157" t="n">
        <x:v>128</x:v>
      </x:c>
      <x:c r="J15" s="157" t="n">
        <x:v>128</x:v>
      </x:c>
      <x:c r="K15" s="157" t="n">
        <x:v>128</x:v>
      </x:c>
      <x:c r="L15" s="157" t="n">
        <x:v>256</x:v>
      </x:c>
      <x:c r="M15" s="204" t="n">
        <x:v>192</x:v>
      </x:c>
      <x:c r="N15" s="204" t="n">
        <x:v>128</x:v>
      </x:c>
      <x:c r="O15" s="213" t="n">
        <x:v>260069</x:v>
      </x:c>
      <x:c r="P15" s="157" t="n">
        <x:v>8</x:v>
      </x:c>
      <x:c r="Q15" s="216" t="n">
        <x:f>IF(O15="","",G15*H15*I15*2/(16*16*P15*O15))</x:f>
        <x:v>0.5039893259096624</x:v>
      </x:c>
      <x:c r="R15" s="370"/>
      <x:c r="S15" s="216" t="n">
        <x:v>0.1228558574839754</x:v>
      </x:c>
      <x:c r="T15" s="275" t="str">
        <x:v>PASS</x:v>
      </x:c>
      <x:c r="U15" s="158" t="str">
        <x:v>完成</x:v>
      </x:c>
      <x:c r="V15"/>
      <x:c r="W15" s="409"/>
    </x:row>
    <x:row r="16" ht="20" customHeight="1">
      <x:c r="A16" s="156" t="str">
        <x:v>FA K-chain</x:v>
      </x:c>
      <x:c r="B16" s="316" t="str">
        <x:v>FP32</x:v>
      </x:c>
      <x:c r="C16" s="316" t="str">
        <x:v>FP32</x:v>
      </x:c>
      <x:c r="D16" s="157" t="str">
        <x:v>fa_gmma_kchains</x:v>
      </x:c>
      <x:c r="E16" s="157" t="str">
        <x:v>FP32_VECFP32</x:v>
      </x:c>
      <x:c r="F16" s="210" t="b">
        <x:v>0</x:v>
      </x:c>
      <x:c r="G16" s="157" t="n">
        <x:v>128</x:v>
      </x:c>
      <x:c r="H16" s="157" t="n">
        <x:v>8192</x:v>
      </x:c>
      <x:c r="I16" s="157" t="n">
        <x:v>128</x:v>
      </x:c>
      <x:c r="J16" s="157" t="n">
        <x:v>128</x:v>
      </x:c>
      <x:c r="K16" s="157" t="n">
        <x:v>128</x:v>
      </x:c>
      <x:c r="L16" s="157" t="n">
        <x:v>256</x:v>
      </x:c>
      <x:c r="M16" s="204" t="n">
        <x:v>192</x:v>
      </x:c>
      <x:c r="N16" s="204" t="n">
        <x:v>128</x:v>
      </x:c>
      <x:c r="O16" s="213" t="n">
        <x:v>140573</x:v>
      </x:c>
      <x:c r="P16" s="157" t="n">
        <x:v>8</x:v>
      </x:c>
      <x:c r="Q16" s="216" t="n">
        <x:f>IF(O16="","",G16*H16*I16*2/(16*16*P16*O16))</x:f>
        <x:v>0.9324123409189531</x:v>
      </x:c>
      <x:c r="R16" s="370"/>
      <x:c r="S16" s="216" t="n">
        <x:v>0.21746174585446706</x:v>
      </x:c>
      <x:c r="T16" s="275" t="str">
        <x:v>PASS</x:v>
      </x:c>
      <x:c r="U16" s="158" t="str">
        <x:v>完成</x:v>
      </x:c>
      <x:c r="V16"/>
      <x:c r="W16" s="409"/>
    </x:row>
    <x:row r="17" ht="20" customHeight="1">
      <x:c r="A17" s="156" t="str">
        <x:v>FA Dynamic</x:v>
      </x:c>
      <x:c r="B17" s="316" t="str">
        <x:v>FP32</x:v>
      </x:c>
      <x:c r="C17" s="316" t="str">
        <x:v>FP32</x:v>
      </x:c>
      <x:c r="D17" s="157" t="str">
        <x:v>fa_gmma_dynamic</x:v>
      </x:c>
      <x:c r="E17" s="157" t="str">
        <x:v>FP32_VECFP32</x:v>
      </x:c>
      <x:c r="F17" s="210" t="b">
        <x:v>1</x:v>
      </x:c>
      <x:c r="G17" s="157" t="n">
        <x:v>128</x:v>
      </x:c>
      <x:c r="H17" s="157" t="n">
        <x:v>8192</x:v>
      </x:c>
      <x:c r="I17" s="157" t="n">
        <x:v>128</x:v>
      </x:c>
      <x:c r="J17" s="157" t="n">
        <x:v>128</x:v>
      </x:c>
      <x:c r="K17" s="157" t="n">
        <x:v>128</x:v>
      </x:c>
      <x:c r="L17" s="157" t="n">
        <x:v>256</x:v>
      </x:c>
      <x:c r="M17" s="204" t="n">
        <x:v>192</x:v>
      </x:c>
      <x:c r="N17" s="204" t="n">
        <x:v>128</x:v>
      </x:c>
      <x:c r="O17" s="213"/>
      <x:c r="P17" s="157" t="n">
        <x:v>8</x:v>
      </x:c>
      <x:c r="Q17" s="216" t="str">
        <x:f>IF(O17="","",G17*H17*I17*2/(16*16*P17*O17))</x:f>
      </x:c>
      <x:c r="R17" s="370"/>
      <x:c r="S17" s="216"/>
      <x:c r="T17" s="270" t="str">
        <x:v>DEADLOCK</x:v>
      </x:c>
      <x:c r="U17" s="158" t="str">
        <x:v>FA_TRACE_ONLY=1；gfsim 无新 block commit，触发 deadlock watchdog</x:v>
      </x:c>
      <x:c r="V17"/>
      <x:c r="W17" s="410" t="str">
        <x:v>DEADLOCK (rechecked)</x:v>
      </x:c>
    </x:row>
    <x:row r="18" ht="20" customHeight="1">
      <x:c r="A18" s="156" t="str">
        <x:v>FA GMMA</x:v>
      </x:c>
      <x:c r="B18" s="322" t="str">
        <x:v>FP32</x:v>
      </x:c>
      <x:c r="C18" s="322" t="str">
        <x:v>BF16</x:v>
      </x:c>
      <x:c r="D18" s="157" t="str">
        <x:v>fa_2d_unroll_gmma</x:v>
      </x:c>
      <x:c r="E18" s="157" t="str">
        <x:v>FP32_VECBF16</x:v>
      </x:c>
      <x:c r="F18" s="210" t="b">
        <x:v>0</x:v>
      </x:c>
      <x:c r="G18" s="157" t="n">
        <x:v>128</x:v>
      </x:c>
      <x:c r="H18" s="157" t="n">
        <x:v>8192</x:v>
      </x:c>
      <x:c r="I18" s="157" t="n">
        <x:v>128</x:v>
      </x:c>
      <x:c r="J18" s="157" t="n">
        <x:v>128</x:v>
      </x:c>
      <x:c r="K18" s="157" t="n">
        <x:v>128</x:v>
      </x:c>
      <x:c r="L18" s="157" t="n">
        <x:v>32</x:v>
      </x:c>
      <x:c r="M18" s="204" t="n">
        <x:v>80</x:v>
      </x:c>
      <x:c r="N18" s="204" t="n">
        <x:v>16</x:v>
      </x:c>
      <x:c r="O18" s="213" t="n">
        <x:v>205912</x:v>
      </x:c>
      <x:c r="P18" s="157" t="n">
        <x:v>8</x:v>
      </x:c>
      <x:c r="Q18" s="216" t="n">
        <x:f>IF(O18="","",G18*H18*I18*2/(16*16*P18*O18))</x:f>
        <x:v>0.6365437662690858</x:v>
      </x:c>
      <x:c r="R18" s="370"/>
      <x:c r="S18" s="216" t="n">
        <x:v>0.23196074051050936</x:v>
      </x:c>
      <x:c r="T18" s="275" t="str">
        <x:v>PASS</x:v>
      </x:c>
      <x:c r="U18" s="158" t="str">
        <x:v>完成</x:v>
      </x:c>
      <x:c r="V18"/>
      <x:c r="W18" s="409"/>
    </x:row>
    <x:row r="19" ht="20" customHeight="1">
      <x:c r="A19" s="156" t="str">
        <x:v>FA K-chain</x:v>
      </x:c>
      <x:c r="B19" s="322" t="str">
        <x:v>FP32</x:v>
      </x:c>
      <x:c r="C19" s="322" t="str">
        <x:v>BF16</x:v>
      </x:c>
      <x:c r="D19" s="157" t="str">
        <x:v>fa_gmma_kchains</x:v>
      </x:c>
      <x:c r="E19" s="157" t="str">
        <x:v>FP32_VECBF16</x:v>
      </x:c>
      <x:c r="F19" s="210" t="b">
        <x:v>0</x:v>
      </x:c>
      <x:c r="G19" s="157" t="n">
        <x:v>128</x:v>
      </x:c>
      <x:c r="H19" s="157" t="n">
        <x:v>8192</x:v>
      </x:c>
      <x:c r="I19" s="157" t="n">
        <x:v>128</x:v>
      </x:c>
      <x:c r="J19" s="157" t="n">
        <x:v>128</x:v>
      </x:c>
      <x:c r="K19" s="157" t="n">
        <x:v>128</x:v>
      </x:c>
      <x:c r="L19" s="157" t="n">
        <x:v>32</x:v>
      </x:c>
      <x:c r="M19" s="204" t="n">
        <x:v>80</x:v>
      </x:c>
      <x:c r="N19" s="204" t="n">
        <x:v>16</x:v>
      </x:c>
      <x:c r="O19" s="213" t="n">
        <x:v>200201</x:v>
      </x:c>
      <x:c r="P19" s="157" t="n">
        <x:v>8</x:v>
      </x:c>
      <x:c r="Q19" s="216" t="n">
        <x:f>IF(O19="","",G19*H19*I19*2/(16*16*P19*O19))</x:f>
        <x:v>0.6547020244654123</x:v>
      </x:c>
      <x:c r="R19" s="370"/>
      <x:c r="S19" s="216" t="n">
        <x:v>0.23869636015804116</x:v>
      </x:c>
      <x:c r="T19" s="275" t="str">
        <x:v>PASS</x:v>
      </x:c>
      <x:c r="U19" s="158" t="str">
        <x:v>完成</x:v>
      </x:c>
      <x:c r="V19"/>
      <x:c r="W19" s="409"/>
    </x:row>
    <x:row r="20" ht="20" customHeight="1">
      <x:c r="A20" s="156" t="str">
        <x:v>FA Dynamic</x:v>
      </x:c>
      <x:c r="B20" s="322" t="str">
        <x:v>FP32</x:v>
      </x:c>
      <x:c r="C20" s="322" t="str">
        <x:v>BF16</x:v>
      </x:c>
      <x:c r="D20" s="157" t="str">
        <x:v>fa_gmma_dynamic</x:v>
      </x:c>
      <x:c r="E20" s="157" t="str">
        <x:v>FP32_VECBF16</x:v>
      </x:c>
      <x:c r="F20" s="210" t="b">
        <x:v>1</x:v>
      </x:c>
      <x:c r="G20" s="157" t="n">
        <x:v>128</x:v>
      </x:c>
      <x:c r="H20" s="157" t="n">
        <x:v>8192</x:v>
      </x:c>
      <x:c r="I20" s="157" t="n">
        <x:v>128</x:v>
      </x:c>
      <x:c r="J20" s="157" t="n">
        <x:v>128</x:v>
      </x:c>
      <x:c r="K20" s="157" t="n">
        <x:v>128</x:v>
      </x:c>
      <x:c r="L20" s="157" t="n">
        <x:v>32</x:v>
      </x:c>
      <x:c r="M20" s="204" t="n">
        <x:v>80</x:v>
      </x:c>
      <x:c r="N20" s="204" t="n">
        <x:v>16</x:v>
      </x:c>
      <x:c r="O20" s="213"/>
      <x:c r="P20" s="157" t="n">
        <x:v>8</x:v>
      </x:c>
      <x:c r="Q20" s="216" t="str">
        <x:f>IF(O20="","",G20*H20*I20*2/(16*16*P20*O20))</x:f>
      </x:c>
      <x:c r="R20" s="370"/>
      <x:c r="S20" s="216"/>
      <x:c r="T20" s="270" t="str">
        <x:v>COMPILE_FAIL</x:v>
      </x:c>
      <x:c r="U20" s="158" t="str">
        <x:v>编译失败：FP32 O accumulator 未转换为 BF16，TSTORE_CUBE dtype 不匹配</x:v>
      </x:c>
      <x:c r="V20"/>
      <x:c r="W20" s="411" t="str">
        <x:v>COMPILE_FAIL (rechecked)</x:v>
      </x:c>
    </x:row>
    <x:row r="21" ht="20" customHeight="1">
      <x:c r="A21" s="156" t="str">
        <x:v>FA GMMA</x:v>
      </x:c>
      <x:c r="B21" s="322" t="str">
        <x:v>FP32</x:v>
      </x:c>
      <x:c r="C21" s="322" t="str">
        <x:v>BF16</x:v>
      </x:c>
      <x:c r="D21" s="157" t="str">
        <x:v>fa_2d_unroll_gmma</x:v>
      </x:c>
      <x:c r="E21" s="157" t="str">
        <x:v>FP32_VECBF16</x:v>
      </x:c>
      <x:c r="F21" s="210" t="b">
        <x:v>0</x:v>
      </x:c>
      <x:c r="G21" s="157" t="n">
        <x:v>128</x:v>
      </x:c>
      <x:c r="H21" s="157" t="n">
        <x:v>8192</x:v>
      </x:c>
      <x:c r="I21" s="157" t="n">
        <x:v>128</x:v>
      </x:c>
      <x:c r="J21" s="157" t="n">
        <x:v>128</x:v>
      </x:c>
      <x:c r="K21" s="157" t="n">
        <x:v>128</x:v>
      </x:c>
      <x:c r="L21" s="157" t="n">
        <x:v>64</x:v>
      </x:c>
      <x:c r="M21" s="204" t="n">
        <x:v>96</x:v>
      </x:c>
      <x:c r="N21" s="204" t="n">
        <x:v>32</x:v>
      </x:c>
      <x:c r="O21" s="213" t="n">
        <x:v>153650</x:v>
      </x:c>
      <x:c r="P21" s="157" t="n">
        <x:v>8</x:v>
      </x:c>
      <x:c r="Q21" s="216" t="n">
        <x:f>IF(O21="","",G21*H21*I21*2/(16*16*P21*O21))</x:f>
        <x:v>0.8530556459485844</x:v>
      </x:c>
      <x:c r="R21" s="370"/>
      <x:c r="S21" s="216" t="n">
        <x:v>0.23149690855841198</x:v>
      </x:c>
      <x:c r="T21" s="275" t="str">
        <x:v>PASS</x:v>
      </x:c>
      <x:c r="U21" s="158" t="str">
        <x:v>完成</x:v>
      </x:c>
      <x:c r="V21"/>
      <x:c r="W21" s="409"/>
    </x:row>
    <x:row r="22" ht="20" customHeight="1">
      <x:c r="A22" s="156" t="str">
        <x:v>FA K-chain</x:v>
      </x:c>
      <x:c r="B22" s="322" t="str">
        <x:v>FP32</x:v>
      </x:c>
      <x:c r="C22" s="322" t="str">
        <x:v>BF16</x:v>
      </x:c>
      <x:c r="D22" s="157" t="str">
        <x:v>fa_gmma_kchains</x:v>
      </x:c>
      <x:c r="E22" s="157" t="str">
        <x:v>FP32_VECBF16</x:v>
      </x:c>
      <x:c r="F22" s="210" t="b">
        <x:v>0</x:v>
      </x:c>
      <x:c r="G22" s="157" t="n">
        <x:v>128</x:v>
      </x:c>
      <x:c r="H22" s="157" t="n">
        <x:v>8192</x:v>
      </x:c>
      <x:c r="I22" s="157" t="n">
        <x:v>128</x:v>
      </x:c>
      <x:c r="J22" s="157" t="n">
        <x:v>128</x:v>
      </x:c>
      <x:c r="K22" s="157" t="n">
        <x:v>128</x:v>
      </x:c>
      <x:c r="L22" s="157" t="n">
        <x:v>64</x:v>
      </x:c>
      <x:c r="M22" s="204" t="n">
        <x:v>96</x:v>
      </x:c>
      <x:c r="N22" s="204" t="n">
        <x:v>32</x:v>
      </x:c>
      <x:c r="O22" s="213" t="n">
        <x:v>155502</x:v>
      </x:c>
      <x:c r="P22" s="157" t="n">
        <x:v>8</x:v>
      </x:c>
      <x:c r="Q22" s="216" t="n">
        <x:f>IF(O22="","",G22*H22*I22*2/(16*16*P22*O22))</x:f>
        <x:v>0.842895911306607</x:v>
      </x:c>
      <x:c r="R22" s="370"/>
      <x:c r="S22" s="216" t="n">
        <x:v>0.24517851860426232</x:v>
      </x:c>
      <x:c r="T22" s="275" t="str">
        <x:v>PASS</x:v>
      </x:c>
      <x:c r="U22" s="158" t="str">
        <x:v>完成</x:v>
      </x:c>
      <x:c r="V22"/>
      <x:c r="W22" s="409"/>
    </x:row>
    <x:row r="23" ht="20" customHeight="1">
      <x:c r="A23" s="156" t="str">
        <x:v>FA Dynamic</x:v>
      </x:c>
      <x:c r="B23" s="322" t="str">
        <x:v>FP32</x:v>
      </x:c>
      <x:c r="C23" s="322" t="str">
        <x:v>BF16</x:v>
      </x:c>
      <x:c r="D23" s="157" t="str">
        <x:v>fa_gmma_dynamic</x:v>
      </x:c>
      <x:c r="E23" s="157" t="str">
        <x:v>FP32_VECBF16</x:v>
      </x:c>
      <x:c r="F23" s="210" t="b">
        <x:v>1</x:v>
      </x:c>
      <x:c r="G23" s="157" t="n">
        <x:v>128</x:v>
      </x:c>
      <x:c r="H23" s="157" t="n">
        <x:v>8192</x:v>
      </x:c>
      <x:c r="I23" s="157" t="n">
        <x:v>128</x:v>
      </x:c>
      <x:c r="J23" s="157" t="n">
        <x:v>128</x:v>
      </x:c>
      <x:c r="K23" s="157" t="n">
        <x:v>128</x:v>
      </x:c>
      <x:c r="L23" s="157" t="n">
        <x:v>64</x:v>
      </x:c>
      <x:c r="M23" s="204" t="n">
        <x:v>96</x:v>
      </x:c>
      <x:c r="N23" s="204" t="n">
        <x:v>32</x:v>
      </x:c>
      <x:c r="O23" s="213"/>
      <x:c r="P23" s="157" t="n">
        <x:v>8</x:v>
      </x:c>
      <x:c r="Q23" s="216" t="str">
        <x:f>IF(O23="","",G23*H23*I23*2/(16*16*P23*O23))</x:f>
      </x:c>
      <x:c r="R23" s="370"/>
      <x:c r="S23" s="216"/>
      <x:c r="T23" s="270" t="str">
        <x:v>COMPILE_FAIL</x:v>
      </x:c>
      <x:c r="U23" s="158" t="str">
        <x:v>编译失败：FP32 O accumulator 未转换为 BF16，TSTORE_CUBE dtype 不匹配</x:v>
      </x:c>
      <x:c r="V23"/>
      <x:c r="W23" s="411" t="str">
        <x:v>COMPILE_FAIL (rechecked)</x:v>
      </x:c>
    </x:row>
    <x:row r="24" ht="20" customHeight="1">
      <x:c r="A24" s="156" t="str">
        <x:v>FA GMMA</x:v>
      </x:c>
      <x:c r="B24" s="322" t="str">
        <x:v>FP32</x:v>
      </x:c>
      <x:c r="C24" s="322" t="str">
        <x:v>BF16</x:v>
      </x:c>
      <x:c r="D24" s="157" t="str">
        <x:v>fa_2d_unroll_gmma</x:v>
      </x:c>
      <x:c r="E24" s="157" t="str">
        <x:v>FP32_VECBF16</x:v>
      </x:c>
      <x:c r="F24" s="210" t="b">
        <x:v>0</x:v>
      </x:c>
      <x:c r="G24" s="157" t="n">
        <x:v>128</x:v>
      </x:c>
      <x:c r="H24" s="157" t="n">
        <x:v>8192</x:v>
      </x:c>
      <x:c r="I24" s="157" t="n">
        <x:v>128</x:v>
      </x:c>
      <x:c r="J24" s="157" t="n">
        <x:v>128</x:v>
      </x:c>
      <x:c r="K24" s="157" t="n">
        <x:v>128</x:v>
      </x:c>
      <x:c r="L24" s="386" t="n">
        <x:v>128</x:v>
      </x:c>
      <x:c r="M24" s="204" t="n">
        <x:v>128</x:v>
      </x:c>
      <x:c r="N24" s="204" t="n">
        <x:v>64</x:v>
      </x:c>
      <x:c r="O24" s="213" t="n">
        <x:v>138078</x:v>
      </x:c>
      <x:c r="P24" s="157" t="n">
        <x:v>8</x:v>
      </x:c>
      <x:c r="Q24" s="387" t="n">
        <x:f>IF(O24="","",G24*H24*I24*2/(16*16*P24*O24))</x:f>
        <x:v>0.9492605628702617</x:v>
      </x:c>
      <x:c r="R24" s="375" t="str">
        <x:v>★ Tk=128</x:v>
      </x:c>
      <x:c r="S24" s="216" t="n">
        <x:v>0.24049269253610278</x:v>
      </x:c>
      <x:c r="T24" s="275" t="str">
        <x:v>PASS</x:v>
      </x:c>
      <x:c r="U24" s="158" t="str">
        <x:v>完成</x:v>
      </x:c>
      <x:c r="V24"/>
      <x:c r="W24" s="409"/>
    </x:row>
    <x:row r="25" ht="20" customHeight="1">
      <x:c r="A25" s="156" t="str">
        <x:v>FA K-chain</x:v>
      </x:c>
      <x:c r="B25" s="322" t="str">
        <x:v>FP32</x:v>
      </x:c>
      <x:c r="C25" s="322" t="str">
        <x:v>BF16</x:v>
      </x:c>
      <x:c r="D25" s="157" t="str">
        <x:v>fa_gmma_kchains</x:v>
      </x:c>
      <x:c r="E25" s="157" t="str">
        <x:v>FP32_VECBF16</x:v>
      </x:c>
      <x:c r="F25" s="210" t="b">
        <x:v>0</x:v>
      </x:c>
      <x:c r="G25" s="157" t="n">
        <x:v>128</x:v>
      </x:c>
      <x:c r="H25" s="157" t="n">
        <x:v>8192</x:v>
      </x:c>
      <x:c r="I25" s="157" t="n">
        <x:v>128</x:v>
      </x:c>
      <x:c r="J25" s="157" t="n">
        <x:v>128</x:v>
      </x:c>
      <x:c r="K25" s="157" t="n">
        <x:v>128</x:v>
      </x:c>
      <x:c r="L25" s="386" t="n">
        <x:v>128</x:v>
      </x:c>
      <x:c r="M25" s="204" t="n">
        <x:v>128</x:v>
      </x:c>
      <x:c r="N25" s="204" t="n">
        <x:v>64</x:v>
      </x:c>
      <x:c r="O25" s="213" t="n">
        <x:v>137945</x:v>
      </x:c>
      <x:c r="P25" s="157" t="n">
        <x:v>8</x:v>
      </x:c>
      <x:c r="Q25" s="387" t="n">
        <x:f>IF(O25="","",G25*H25*I25*2/(16*16*P25*O25))</x:f>
        <x:v>0.9501757947007865</x:v>
      </x:c>
      <x:c r="R25" s="375" t="str">
        <x:v>★ Tk=128</x:v>
      </x:c>
      <x:c r="S25" s="216" t="n">
        <x:v>0.24248432346224943</x:v>
      </x:c>
      <x:c r="T25" s="275" t="str">
        <x:v>PASS</x:v>
      </x:c>
      <x:c r="U25" s="158" t="str">
        <x:v>完成</x:v>
      </x:c>
      <x:c r="V25"/>
      <x:c r="W25" s="409"/>
    </x:row>
    <x:row r="26" ht="20" customHeight="1">
      <x:c r="A26" s="156" t="str">
        <x:v>FA Dynamic</x:v>
      </x:c>
      <x:c r="B26" s="322" t="str">
        <x:v>FP32</x:v>
      </x:c>
      <x:c r="C26" s="322" t="str">
        <x:v>BF16</x:v>
      </x:c>
      <x:c r="D26" s="157" t="str">
        <x:v>fa_gmma_dynamic</x:v>
      </x:c>
      <x:c r="E26" s="157" t="str">
        <x:v>FP32_VECBF16</x:v>
      </x:c>
      <x:c r="F26" s="210" t="b">
        <x:v>1</x:v>
      </x:c>
      <x:c r="G26" s="157" t="n">
        <x:v>128</x:v>
      </x:c>
      <x:c r="H26" s="157" t="n">
        <x:v>8192</x:v>
      </x:c>
      <x:c r="I26" s="157" t="n">
        <x:v>128</x:v>
      </x:c>
      <x:c r="J26" s="157" t="n">
        <x:v>128</x:v>
      </x:c>
      <x:c r="K26" s="157" t="n">
        <x:v>128</x:v>
      </x:c>
      <x:c r="L26" s="157" t="n">
        <x:v>128</x:v>
      </x:c>
      <x:c r="M26" s="204" t="n">
        <x:v>128</x:v>
      </x:c>
      <x:c r="N26" s="204" t="n">
        <x:v>64</x:v>
      </x:c>
      <x:c r="O26" s="213"/>
      <x:c r="P26" s="157" t="n">
        <x:v>8</x:v>
      </x:c>
      <x:c r="Q26" s="216" t="str">
        <x:f>IF(O26="","",G26*H26*I26*2/(16*16*P26*O26))</x:f>
      </x:c>
      <x:c r="R26" s="370"/>
      <x:c r="S26" s="216"/>
      <x:c r="T26" s="270" t="str">
        <x:v>COMPILE_FAIL</x:v>
      </x:c>
      <x:c r="U26" s="158" t="str">
        <x:v>编译失败：FP32 O accumulator 未转换为 BF16，TSTORE_CUBE dtype 不匹配</x:v>
      </x:c>
      <x:c r="V26"/>
      <x:c r="W26" s="411" t="str">
        <x:v>COMPILE_FAIL (rechecked)</x:v>
      </x:c>
    </x:row>
    <x:row r="27" ht="20" customHeight="1">
      <x:c r="A27" s="156" t="str">
        <x:v>FA GMMA</x:v>
      </x:c>
      <x:c r="B27" s="322" t="str">
        <x:v>FP32</x:v>
      </x:c>
      <x:c r="C27" s="322" t="str">
        <x:v>BF16</x:v>
      </x:c>
      <x:c r="D27" s="157" t="str">
        <x:v>fa_2d_unroll_gmma</x:v>
      </x:c>
      <x:c r="E27" s="157" t="str">
        <x:v>FP32_VECBF16</x:v>
      </x:c>
      <x:c r="F27" s="210" t="b">
        <x:v>0</x:v>
      </x:c>
      <x:c r="G27" s="157" t="n">
        <x:v>128</x:v>
      </x:c>
      <x:c r="H27" s="157" t="n">
        <x:v>8192</x:v>
      </x:c>
      <x:c r="I27" s="157" t="n">
        <x:v>128</x:v>
      </x:c>
      <x:c r="J27" s="157" t="n">
        <x:v>128</x:v>
      </x:c>
      <x:c r="K27" s="157" t="n">
        <x:v>128</x:v>
      </x:c>
      <x:c r="L27" s="157" t="n">
        <x:v>256</x:v>
      </x:c>
      <x:c r="M27" s="204" t="n">
        <x:v>192</x:v>
      </x:c>
      <x:c r="N27" s="204" t="n">
        <x:v>128</x:v>
      </x:c>
      <x:c r="O27" s="213" t="n">
        <x:v>259876</x:v>
      </x:c>
      <x:c r="P27" s="157" t="n">
        <x:v>8</x:v>
      </x:c>
      <x:c r="Q27" s="216" t="n">
        <x:f>IF(O27="","",G27*H27*I27*2/(16*16*P27*O27))</x:f>
        <x:v>0.5043636195724115</x:v>
      </x:c>
      <x:c r="R27" s="370"/>
      <x:c r="S27" s="216" t="n">
        <x:v>0.12760797457248843</x:v>
      </x:c>
      <x:c r="T27" s="275" t="str">
        <x:v>PASS</x:v>
      </x:c>
      <x:c r="U27" s="158" t="str">
        <x:v>完成</x:v>
      </x:c>
      <x:c r="V27"/>
      <x:c r="W27" s="409"/>
    </x:row>
    <x:row r="28" ht="20" customHeight="1">
      <x:c r="A28" s="156" t="str">
        <x:v>FA K-chain</x:v>
      </x:c>
      <x:c r="B28" s="322" t="str">
        <x:v>FP32</x:v>
      </x:c>
      <x:c r="C28" s="322" t="str">
        <x:v>BF16</x:v>
      </x:c>
      <x:c r="D28" s="157" t="str">
        <x:v>fa_gmma_kchains</x:v>
      </x:c>
      <x:c r="E28" s="157" t="str">
        <x:v>FP32_VECBF16</x:v>
      </x:c>
      <x:c r="F28" s="210" t="b">
        <x:v>0</x:v>
      </x:c>
      <x:c r="G28" s="157" t="n">
        <x:v>128</x:v>
      </x:c>
      <x:c r="H28" s="157" t="n">
        <x:v>8192</x:v>
      </x:c>
      <x:c r="I28" s="157" t="n">
        <x:v>128</x:v>
      </x:c>
      <x:c r="J28" s="157" t="n">
        <x:v>128</x:v>
      </x:c>
      <x:c r="K28" s="157" t="n">
        <x:v>128</x:v>
      </x:c>
      <x:c r="L28" s="157" t="n">
        <x:v>256</x:v>
      </x:c>
      <x:c r="M28" s="204" t="n">
        <x:v>192</x:v>
      </x:c>
      <x:c r="N28" s="204" t="n">
        <x:v>128</x:v>
      </x:c>
      <x:c r="O28" s="213" t="n">
        <x:v>141359</x:v>
      </x:c>
      <x:c r="P28" s="157" t="n">
        <x:v>8</x:v>
      </x:c>
      <x:c r="Q28" s="216" t="n">
        <x:f>IF(O28="","",G28*H28*I28*2/(16*16*P28*O28))</x:f>
        <x:v>0.9272278383406787</x:v>
      </x:c>
      <x:c r="R28" s="370"/>
      <x:c r="S28" s="216" t="n">
        <x:v>0.2158564364490411</x:v>
      </x:c>
      <x:c r="T28" s="275" t="str">
        <x:v>PASS</x:v>
      </x:c>
      <x:c r="U28" s="158" t="str">
        <x:v>完成</x:v>
      </x:c>
      <x:c r="V28"/>
      <x:c r="W28" s="409"/>
    </x:row>
    <x:row r="29" ht="20" customHeight="1">
      <x:c r="A29" s="156" t="str">
        <x:v>FA Dynamic</x:v>
      </x:c>
      <x:c r="B29" s="322" t="str">
        <x:v>FP32</x:v>
      </x:c>
      <x:c r="C29" s="322" t="str">
        <x:v>BF16</x:v>
      </x:c>
      <x:c r="D29" s="157" t="str">
        <x:v>fa_gmma_dynamic</x:v>
      </x:c>
      <x:c r="E29" s="157" t="str">
        <x:v>FP32_VECBF16</x:v>
      </x:c>
      <x:c r="F29" s="210" t="b">
        <x:v>1</x:v>
      </x:c>
      <x:c r="G29" s="157" t="n">
        <x:v>128</x:v>
      </x:c>
      <x:c r="H29" s="157" t="n">
        <x:v>8192</x:v>
      </x:c>
      <x:c r="I29" s="157" t="n">
        <x:v>128</x:v>
      </x:c>
      <x:c r="J29" s="157" t="n">
        <x:v>128</x:v>
      </x:c>
      <x:c r="K29" s="157" t="n">
        <x:v>128</x:v>
      </x:c>
      <x:c r="L29" s="157" t="n">
        <x:v>256</x:v>
      </x:c>
      <x:c r="M29" s="204" t="n">
        <x:v>192</x:v>
      </x:c>
      <x:c r="N29" s="204" t="n">
        <x:v>128</x:v>
      </x:c>
      <x:c r="O29" s="213"/>
      <x:c r="P29" s="157" t="n">
        <x:v>8</x:v>
      </x:c>
      <x:c r="Q29" s="216" t="str">
        <x:f>IF(O29="","",G29*H29*I29*2/(16*16*P29*O29))</x:f>
      </x:c>
      <x:c r="R29" s="370"/>
      <x:c r="S29" s="216"/>
      <x:c r="T29" s="270" t="str">
        <x:v>COMPILE_FAIL</x:v>
      </x:c>
      <x:c r="U29" s="158" t="str">
        <x:v>编译失败：FP32 O accumulator 未转换为 BF16，TSTORE_CUBE dtype 不匹配</x:v>
      </x:c>
      <x:c r="V29"/>
      <x:c r="W29" s="411" t="str">
        <x:v>COMPILE_FAIL (rechecked)</x:v>
      </x:c>
    </x:row>
    <x:row r="30" ht="20" customHeight="1">
      <x:c r="A30" s="156" t="str">
        <x:v>FA GMMA</x:v>
      </x:c>
      <x:c r="B30" s="328" t="str">
        <x:v>BF16</x:v>
      </x:c>
      <x:c r="C30" s="328" t="str">
        <x:v>FP32</x:v>
      </x:c>
      <x:c r="D30" s="157" t="str">
        <x:v>fa_2d_unroll_gmma</x:v>
      </x:c>
      <x:c r="E30" s="157" t="str">
        <x:v>BF16_VECFP32</x:v>
      </x:c>
      <x:c r="F30" s="210" t="b">
        <x:v>0</x:v>
      </x:c>
      <x:c r="G30" s="157" t="n">
        <x:v>128</x:v>
      </x:c>
      <x:c r="H30" s="157" t="n">
        <x:v>8192</x:v>
      </x:c>
      <x:c r="I30" s="157" t="n">
        <x:v>128</x:v>
      </x:c>
      <x:c r="J30" s="157" t="n">
        <x:v>128</x:v>
      </x:c>
      <x:c r="K30" s="157" t="n">
        <x:v>128</x:v>
      </x:c>
      <x:c r="L30" s="157" t="n">
        <x:v>32</x:v>
      </x:c>
      <x:c r="M30" s="204" t="n">
        <x:v>40</x:v>
      </x:c>
      <x:c r="N30" s="204" t="n">
        <x:v>8</x:v>
      </x:c>
      <x:c r="O30" s="213" t="n">
        <x:v>110875</x:v>
      </x:c>
      <x:c r="P30" s="157" t="n">
        <x:v>16</x:v>
      </x:c>
      <x:c r="Q30" s="216" t="n">
        <x:f>IF(O30="","",G30*H30*I30*2/(16*16*P30*O30))</x:f>
        <x:v>0.5910800450958287</x:v>
      </x:c>
      <x:c r="R30" s="370"/>
      <x:c r="S30" s="216" t="n">
        <x:v>0.24579932356257045</x:v>
      </x:c>
      <x:c r="T30" s="275" t="str">
        <x:v>PASS</x:v>
      </x:c>
      <x:c r="U30" s="158" t="str">
        <x:v>完成</x:v>
      </x:c>
      <x:c r="V30"/>
      <x:c r="W30" s="409"/>
    </x:row>
    <x:row r="31" ht="20" customHeight="1">
      <x:c r="A31" s="156" t="str">
        <x:v>FA K-chain</x:v>
      </x:c>
      <x:c r="B31" s="328" t="str">
        <x:v>BF16</x:v>
      </x:c>
      <x:c r="C31" s="328" t="str">
        <x:v>FP32</x:v>
      </x:c>
      <x:c r="D31" s="157" t="str">
        <x:v>fa_gmma_kchains</x:v>
      </x:c>
      <x:c r="E31" s="157" t="str">
        <x:v>BF16_VECFP32</x:v>
      </x:c>
      <x:c r="F31" s="210" t="b">
        <x:v>0</x:v>
      </x:c>
      <x:c r="G31" s="157" t="n">
        <x:v>128</x:v>
      </x:c>
      <x:c r="H31" s="157" t="n">
        <x:v>8192</x:v>
      </x:c>
      <x:c r="I31" s="157" t="n">
        <x:v>128</x:v>
      </x:c>
      <x:c r="J31" s="157" t="n">
        <x:v>128</x:v>
      </x:c>
      <x:c r="K31" s="157" t="n">
        <x:v>128</x:v>
      </x:c>
      <x:c r="L31" s="157" t="n">
        <x:v>32</x:v>
      </x:c>
      <x:c r="M31" s="204" t="n">
        <x:v>40</x:v>
      </x:c>
      <x:c r="N31" s="204" t="n">
        <x:v>8</x:v>
      </x:c>
      <x:c r="O31" s="213" t="n">
        <x:v>152840</x:v>
      </x:c>
      <x:c r="P31" s="157" t="n">
        <x:v>16</x:v>
      </x:c>
      <x:c r="Q31" s="216" t="n">
        <x:f>IF(O31="","",G31*H31*I31*2/(16*16*P31*O31))</x:f>
        <x:v>0.4287882753205967</x:v>
      </x:c>
      <x:c r="R31" s="370"/>
      <x:c r="S31" s="216" t="n">
        <x:v>0.24173645642501962</x:v>
      </x:c>
      <x:c r="T31" s="275" t="str">
        <x:v>PASS</x:v>
      </x:c>
      <x:c r="U31" s="158" t="str">
        <x:v>完成</x:v>
      </x:c>
      <x:c r="V31"/>
      <x:c r="W31" s="409"/>
    </x:row>
    <x:row r="32" ht="20" customHeight="1">
      <x:c r="A32" s="156" t="str">
        <x:v>FA Dynamic</x:v>
      </x:c>
      <x:c r="B32" s="328" t="str">
        <x:v>BF16</x:v>
      </x:c>
      <x:c r="C32" s="328" t="str">
        <x:v>FP32</x:v>
      </x:c>
      <x:c r="D32" s="157" t="str">
        <x:v>fa_gmma_dynamic</x:v>
      </x:c>
      <x:c r="E32" s="157" t="str">
        <x:v>BF16_VECFP32</x:v>
      </x:c>
      <x:c r="F32" s="210" t="b">
        <x:v>1</x:v>
      </x:c>
      <x:c r="G32" s="157" t="n">
        <x:v>128</x:v>
      </x:c>
      <x:c r="H32" s="157" t="n">
        <x:v>8192</x:v>
      </x:c>
      <x:c r="I32" s="157" t="n">
        <x:v>128</x:v>
      </x:c>
      <x:c r="J32" s="157" t="n">
        <x:v>128</x:v>
      </x:c>
      <x:c r="K32" s="157" t="n">
        <x:v>128</x:v>
      </x:c>
      <x:c r="L32" s="157" t="n">
        <x:v>32</x:v>
      </x:c>
      <x:c r="M32" s="204" t="n">
        <x:v>40</x:v>
      </x:c>
      <x:c r="N32" s="204" t="n">
        <x:v>8</x:v>
      </x:c>
      <x:c r="O32" s="213"/>
      <x:c r="P32" s="157" t="n">
        <x:v>16</x:v>
      </x:c>
      <x:c r="Q32" s="216" t="str">
        <x:f>IF(O32="","",G32*H32*I32*2/(16*16*P32*O32))</x:f>
      </x:c>
      <x:c r="R32" s="370"/>
      <x:c r="S32" s="216"/>
      <x:c r="T32" s="270" t="str">
        <x:v>DEADLOCK</x:v>
      </x:c>
      <x:c r="U32" s="158" t="str">
        <x:v>FA_TRACE_ONLY=1；gfsim 无新 block commit，触发 deadlock watchdog</x:v>
      </x:c>
      <x:c r="V32"/>
      <x:c r="W32" s="410" t="str">
        <x:v>DEADLOCK (rechecked)</x:v>
      </x:c>
    </x:row>
    <x:row r="33" ht="20" customHeight="1">
      <x:c r="A33" s="156" t="str">
        <x:v>FA GMMA</x:v>
      </x:c>
      <x:c r="B33" s="328" t="str">
        <x:v>BF16</x:v>
      </x:c>
      <x:c r="C33" s="328" t="str">
        <x:v>FP32</x:v>
      </x:c>
      <x:c r="D33" s="157" t="str">
        <x:v>fa_2d_unroll_gmma</x:v>
      </x:c>
      <x:c r="E33" s="157" t="str">
        <x:v>BF16_VECFP32</x:v>
      </x:c>
      <x:c r="F33" s="210" t="b">
        <x:v>0</x:v>
      </x:c>
      <x:c r="G33" s="157" t="n">
        <x:v>128</x:v>
      </x:c>
      <x:c r="H33" s="157" t="n">
        <x:v>8192</x:v>
      </x:c>
      <x:c r="I33" s="157" t="n">
        <x:v>128</x:v>
      </x:c>
      <x:c r="J33" s="157" t="n">
        <x:v>128</x:v>
      </x:c>
      <x:c r="K33" s="157" t="n">
        <x:v>128</x:v>
      </x:c>
      <x:c r="L33" s="157" t="n">
        <x:v>64</x:v>
      </x:c>
      <x:c r="M33" s="204" t="n">
        <x:v>48</x:v>
      </x:c>
      <x:c r="N33" s="204" t="n">
        <x:v>16</x:v>
      </x:c>
      <x:c r="O33" s="213" t="n">
        <x:v>71102</x:v>
      </x:c>
      <x:c r="P33" s="157" t="n">
        <x:v>16</x:v>
      </x:c>
      <x:c r="Q33" s="216" t="n">
        <x:f>IF(O33="","",G33*H33*I33*2/(16*16*P33*O33))</x:f>
        <x:v>0.9217180951309386</x:v>
      </x:c>
      <x:c r="R33" s="370"/>
      <x:c r="S33" s="216" t="n">
        <x:v>0.24321397429045596</x:v>
      </x:c>
      <x:c r="T33" s="275" t="str">
        <x:v>PASS</x:v>
      </x:c>
      <x:c r="U33" s="158" t="str">
        <x:v>完成</x:v>
      </x:c>
      <x:c r="V33"/>
      <x:c r="W33" s="409"/>
    </x:row>
    <x:row r="34" ht="20" customHeight="1">
      <x:c r="A34" s="156" t="str">
        <x:v>FA K-chain</x:v>
      </x:c>
      <x:c r="B34" s="328" t="str">
        <x:v>BF16</x:v>
      </x:c>
      <x:c r="C34" s="328" t="str">
        <x:v>FP32</x:v>
      </x:c>
      <x:c r="D34" s="157" t="str">
        <x:v>fa_gmma_kchains</x:v>
      </x:c>
      <x:c r="E34" s="157" t="str">
        <x:v>BF16_VECFP32</x:v>
      </x:c>
      <x:c r="F34" s="210" t="b">
        <x:v>0</x:v>
      </x:c>
      <x:c r="G34" s="157" t="n">
        <x:v>128</x:v>
      </x:c>
      <x:c r="H34" s="157" t="n">
        <x:v>8192</x:v>
      </x:c>
      <x:c r="I34" s="157" t="n">
        <x:v>128</x:v>
      </x:c>
      <x:c r="J34" s="157" t="n">
        <x:v>128</x:v>
      </x:c>
      <x:c r="K34" s="157" t="n">
        <x:v>128</x:v>
      </x:c>
      <x:c r="L34" s="157" t="n">
        <x:v>64</x:v>
      </x:c>
      <x:c r="M34" s="204" t="n">
        <x:v>48</x:v>
      </x:c>
      <x:c r="N34" s="204" t="n">
        <x:v>16</x:v>
      </x:c>
      <x:c r="O34" s="213" t="n">
        <x:v>76747</x:v>
      </x:c>
      <x:c r="P34" s="157" t="n">
        <x:v>16</x:v>
      </x:c>
      <x:c r="Q34" s="216" t="n">
        <x:f>IF(O34="","",G34*H34*I34*2/(16*16*P34*O34))</x:f>
        <x:v>0.8539226288975464</x:v>
      </x:c>
      <x:c r="R34" s="370"/>
      <x:c r="S34" s="216" t="n">
        <x:v>0.24434505583280128</x:v>
      </x:c>
      <x:c r="T34" s="275" t="str">
        <x:v>PASS</x:v>
      </x:c>
      <x:c r="U34" s="158" t="str">
        <x:v>完成</x:v>
      </x:c>
      <x:c r="V34"/>
      <x:c r="W34" s="409"/>
    </x:row>
    <x:row r="35" ht="20" customHeight="1">
      <x:c r="A35" s="156" t="str">
        <x:v>FA Dynamic</x:v>
      </x:c>
      <x:c r="B35" s="328" t="str">
        <x:v>BF16</x:v>
      </x:c>
      <x:c r="C35" s="328" t="str">
        <x:v>FP32</x:v>
      </x:c>
      <x:c r="D35" s="157" t="str">
        <x:v>fa_gmma_dynamic</x:v>
      </x:c>
      <x:c r="E35" s="157" t="str">
        <x:v>BF16_VECFP32</x:v>
      </x:c>
      <x:c r="F35" s="210" t="b">
        <x:v>1</x:v>
      </x:c>
      <x:c r="G35" s="157" t="n">
        <x:v>128</x:v>
      </x:c>
      <x:c r="H35" s="157" t="n">
        <x:v>8192</x:v>
      </x:c>
      <x:c r="I35" s="157" t="n">
        <x:v>128</x:v>
      </x:c>
      <x:c r="J35" s="157" t="n">
        <x:v>128</x:v>
      </x:c>
      <x:c r="K35" s="157" t="n">
        <x:v>128</x:v>
      </x:c>
      <x:c r="L35" s="157" t="n">
        <x:v>64</x:v>
      </x:c>
      <x:c r="M35" s="204" t="n">
        <x:v>48</x:v>
      </x:c>
      <x:c r="N35" s="204" t="n">
        <x:v>16</x:v>
      </x:c>
      <x:c r="O35" s="213"/>
      <x:c r="P35" s="157" t="n">
        <x:v>16</x:v>
      </x:c>
      <x:c r="Q35" s="216" t="str">
        <x:f>IF(O35="","",G35*H35*I35*2/(16*16*P35*O35))</x:f>
      </x:c>
      <x:c r="R35" s="370"/>
      <x:c r="S35" s="216"/>
      <x:c r="T35" s="270" t="str">
        <x:v>DEADLOCK</x:v>
      </x:c>
      <x:c r="U35" s="158" t="str">
        <x:v>FA_TRACE_ONLY=1；gfsim 无新 block commit，触发 deadlock watchdog</x:v>
      </x:c>
      <x:c r="V35"/>
      <x:c r="W35" s="410" t="str">
        <x:v>DEADLOCK (rechecked)</x:v>
      </x:c>
    </x:row>
    <x:row r="36" ht="20" customHeight="1">
      <x:c r="A36" s="156" t="str">
        <x:v>FA GMMA</x:v>
      </x:c>
      <x:c r="B36" s="328" t="str">
        <x:v>BF16</x:v>
      </x:c>
      <x:c r="C36" s="328" t="str">
        <x:v>FP32</x:v>
      </x:c>
      <x:c r="D36" s="157" t="str">
        <x:v>fa_2d_unroll_gmma</x:v>
      </x:c>
      <x:c r="E36" s="157" t="str">
        <x:v>BF16_VECFP32</x:v>
      </x:c>
      <x:c r="F36" s="210" t="b">
        <x:v>0</x:v>
      </x:c>
      <x:c r="G36" s="157" t="n">
        <x:v>128</x:v>
      </x:c>
      <x:c r="H36" s="157" t="n">
        <x:v>8192</x:v>
      </x:c>
      <x:c r="I36" s="157" t="n">
        <x:v>128</x:v>
      </x:c>
      <x:c r="J36" s="157" t="n">
        <x:v>128</x:v>
      </x:c>
      <x:c r="K36" s="157" t="n">
        <x:v>128</x:v>
      </x:c>
      <x:c r="L36" s="386" t="n">
        <x:v>128</x:v>
      </x:c>
      <x:c r="M36" s="204" t="n">
        <x:v>64</x:v>
      </x:c>
      <x:c r="N36" s="204" t="n">
        <x:v>32</x:v>
      </x:c>
      <x:c r="O36" s="213" t="n">
        <x:v>69320</x:v>
      </x:c>
      <x:c r="P36" s="157" t="n">
        <x:v>16</x:v>
      </x:c>
      <x:c r="Q36" s="387" t="n">
        <x:f>IF(O36="","",G36*H36*I36*2/(16*16*P36*O36))</x:f>
        <x:v>0.9454125793421811</x:v>
      </x:c>
      <x:c r="R36" s="375" t="str">
        <x:v>★ Tk=128</x:v>
      </x:c>
      <x:c r="S36" s="216" t="n">
        <x:v>0.24218479515291402</x:v>
      </x:c>
      <x:c r="T36" s="275" t="str">
        <x:v>PASS</x:v>
      </x:c>
      <x:c r="U36" s="158" t="str">
        <x:v>完成</x:v>
      </x:c>
      <x:c r="V36"/>
      <x:c r="W36" s="409"/>
    </x:row>
    <x:row r="37" ht="20" customHeight="1">
      <x:c r="A37" s="156" t="str">
        <x:v>FA K-chain</x:v>
      </x:c>
      <x:c r="B37" s="328" t="str">
        <x:v>BF16</x:v>
      </x:c>
      <x:c r="C37" s="328" t="str">
        <x:v>FP32</x:v>
      </x:c>
      <x:c r="D37" s="157" t="str">
        <x:v>fa_gmma_kchains</x:v>
      </x:c>
      <x:c r="E37" s="157" t="str">
        <x:v>BF16_VECFP32</x:v>
      </x:c>
      <x:c r="F37" s="210" t="b">
        <x:v>0</x:v>
      </x:c>
      <x:c r="G37" s="157" t="n">
        <x:v>128</x:v>
      </x:c>
      <x:c r="H37" s="157" t="n">
        <x:v>8192</x:v>
      </x:c>
      <x:c r="I37" s="157" t="n">
        <x:v>128</x:v>
      </x:c>
      <x:c r="J37" s="157" t="n">
        <x:v>128</x:v>
      </x:c>
      <x:c r="K37" s="157" t="n">
        <x:v>128</x:v>
      </x:c>
      <x:c r="L37" s="386" t="n">
        <x:v>128</x:v>
      </x:c>
      <x:c r="M37" s="204" t="n">
        <x:v>64</x:v>
      </x:c>
      <x:c r="N37" s="204" t="n">
        <x:v>32</x:v>
      </x:c>
      <x:c r="O37" s="213" t="n">
        <x:v>68727</x:v>
      </x:c>
      <x:c r="P37" s="157" t="n">
        <x:v>16</x:v>
      </x:c>
      <x:c r="Q37" s="387" t="n">
        <x:f>IF(O37="","",G37*H37*I37*2/(16*16*P37*O37))</x:f>
        <x:v>0.9535699215737629</x:v>
      </x:c>
      <x:c r="R37" s="375" t="str">
        <x:v>★ Tk=128</x:v>
      </x:c>
      <x:c r="S37" s="216" t="n">
        <x:v>0.23833791668485457</x:v>
      </x:c>
      <x:c r="T37" s="275" t="str">
        <x:v>PASS</x:v>
      </x:c>
      <x:c r="U37" s="158" t="str">
        <x:v>完成</x:v>
      </x:c>
      <x:c r="V37"/>
      <x:c r="W37" s="409"/>
    </x:row>
    <x:row r="38" ht="20" customHeight="1">
      <x:c r="A38" s="156" t="str">
        <x:v>FA Dynamic</x:v>
      </x:c>
      <x:c r="B38" s="328" t="str">
        <x:v>BF16</x:v>
      </x:c>
      <x:c r="C38" s="328" t="str">
        <x:v>FP32</x:v>
      </x:c>
      <x:c r="D38" s="157" t="str">
        <x:v>fa_gmma_dynamic</x:v>
      </x:c>
      <x:c r="E38" s="157" t="str">
        <x:v>BF16_VECFP32</x:v>
      </x:c>
      <x:c r="F38" s="210" t="b">
        <x:v>1</x:v>
      </x:c>
      <x:c r="G38" s="157" t="n">
        <x:v>128</x:v>
      </x:c>
      <x:c r="H38" s="157" t="n">
        <x:v>8192</x:v>
      </x:c>
      <x:c r="I38" s="157" t="n">
        <x:v>128</x:v>
      </x:c>
      <x:c r="J38" s="157" t="n">
        <x:v>128</x:v>
      </x:c>
      <x:c r="K38" s="157" t="n">
        <x:v>128</x:v>
      </x:c>
      <x:c r="L38" s="157" t="n">
        <x:v>128</x:v>
      </x:c>
      <x:c r="M38" s="204" t="n">
        <x:v>64</x:v>
      </x:c>
      <x:c r="N38" s="204" t="n">
        <x:v>32</x:v>
      </x:c>
      <x:c r="O38" s="213"/>
      <x:c r="P38" s="157" t="n">
        <x:v>16</x:v>
      </x:c>
      <x:c r="Q38" s="216" t="str">
        <x:f>IF(O38="","",G38*H38*I38*2/(16*16*P38*O38))</x:f>
      </x:c>
      <x:c r="R38" s="370"/>
      <x:c r="S38" s="216"/>
      <x:c r="T38" s="270" t="str">
        <x:v>DEADLOCK</x:v>
      </x:c>
      <x:c r="U38" s="158" t="str">
        <x:v>FA_TRACE_ONLY=1；gfsim 无新 block commit，触发 deadlock watchdog</x:v>
      </x:c>
      <x:c r="V38"/>
      <x:c r="W38" s="410" t="str">
        <x:v>DEADLOCK (rechecked)</x:v>
      </x:c>
    </x:row>
    <x:row r="39" ht="20" customHeight="1">
      <x:c r="A39" s="156" t="str">
        <x:v>FA GMMA</x:v>
      </x:c>
      <x:c r="B39" s="328" t="str">
        <x:v>BF16</x:v>
      </x:c>
      <x:c r="C39" s="328" t="str">
        <x:v>FP32</x:v>
      </x:c>
      <x:c r="D39" s="157" t="str">
        <x:v>fa_2d_unroll_gmma</x:v>
      </x:c>
      <x:c r="E39" s="157" t="str">
        <x:v>BF16_VECFP32</x:v>
      </x:c>
      <x:c r="F39" s="210" t="b">
        <x:v>0</x:v>
      </x:c>
      <x:c r="G39" s="157" t="n">
        <x:v>128</x:v>
      </x:c>
      <x:c r="H39" s="157" t="n">
        <x:v>8192</x:v>
      </x:c>
      <x:c r="I39" s="157" t="n">
        <x:v>128</x:v>
      </x:c>
      <x:c r="J39" s="157" t="n">
        <x:v>128</x:v>
      </x:c>
      <x:c r="K39" s="157" t="n">
        <x:v>128</x:v>
      </x:c>
      <x:c r="L39" s="157" t="n">
        <x:v>256</x:v>
      </x:c>
      <x:c r="M39" s="204" t="n">
        <x:v>96</x:v>
      </x:c>
      <x:c r="N39" s="204" t="n">
        <x:v>64</x:v>
      </x:c>
      <x:c r="O39" s="213" t="n">
        <x:v>84129</x:v>
      </x:c>
      <x:c r="P39" s="157" t="n">
        <x:v>16</x:v>
      </x:c>
      <x:c r="Q39" s="216" t="n">
        <x:f>IF(O39="","",G39*H39*I39*2/(16*16*P39*O39))</x:f>
        <x:v>0.778994163724756</x:v>
      </x:c>
      <x:c r="R39" s="370"/>
      <x:c r="S39" s="216" t="n">
        <x:v>0.20301263535760558</x:v>
      </x:c>
      <x:c r="T39" s="275" t="str">
        <x:v>PASS</x:v>
      </x:c>
      <x:c r="U39" s="158" t="str">
        <x:v>完成</x:v>
      </x:c>
      <x:c r="V39"/>
      <x:c r="W39" s="409"/>
    </x:row>
    <x:row r="40" ht="20" customHeight="1">
      <x:c r="A40" s="156" t="str">
        <x:v>FA K-chain</x:v>
      </x:c>
      <x:c r="B40" s="328" t="str">
        <x:v>BF16</x:v>
      </x:c>
      <x:c r="C40" s="328" t="str">
        <x:v>FP32</x:v>
      </x:c>
      <x:c r="D40" s="157" t="str">
        <x:v>fa_gmma_kchains</x:v>
      </x:c>
      <x:c r="E40" s="157" t="str">
        <x:v>BF16_VECFP32</x:v>
      </x:c>
      <x:c r="F40" s="210" t="b">
        <x:v>0</x:v>
      </x:c>
      <x:c r="G40" s="157" t="n">
        <x:v>128</x:v>
      </x:c>
      <x:c r="H40" s="157" t="n">
        <x:v>8192</x:v>
      </x:c>
      <x:c r="I40" s="157" t="n">
        <x:v>128</x:v>
      </x:c>
      <x:c r="J40" s="157" t="n">
        <x:v>128</x:v>
      </x:c>
      <x:c r="K40" s="157" t="n">
        <x:v>128</x:v>
      </x:c>
      <x:c r="L40" s="157" t="n">
        <x:v>256</x:v>
      </x:c>
      <x:c r="M40" s="204" t="n">
        <x:v>96</x:v>
      </x:c>
      <x:c r="N40" s="204" t="n">
        <x:v>64</x:v>
      </x:c>
      <x:c r="O40" s="213" t="n">
        <x:v>72400</x:v>
      </x:c>
      <x:c r="P40" s="157" t="n">
        <x:v>16</x:v>
      </x:c>
      <x:c r="Q40" s="216" t="n">
        <x:f>IF(O40="","",G40*H40*I40*2/(16*16*P40*O40))</x:f>
        <x:v>0.9051933701657459</x:v>
      </x:c>
      <x:c r="R40" s="370"/>
      <x:c r="S40" s="216" t="n">
        <x:v>0.23222720994475138</x:v>
      </x:c>
      <x:c r="T40" s="275" t="str">
        <x:v>PASS</x:v>
      </x:c>
      <x:c r="U40" s="158" t="str">
        <x:v>完成</x:v>
      </x:c>
      <x:c r="V40"/>
      <x:c r="W40" s="409"/>
    </x:row>
    <x:row r="41" ht="20" customHeight="1">
      <x:c r="A41" s="156" t="str">
        <x:v>FA Dynamic</x:v>
      </x:c>
      <x:c r="B41" s="328" t="str">
        <x:v>BF16</x:v>
      </x:c>
      <x:c r="C41" s="328" t="str">
        <x:v>FP32</x:v>
      </x:c>
      <x:c r="D41" s="157" t="str">
        <x:v>fa_gmma_dynamic</x:v>
      </x:c>
      <x:c r="E41" s="157" t="str">
        <x:v>BF16_VECFP32</x:v>
      </x:c>
      <x:c r="F41" s="210" t="b">
        <x:v>1</x:v>
      </x:c>
      <x:c r="G41" s="157" t="n">
        <x:v>128</x:v>
      </x:c>
      <x:c r="H41" s="157" t="n">
        <x:v>8192</x:v>
      </x:c>
      <x:c r="I41" s="157" t="n">
        <x:v>128</x:v>
      </x:c>
      <x:c r="J41" s="157" t="n">
        <x:v>128</x:v>
      </x:c>
      <x:c r="K41" s="157" t="n">
        <x:v>128</x:v>
      </x:c>
      <x:c r="L41" s="157" t="n">
        <x:v>256</x:v>
      </x:c>
      <x:c r="M41" s="204" t="n">
        <x:v>96</x:v>
      </x:c>
      <x:c r="N41" s="204" t="n">
        <x:v>64</x:v>
      </x:c>
      <x:c r="O41" s="213"/>
      <x:c r="P41" s="157" t="n">
        <x:v>16</x:v>
      </x:c>
      <x:c r="Q41" s="216" t="str">
        <x:f>IF(O41="","",G41*H41*I41*2/(16*16*P41*O41))</x:f>
      </x:c>
      <x:c r="R41" s="370"/>
      <x:c r="S41" s="216"/>
      <x:c r="T41" s="270" t="str">
        <x:v>DEADLOCK</x:v>
      </x:c>
      <x:c r="U41" s="158" t="str">
        <x:v>FA_TRACE_ONLY=1；gfsim 无新 block commit，触发 deadlock watchdog</x:v>
      </x:c>
      <x:c r="V41"/>
      <x:c r="W41" s="410" t="str">
        <x:v>DEADLOCK (rechecked)</x:v>
      </x:c>
    </x:row>
    <x:row r="42" ht="20" customHeight="1">
      <x:c r="A42" s="156" t="str">
        <x:v>FA GMMA</x:v>
      </x:c>
      <x:c r="B42" s="334" t="str">
        <x:v>BF16</x:v>
      </x:c>
      <x:c r="C42" s="334" t="str">
        <x:v>BF16</x:v>
      </x:c>
      <x:c r="D42" s="157" t="str">
        <x:v>fa_2d_unroll_gmma</x:v>
      </x:c>
      <x:c r="E42" s="157" t="str">
        <x:v>BF16_VECBF16</x:v>
      </x:c>
      <x:c r="F42" s="210" t="b">
        <x:v>0</x:v>
      </x:c>
      <x:c r="G42" s="157" t="n">
        <x:v>128</x:v>
      </x:c>
      <x:c r="H42" s="157" t="n">
        <x:v>8192</x:v>
      </x:c>
      <x:c r="I42" s="157" t="n">
        <x:v>128</x:v>
      </x:c>
      <x:c r="J42" s="157" t="n">
        <x:v>128</x:v>
      </x:c>
      <x:c r="K42" s="157" t="n">
        <x:v>128</x:v>
      </x:c>
      <x:c r="L42" s="157" t="n">
        <x:v>32</x:v>
      </x:c>
      <x:c r="M42" s="204" t="n">
        <x:v>40</x:v>
      </x:c>
      <x:c r="N42" s="204" t="n">
        <x:v>8</x:v>
      </x:c>
      <x:c r="O42" s="213" t="n">
        <x:v>122858</x:v>
      </x:c>
      <x:c r="P42" s="157" t="n">
        <x:v>16</x:v>
      </x:c>
      <x:c r="Q42" s="216" t="n">
        <x:f>IF(O42="","",G42*H42*I42*2/(16*16*P42*O42))</x:f>
        <x:v>0.5334288365430009</x:v>
      </x:c>
      <x:c r="R42" s="370"/>
      <x:c r="S42" s="216" t="n">
        <x:v>0.24568200686971953</x:v>
      </x:c>
      <x:c r="T42" s="275" t="str">
        <x:v>PASS</x:v>
      </x:c>
      <x:c r="U42" s="158" t="str">
        <x:v>完成</x:v>
      </x:c>
      <x:c r="V42"/>
      <x:c r="W42" s="409"/>
    </x:row>
    <x:row r="43" ht="20" customHeight="1">
      <x:c r="A43" s="156" t="str">
        <x:v>FA K-chain</x:v>
      </x:c>
      <x:c r="B43" s="334" t="str">
        <x:v>BF16</x:v>
      </x:c>
      <x:c r="C43" s="334" t="str">
        <x:v>BF16</x:v>
      </x:c>
      <x:c r="D43" s="157" t="str">
        <x:v>fa_gmma_kchains</x:v>
      </x:c>
      <x:c r="E43" s="157" t="str">
        <x:v>BF16_VECBF16</x:v>
      </x:c>
      <x:c r="F43" s="210" t="b">
        <x:v>0</x:v>
      </x:c>
      <x:c r="G43" s="157" t="n">
        <x:v>128</x:v>
      </x:c>
      <x:c r="H43" s="157" t="n">
        <x:v>8192</x:v>
      </x:c>
      <x:c r="I43" s="157" t="n">
        <x:v>128</x:v>
      </x:c>
      <x:c r="J43" s="157" t="n">
        <x:v>128</x:v>
      </x:c>
      <x:c r="K43" s="157" t="n">
        <x:v>128</x:v>
      </x:c>
      <x:c r="L43" s="157" t="n">
        <x:v>32</x:v>
      </x:c>
      <x:c r="M43" s="204" t="n">
        <x:v>40</x:v>
      </x:c>
      <x:c r="N43" s="204" t="n">
        <x:v>8</x:v>
      </x:c>
      <x:c r="O43" s="213" t="n">
        <x:v>153080</x:v>
      </x:c>
      <x:c r="P43" s="157" t="n">
        <x:v>16</x:v>
      </x:c>
      <x:c r="Q43" s="216" t="n">
        <x:f>IF(O43="","",G43*H43*I43*2/(16*16*P43*O43))</x:f>
        <x:v>0.42811601776848707</x:v>
      </x:c>
      <x:c r="R43" s="370"/>
      <x:c r="S43" s="216" t="n">
        <x:v>0.2403449176900967</x:v>
      </x:c>
      <x:c r="T43" s="275" t="str">
        <x:v>PASS</x:v>
      </x:c>
      <x:c r="U43" s="158" t="str">
        <x:v>完成</x:v>
      </x:c>
      <x:c r="V43"/>
      <x:c r="W43" s="409"/>
    </x:row>
    <x:row r="44" ht="20" customHeight="1">
      <x:c r="A44" s="156" t="str">
        <x:v>FA Dynamic</x:v>
      </x:c>
      <x:c r="B44" s="334" t="str">
        <x:v>BF16</x:v>
      </x:c>
      <x:c r="C44" s="334" t="str">
        <x:v>BF16</x:v>
      </x:c>
      <x:c r="D44" s="157" t="str">
        <x:v>fa_gmma_dynamic</x:v>
      </x:c>
      <x:c r="E44" s="157" t="str">
        <x:v>BF16_VECBF16</x:v>
      </x:c>
      <x:c r="F44" s="210" t="b">
        <x:v>1</x:v>
      </x:c>
      <x:c r="G44" s="157" t="n">
        <x:v>128</x:v>
      </x:c>
      <x:c r="H44" s="157" t="n">
        <x:v>8192</x:v>
      </x:c>
      <x:c r="I44" s="157" t="n">
        <x:v>128</x:v>
      </x:c>
      <x:c r="J44" s="157" t="n">
        <x:v>128</x:v>
      </x:c>
      <x:c r="K44" s="157" t="n">
        <x:v>128</x:v>
      </x:c>
      <x:c r="L44" s="157" t="n">
        <x:v>32</x:v>
      </x:c>
      <x:c r="M44" s="204" t="n">
        <x:v>40</x:v>
      </x:c>
      <x:c r="N44" s="204" t="n">
        <x:v>8</x:v>
      </x:c>
      <x:c r="O44" s="213"/>
      <x:c r="P44" s="157" t="n">
        <x:v>16</x:v>
      </x:c>
      <x:c r="Q44" s="216" t="str">
        <x:f>IF(O44="","",G44*H44*I44*2/(16*16*P44*O44))</x:f>
      </x:c>
      <x:c r="R44" s="370"/>
      <x:c r="S44" s="216"/>
      <x:c r="T44" s="270" t="str">
        <x:v>COMPILE_FAIL</x:v>
      </x:c>
      <x:c r="U44" s="158" t="str">
        <x:v>编译失败：FP32 O accumulator 未转换为 BF16，TSTORE_CUBE dtype 不匹配</x:v>
      </x:c>
      <x:c r="V44"/>
      <x:c r="W44" s="411" t="str">
        <x:v>COMPILE_FAIL (rechecked)</x:v>
      </x:c>
    </x:row>
    <x:row r="45" ht="20" customHeight="1">
      <x:c r="A45" s="156" t="str">
        <x:v>FA GMMA</x:v>
      </x:c>
      <x:c r="B45" s="334" t="str">
        <x:v>BF16</x:v>
      </x:c>
      <x:c r="C45" s="334" t="str">
        <x:v>BF16</x:v>
      </x:c>
      <x:c r="D45" s="157" t="str">
        <x:v>fa_2d_unroll_gmma</x:v>
      </x:c>
      <x:c r="E45" s="157" t="str">
        <x:v>BF16_VECBF16</x:v>
      </x:c>
      <x:c r="F45" s="210" t="b">
        <x:v>0</x:v>
      </x:c>
      <x:c r="G45" s="157" t="n">
        <x:v>128</x:v>
      </x:c>
      <x:c r="H45" s="157" t="n">
        <x:v>8192</x:v>
      </x:c>
      <x:c r="I45" s="157" t="n">
        <x:v>128</x:v>
      </x:c>
      <x:c r="J45" s="157" t="n">
        <x:v>128</x:v>
      </x:c>
      <x:c r="K45" s="157" t="n">
        <x:v>128</x:v>
      </x:c>
      <x:c r="L45" s="157" t="n">
        <x:v>64</x:v>
      </x:c>
      <x:c r="M45" s="204" t="n">
        <x:v>48</x:v>
      </x:c>
      <x:c r="N45" s="204" t="n">
        <x:v>16</x:v>
      </x:c>
      <x:c r="O45" s="213" t="n">
        <x:v>69965</x:v>
      </x:c>
      <x:c r="P45" s="157" t="n">
        <x:v>16</x:v>
      </x:c>
      <x:c r="Q45" s="216" t="n">
        <x:f>IF(O45="","",G45*H45*I45*2/(16*16*P45*O45))</x:f>
        <x:v>0.9366969198885157</x:v>
      </x:c>
      <x:c r="R45" s="370"/>
      <x:c r="S45" s="216" t="n">
        <x:v>0.24084542271135567</x:v>
      </x:c>
      <x:c r="T45" s="275" t="str">
        <x:v>PASS</x:v>
      </x:c>
      <x:c r="U45" s="158" t="str">
        <x:v>完成</x:v>
      </x:c>
      <x:c r="V45"/>
      <x:c r="W45" s="409"/>
    </x:row>
    <x:row r="46" ht="20" customHeight="1">
      <x:c r="A46" s="156" t="str">
        <x:v>FA K-chain</x:v>
      </x:c>
      <x:c r="B46" s="334" t="str">
        <x:v>BF16</x:v>
      </x:c>
      <x:c r="C46" s="334" t="str">
        <x:v>BF16</x:v>
      </x:c>
      <x:c r="D46" s="157" t="str">
        <x:v>fa_gmma_kchains</x:v>
      </x:c>
      <x:c r="E46" s="157" t="str">
        <x:v>BF16_VECBF16</x:v>
      </x:c>
      <x:c r="F46" s="210" t="b">
        <x:v>0</x:v>
      </x:c>
      <x:c r="G46" s="157" t="n">
        <x:v>128</x:v>
      </x:c>
      <x:c r="H46" s="157" t="n">
        <x:v>8192</x:v>
      </x:c>
      <x:c r="I46" s="157" t="n">
        <x:v>128</x:v>
      </x:c>
      <x:c r="J46" s="157" t="n">
        <x:v>128</x:v>
      </x:c>
      <x:c r="K46" s="157" t="n">
        <x:v>128</x:v>
      </x:c>
      <x:c r="L46" s="157" t="n">
        <x:v>64</x:v>
      </x:c>
      <x:c r="M46" s="204" t="n">
        <x:v>48</x:v>
      </x:c>
      <x:c r="N46" s="204" t="n">
        <x:v>16</x:v>
      </x:c>
      <x:c r="O46" s="213" t="n">
        <x:v>77220</x:v>
      </x:c>
      <x:c r="P46" s="157" t="n">
        <x:v>16</x:v>
      </x:c>
      <x:c r="Q46" s="216" t="n">
        <x:f>IF(O46="","",G46*H46*I46*2/(16*16*P46*O46))</x:f>
        <x:v>0.8486920486920487</x:v>
      </x:c>
      <x:c r="R46" s="370"/>
      <x:c r="S46" s="216" t="n">
        <x:v>0.24322714322714323</x:v>
      </x:c>
      <x:c r="T46" s="275" t="str">
        <x:v>PASS</x:v>
      </x:c>
      <x:c r="U46" s="158" t="str">
        <x:v>完成</x:v>
      </x:c>
      <x:c r="W46" s="409"/>
    </x:row>
    <x:row r="47" ht="20" customHeight="1">
      <x:c r="A47" s="156" t="str">
        <x:v>FA Dynamic</x:v>
      </x:c>
      <x:c r="B47" s="334" t="str">
        <x:v>BF16</x:v>
      </x:c>
      <x:c r="C47" s="334" t="str">
        <x:v>BF16</x:v>
      </x:c>
      <x:c r="D47" s="157" t="str">
        <x:v>fa_gmma_dynamic</x:v>
      </x:c>
      <x:c r="E47" s="157" t="str">
        <x:v>BF16_VECBF16</x:v>
      </x:c>
      <x:c r="F47" s="210" t="b">
        <x:v>1</x:v>
      </x:c>
      <x:c r="G47" s="157" t="n">
        <x:v>128</x:v>
      </x:c>
      <x:c r="H47" s="157" t="n">
        <x:v>8192</x:v>
      </x:c>
      <x:c r="I47" s="157" t="n">
        <x:v>128</x:v>
      </x:c>
      <x:c r="J47" s="157" t="n">
        <x:v>128</x:v>
      </x:c>
      <x:c r="K47" s="157" t="n">
        <x:v>128</x:v>
      </x:c>
      <x:c r="L47" s="157" t="n">
        <x:v>64</x:v>
      </x:c>
      <x:c r="M47" s="204" t="n">
        <x:v>48</x:v>
      </x:c>
      <x:c r="N47" s="204" t="n">
        <x:v>16</x:v>
      </x:c>
      <x:c r="O47" s="213"/>
      <x:c r="P47" s="157" t="n">
        <x:v>16</x:v>
      </x:c>
      <x:c r="Q47" s="216" t="str">
        <x:f>IF(O47="","",G47*H47*I47*2/(16*16*P47*O47))</x:f>
      </x:c>
      <x:c r="R47" s="370"/>
      <x:c r="S47" s="216"/>
      <x:c r="T47" s="270" t="str">
        <x:v>COMPILE_FAIL</x:v>
      </x:c>
      <x:c r="U47" s="158" t="str">
        <x:v>编译失败：FP32 O accumulator 未转换为 BF16，TSTORE_CUBE dtype 不匹配</x:v>
      </x:c>
      <x:c r="W47" s="411" t="str">
        <x:v>COMPILE_FAIL (rechecked)</x:v>
      </x:c>
    </x:row>
    <x:row r="48" ht="20" customHeight="1">
      <x:c r="A48" s="156" t="str">
        <x:v>FA GMMA</x:v>
      </x:c>
      <x:c r="B48" s="334" t="str">
        <x:v>BF16</x:v>
      </x:c>
      <x:c r="C48" s="334" t="str">
        <x:v>BF16</x:v>
      </x:c>
      <x:c r="D48" s="157" t="str">
        <x:v>fa_2d_unroll_gmma</x:v>
      </x:c>
      <x:c r="E48" s="157" t="str">
        <x:v>BF16_VECBF16</x:v>
      </x:c>
      <x:c r="F48" s="210" t="b">
        <x:v>0</x:v>
      </x:c>
      <x:c r="G48" s="157" t="n">
        <x:v>128</x:v>
      </x:c>
      <x:c r="H48" s="157" t="n">
        <x:v>8192</x:v>
      </x:c>
      <x:c r="I48" s="157" t="n">
        <x:v>128</x:v>
      </x:c>
      <x:c r="J48" s="157" t="n">
        <x:v>128</x:v>
      </x:c>
      <x:c r="K48" s="157" t="n">
        <x:v>128</x:v>
      </x:c>
      <x:c r="L48" s="386" t="n">
        <x:v>128</x:v>
      </x:c>
      <x:c r="M48" s="204" t="n">
        <x:v>64</x:v>
      </x:c>
      <x:c r="N48" s="204" t="n">
        <x:v>32</x:v>
      </x:c>
      <x:c r="O48" s="213" t="n">
        <x:v>68822</x:v>
      </x:c>
      <x:c r="P48" s="157" t="n">
        <x:v>16</x:v>
      </x:c>
      <x:c r="Q48" s="387" t="n">
        <x:f>IF(O48="","",G48*H48*I48*2/(16*16*P48*O48))</x:f>
        <x:v>0.9522536398244748</x:v>
      </x:c>
      <x:c r="R48" s="375" t="str">
        <x:v>★ Tk=128</x:v>
      </x:c>
      <x:c r="S48" s="216" t="n">
        <x:v>0.2386337217750138</x:v>
      </x:c>
      <x:c r="T48" s="275" t="str">
        <x:v>PASS</x:v>
      </x:c>
      <x:c r="U48" s="158" t="str">
        <x:v>完成</x:v>
      </x:c>
      <x:c r="W48" s="409"/>
    </x:row>
    <x:row r="49" ht="20" customHeight="1">
      <x:c r="A49" s="156" t="str">
        <x:v>FA K-chain</x:v>
      </x:c>
      <x:c r="B49" s="334" t="str">
        <x:v>BF16</x:v>
      </x:c>
      <x:c r="C49" s="334" t="str">
        <x:v>BF16</x:v>
      </x:c>
      <x:c r="D49" s="157" t="str">
        <x:v>fa_gmma_kchains</x:v>
      </x:c>
      <x:c r="E49" s="157" t="str">
        <x:v>BF16_VECBF16</x:v>
      </x:c>
      <x:c r="F49" s="210" t="b">
        <x:v>0</x:v>
      </x:c>
      <x:c r="G49" s="157" t="n">
        <x:v>128</x:v>
      </x:c>
      <x:c r="H49" s="157" t="n">
        <x:v>8192</x:v>
      </x:c>
      <x:c r="I49" s="157" t="n">
        <x:v>128</x:v>
      </x:c>
      <x:c r="J49" s="157" t="n">
        <x:v>128</x:v>
      </x:c>
      <x:c r="K49" s="157" t="n">
        <x:v>128</x:v>
      </x:c>
      <x:c r="L49" s="386" t="n">
        <x:v>128</x:v>
      </x:c>
      <x:c r="M49" s="204" t="n">
        <x:v>64</x:v>
      </x:c>
      <x:c r="N49" s="204" t="n">
        <x:v>32</x:v>
      </x:c>
      <x:c r="O49" s="213" t="n">
        <x:v>68753</x:v>
      </x:c>
      <x:c r="P49" s="157" t="n">
        <x:v>16</x:v>
      </x:c>
      <x:c r="Q49" s="387" t="n">
        <x:f>IF(O49="","",G49*H49*I49*2/(16*16*P49*O49))</x:f>
        <x:v>0.9532093145026399</x:v>
      </x:c>
      <x:c r="R49" s="375" t="str">
        <x:v>★ Tk=128</x:v>
      </x:c>
      <x:c r="S49" s="216" t="n">
        <x:v>0.23817506145186393</x:v>
      </x:c>
      <x:c r="T49" s="275" t="str">
        <x:v>PASS</x:v>
      </x:c>
      <x:c r="U49" s="158" t="str">
        <x:v>完成</x:v>
      </x:c>
      <x:c r="W49" s="409"/>
    </x:row>
    <x:row r="50" ht="20" customHeight="1">
      <x:c r="A50" s="156" t="str">
        <x:v>FA Dynamic</x:v>
      </x:c>
      <x:c r="B50" s="334" t="str">
        <x:v>BF16</x:v>
      </x:c>
      <x:c r="C50" s="334" t="str">
        <x:v>BF16</x:v>
      </x:c>
      <x:c r="D50" s="157" t="str">
        <x:v>fa_gmma_dynamic</x:v>
      </x:c>
      <x:c r="E50" s="157" t="str">
        <x:v>BF16_VECBF16</x:v>
      </x:c>
      <x:c r="F50" s="210" t="b">
        <x:v>1</x:v>
      </x:c>
      <x:c r="G50" s="157" t="n">
        <x:v>128</x:v>
      </x:c>
      <x:c r="H50" s="157" t="n">
        <x:v>8192</x:v>
      </x:c>
      <x:c r="I50" s="157" t="n">
        <x:v>128</x:v>
      </x:c>
      <x:c r="J50" s="157" t="n">
        <x:v>128</x:v>
      </x:c>
      <x:c r="K50" s="157" t="n">
        <x:v>128</x:v>
      </x:c>
      <x:c r="L50" s="157" t="n">
        <x:v>128</x:v>
      </x:c>
      <x:c r="M50" s="204" t="n">
        <x:v>64</x:v>
      </x:c>
      <x:c r="N50" s="204" t="n">
        <x:v>32</x:v>
      </x:c>
      <x:c r="O50" s="213"/>
      <x:c r="P50" s="157" t="n">
        <x:v>16</x:v>
      </x:c>
      <x:c r="Q50" s="216" t="str">
        <x:f>IF(O50="","",G50*H50*I50*2/(16*16*P50*O50))</x:f>
      </x:c>
      <x:c r="R50" s="370"/>
      <x:c r="S50" s="216"/>
      <x:c r="T50" s="270" t="str">
        <x:v>COMPILE_FAIL</x:v>
      </x:c>
      <x:c r="U50" s="158" t="str">
        <x:v>编译失败：FP32 O accumulator 未转换为 BF16，TSTORE_CUBE dtype 不匹配</x:v>
      </x:c>
      <x:c r="W50" s="411" t="str">
        <x:v>COMPILE_FAIL (rechecked)</x:v>
      </x:c>
    </x:row>
    <x:row r="51" ht="20" customHeight="1">
      <x:c r="A51" s="156" t="str">
        <x:v>FA GMMA</x:v>
      </x:c>
      <x:c r="B51" s="334" t="str">
        <x:v>BF16</x:v>
      </x:c>
      <x:c r="C51" s="334" t="str">
        <x:v>BF16</x:v>
      </x:c>
      <x:c r="D51" s="157" t="str">
        <x:v>fa_2d_unroll_gmma</x:v>
      </x:c>
      <x:c r="E51" s="157" t="str">
        <x:v>BF16_VECBF16</x:v>
      </x:c>
      <x:c r="F51" s="210" t="b">
        <x:v>0</x:v>
      </x:c>
      <x:c r="G51" s="157" t="n">
        <x:v>128</x:v>
      </x:c>
      <x:c r="H51" s="157" t="n">
        <x:v>8192</x:v>
      </x:c>
      <x:c r="I51" s="157" t="n">
        <x:v>128</x:v>
      </x:c>
      <x:c r="J51" s="157" t="n">
        <x:v>128</x:v>
      </x:c>
      <x:c r="K51" s="157" t="n">
        <x:v>128</x:v>
      </x:c>
      <x:c r="L51" s="157" t="n">
        <x:v>256</x:v>
      </x:c>
      <x:c r="M51" s="204" t="n">
        <x:v>96</x:v>
      </x:c>
      <x:c r="N51" s="204" t="n">
        <x:v>64</x:v>
      </x:c>
      <x:c r="O51" s="213" t="n">
        <x:v>71980</x:v>
      </x:c>
      <x:c r="P51" s="157" t="n">
        <x:v>16</x:v>
      </x:c>
      <x:c r="Q51" s="216" t="n">
        <x:f>IF(O51="","",G51*H51*I51*2/(16*16*P51*O51))</x:f>
        <x:v>0.9104751319811059</x:v>
      </x:c>
      <x:c r="R51" s="370"/>
      <x:c r="S51" s="216" t="n">
        <x:v>0.23579119199777715</x:v>
      </x:c>
      <x:c r="T51" s="275" t="str">
        <x:v>PASS</x:v>
      </x:c>
      <x:c r="U51" s="158" t="str">
        <x:v>完成</x:v>
      </x:c>
      <x:c r="W51" s="409"/>
    </x:row>
    <x:row r="52" ht="20" customHeight="1">
      <x:c r="A52" s="156" t="str">
        <x:v>FA K-chain</x:v>
      </x:c>
      <x:c r="B52" s="334" t="str">
        <x:v>BF16</x:v>
      </x:c>
      <x:c r="C52" s="334" t="str">
        <x:v>BF16</x:v>
      </x:c>
      <x:c r="D52" s="157" t="str">
        <x:v>fa_gmma_kchains</x:v>
      </x:c>
      <x:c r="E52" s="157" t="str">
        <x:v>BF16_VECBF16</x:v>
      </x:c>
      <x:c r="F52" s="210" t="b">
        <x:v>0</x:v>
      </x:c>
      <x:c r="G52" s="157" t="n">
        <x:v>128</x:v>
      </x:c>
      <x:c r="H52" s="157" t="n">
        <x:v>8192</x:v>
      </x:c>
      <x:c r="I52" s="157" t="n">
        <x:v>128</x:v>
      </x:c>
      <x:c r="J52" s="157" t="n">
        <x:v>128</x:v>
      </x:c>
      <x:c r="K52" s="157" t="n">
        <x:v>128</x:v>
      </x:c>
      <x:c r="L52" s="157" t="n">
        <x:v>256</x:v>
      </x:c>
      <x:c r="M52" s="204" t="n">
        <x:v>96</x:v>
      </x:c>
      <x:c r="N52" s="204" t="n">
        <x:v>64</x:v>
      </x:c>
      <x:c r="O52" s="213" t="n">
        <x:v>69627</x:v>
      </x:c>
      <x:c r="P52" s="157" t="n">
        <x:v>16</x:v>
      </x:c>
      <x:c r="Q52" s="216" t="n">
        <x:f>IF(O52="","",G52*H52*I52*2/(16*16*P52*O52))</x:f>
        <x:v>0.941244057621325</x:v>
      </x:c>
      <x:c r="R52" s="370"/>
      <x:c r="S52" s="216" t="n">
        <x:v>0.23077613569448632</x:v>
      </x:c>
      <x:c r="T52" s="275" t="str">
        <x:v>PASS</x:v>
      </x:c>
      <x:c r="U52" s="158" t="str">
        <x:v>完成</x:v>
      </x:c>
      <x:c r="W52" s="409"/>
    </x:row>
    <x:row r="53" ht="20" customHeight="1">
      <x:c r="A53" s="156" t="str">
        <x:v>FA Dynamic</x:v>
      </x:c>
      <x:c r="B53" s="334" t="str">
        <x:v>BF16</x:v>
      </x:c>
      <x:c r="C53" s="334" t="str">
        <x:v>BF16</x:v>
      </x:c>
      <x:c r="D53" s="157" t="str">
        <x:v>fa_gmma_dynamic</x:v>
      </x:c>
      <x:c r="E53" s="157" t="str">
        <x:v>BF16_VECBF16</x:v>
      </x:c>
      <x:c r="F53" s="210" t="b">
        <x:v>1</x:v>
      </x:c>
      <x:c r="G53" s="157" t="n">
        <x:v>128</x:v>
      </x:c>
      <x:c r="H53" s="157" t="n">
        <x:v>8192</x:v>
      </x:c>
      <x:c r="I53" s="157" t="n">
        <x:v>128</x:v>
      </x:c>
      <x:c r="J53" s="157" t="n">
        <x:v>128</x:v>
      </x:c>
      <x:c r="K53" s="157" t="n">
        <x:v>128</x:v>
      </x:c>
      <x:c r="L53" s="157" t="n">
        <x:v>256</x:v>
      </x:c>
      <x:c r="M53" s="204" t="n">
        <x:v>96</x:v>
      </x:c>
      <x:c r="N53" s="204" t="n">
        <x:v>64</x:v>
      </x:c>
      <x:c r="O53" s="213"/>
      <x:c r="P53" s="157" t="n">
        <x:v>16</x:v>
      </x:c>
      <x:c r="Q53" s="216" t="str">
        <x:f>IF(O53="","",G53*H53*I53*2/(16*16*P53*O53))</x:f>
      </x:c>
      <x:c r="R53" s="370"/>
      <x:c r="S53" s="216"/>
      <x:c r="T53" s="270" t="str">
        <x:v>COMPILE_FAIL</x:v>
      </x:c>
      <x:c r="U53" s="158" t="str">
        <x:v>编译失败：FP32 O accumulator 未转换为 BF16，TSTORE_CUBE dtype 不匹配</x:v>
      </x:c>
      <x:c r="W53" s="411" t="str">
        <x:v>COMPILE_FAIL (rechecked)</x:v>
      </x:c>
    </x:row>
    <x:row r="54" ht="20" customHeight="1">
      <x:c r="A54" s="156" t="str">
        <x:v>FA GMMA</x:v>
      </x:c>
      <x:c r="B54" s="340" t="str">
        <x:v>FP8</x:v>
      </x:c>
      <x:c r="C54" s="340" t="str">
        <x:v>FP32</x:v>
      </x:c>
      <x:c r="D54" s="157" t="str">
        <x:v>fa_2d_unroll_gmma</x:v>
      </x:c>
      <x:c r="E54" s="157" t="str">
        <x:v>FP8_VECFP32</x:v>
      </x:c>
      <x:c r="F54" s="210" t="b">
        <x:v>0</x:v>
      </x:c>
      <x:c r="G54" s="157" t="n">
        <x:v>128</x:v>
      </x:c>
      <x:c r="H54" s="157" t="n">
        <x:v>8192</x:v>
      </x:c>
      <x:c r="I54" s="157" t="n">
        <x:v>128</x:v>
      </x:c>
      <x:c r="J54" s="157" t="n">
        <x:v>128</x:v>
      </x:c>
      <x:c r="K54" s="157" t="n">
        <x:v>128</x:v>
      </x:c>
      <x:c r="L54" s="157" t="n">
        <x:v>32</x:v>
      </x:c>
      <x:c r="M54" s="204" t="n">
        <x:v>20</x:v>
      </x:c>
      <x:c r="N54" s="204" t="n">
        <x:v>4</x:v>
      </x:c>
      <x:c r="O54" s="213" t="n">
        <x:v>112227</x:v>
      </x:c>
      <x:c r="P54" s="157" t="n">
        <x:v>32</x:v>
      </x:c>
      <x:c r="Q54" s="216" t="n">
        <x:f>IF(O54="","",G54*H54*I54*2/(16*16*P54*O54))</x:f>
        <x:v>0.2919796483912071</x:v>
      </x:c>
      <x:c r="R54" s="370"/>
      <x:c r="S54" s="216" t="n">
        <x:v>0.246357828330081</x:v>
      </x:c>
      <x:c r="T54" s="275" t="str">
        <x:v>PASS</x:v>
      </x:c>
      <x:c r="U54" s="158" t="str">
        <x:v>完成</x:v>
      </x:c>
      <x:c r="W54" s="409"/>
    </x:row>
    <x:row r="55" ht="20" customHeight="1">
      <x:c r="A55" s="156" t="str">
        <x:v>FA K-chain</x:v>
      </x:c>
      <x:c r="B55" s="340" t="str">
        <x:v>FP8</x:v>
      </x:c>
      <x:c r="C55" s="340" t="str">
        <x:v>FP32</x:v>
      </x:c>
      <x:c r="D55" s="157" t="str">
        <x:v>fa_gmma_kchains</x:v>
      </x:c>
      <x:c r="E55" s="157" t="str">
        <x:v>FP8_VECFP32</x:v>
      </x:c>
      <x:c r="F55" s="210" t="b">
        <x:v>0</x:v>
      </x:c>
      <x:c r="G55" s="157" t="n">
        <x:v>128</x:v>
      </x:c>
      <x:c r="H55" s="157" t="n">
        <x:v>8192</x:v>
      </x:c>
      <x:c r="I55" s="157" t="n">
        <x:v>128</x:v>
      </x:c>
      <x:c r="J55" s="157" t="n">
        <x:v>128</x:v>
      </x:c>
      <x:c r="K55" s="157" t="n">
        <x:v>128</x:v>
      </x:c>
      <x:c r="L55" s="157" t="n">
        <x:v>32</x:v>
      </x:c>
      <x:c r="M55" s="204" t="n">
        <x:v>20</x:v>
      </x:c>
      <x:c r="N55" s="204" t="n">
        <x:v>4</x:v>
      </x:c>
      <x:c r="O55" s="213" t="n">
        <x:v>153095</x:v>
      </x:c>
      <x:c r="P55" s="157" t="n">
        <x:v>32</x:v>
      </x:c>
      <x:c r="Q55" s="216" t="n">
        <x:f>IF(O55="","",G55*H55*I55*2/(16*16*P55*O55))</x:f>
        <x:v>0.21403703582742742</x:v>
      </x:c>
      <x:c r="R55" s="370"/>
      <x:c r="S55" s="216" t="n">
        <x:v>0.22827656030569254</x:v>
      </x:c>
      <x:c r="T55" s="275" t="str">
        <x:v>PASS</x:v>
      </x:c>
      <x:c r="U55" s="158" t="str">
        <x:v>完成</x:v>
      </x:c>
      <x:c r="W55" s="409"/>
    </x:row>
    <x:row r="56" ht="20" customHeight="1">
      <x:c r="A56" s="156" t="str">
        <x:v>FA Dynamic</x:v>
      </x:c>
      <x:c r="B56" s="340" t="str">
        <x:v>FP8</x:v>
      </x:c>
      <x:c r="C56" s="340" t="str">
        <x:v>FP32</x:v>
      </x:c>
      <x:c r="D56" s="157" t="str">
        <x:v>fa_gmma_dynamic</x:v>
      </x:c>
      <x:c r="E56" s="157" t="str">
        <x:v>FP8_VECFP32</x:v>
      </x:c>
      <x:c r="F56" s="210" t="b">
        <x:v>1</x:v>
      </x:c>
      <x:c r="G56" s="157" t="n">
        <x:v>128</x:v>
      </x:c>
      <x:c r="H56" s="157" t="n">
        <x:v>8192</x:v>
      </x:c>
      <x:c r="I56" s="157" t="n">
        <x:v>128</x:v>
      </x:c>
      <x:c r="J56" s="157" t="n">
        <x:v>128</x:v>
      </x:c>
      <x:c r="K56" s="157" t="n">
        <x:v>128</x:v>
      </x:c>
      <x:c r="L56" s="157" t="n">
        <x:v>32</x:v>
      </x:c>
      <x:c r="M56" s="204" t="n">
        <x:v>20</x:v>
      </x:c>
      <x:c r="N56" s="204" t="n">
        <x:v>4</x:v>
      </x:c>
      <x:c r="O56" s="213"/>
      <x:c r="P56" s="157" t="n">
        <x:v>32</x:v>
      </x:c>
      <x:c r="Q56" s="216" t="str">
        <x:f>IF(O56="","",G56*H56*I56*2/(16*16*P56*O56))</x:f>
      </x:c>
      <x:c r="R56" s="370"/>
      <x:c r="S56" s="216"/>
      <x:c r="T56" s="270" t="str">
        <x:v>DEADLOCK</x:v>
      </x:c>
      <x:c r="U56" s="158" t="str">
        <x:v>FA_TRACE_ONLY=1；gfsim 无新 block commit，触发 deadlock watchdog</x:v>
      </x:c>
      <x:c r="W56" s="410" t="str">
        <x:v>DEADLOCK (rechecked)</x:v>
      </x:c>
    </x:row>
    <x:row r="57" ht="20" customHeight="1">
      <x:c r="A57" s="156" t="str">
        <x:v>FA GMMA</x:v>
      </x:c>
      <x:c r="B57" s="340" t="str">
        <x:v>FP8</x:v>
      </x:c>
      <x:c r="C57" s="340" t="str">
        <x:v>FP32</x:v>
      </x:c>
      <x:c r="D57" s="157" t="str">
        <x:v>fa_2d_unroll_gmma</x:v>
      </x:c>
      <x:c r="E57" s="157" t="str">
        <x:v>FP8_VECFP32</x:v>
      </x:c>
      <x:c r="F57" s="210" t="b">
        <x:v>0</x:v>
      </x:c>
      <x:c r="G57" s="157" t="n">
        <x:v>128</x:v>
      </x:c>
      <x:c r="H57" s="157" t="n">
        <x:v>8192</x:v>
      </x:c>
      <x:c r="I57" s="157" t="n">
        <x:v>128</x:v>
      </x:c>
      <x:c r="J57" s="157" t="n">
        <x:v>128</x:v>
      </x:c>
      <x:c r="K57" s="157" t="n">
        <x:v>128</x:v>
      </x:c>
      <x:c r="L57" s="157" t="n">
        <x:v>64</x:v>
      </x:c>
      <x:c r="M57" s="204" t="n">
        <x:v>24</x:v>
      </x:c>
      <x:c r="N57" s="204" t="n">
        <x:v>8</x:v>
      </x:c>
      <x:c r="O57" s="213" t="n">
        <x:v>57166</x:v>
      </x:c>
      <x:c r="P57" s="157" t="n">
        <x:v>32</x:v>
      </x:c>
      <x:c r="Q57" s="216" t="n">
        <x:f>IF(O57="","",G57*H57*I57*2/(16*16*P57*O57))</x:f>
        <x:v>0.5732078508204177</x:v>
      </x:c>
      <x:c r="R57" s="370"/>
      <x:c r="S57" s="216" t="n">
        <x:v>0.24349700871147184</x:v>
      </x:c>
      <x:c r="T57" s="275" t="str">
        <x:v>PASS</x:v>
      </x:c>
      <x:c r="U57" s="158" t="str">
        <x:v>完成</x:v>
      </x:c>
      <x:c r="W57" s="409"/>
    </x:row>
    <x:row r="58" ht="20" customHeight="1">
      <x:c r="A58" s="156" t="str">
        <x:v>FA K-chain</x:v>
      </x:c>
      <x:c r="B58" s="340" t="str">
        <x:v>FP8</x:v>
      </x:c>
      <x:c r="C58" s="340" t="str">
        <x:v>FP32</x:v>
      </x:c>
      <x:c r="D58" s="157" t="str">
        <x:v>fa_gmma_kchains</x:v>
      </x:c>
      <x:c r="E58" s="157" t="str">
        <x:v>FP8_VECFP32</x:v>
      </x:c>
      <x:c r="F58" s="210" t="b">
        <x:v>0</x:v>
      </x:c>
      <x:c r="G58" s="157" t="n">
        <x:v>128</x:v>
      </x:c>
      <x:c r="H58" s="157" t="n">
        <x:v>8192</x:v>
      </x:c>
      <x:c r="I58" s="157" t="n">
        <x:v>128</x:v>
      </x:c>
      <x:c r="J58" s="157" t="n">
        <x:v>128</x:v>
      </x:c>
      <x:c r="K58" s="157" t="n">
        <x:v>128</x:v>
      </x:c>
      <x:c r="L58" s="157" t="n">
        <x:v>64</x:v>
      </x:c>
      <x:c r="M58" s="204" t="n">
        <x:v>24</x:v>
      </x:c>
      <x:c r="N58" s="204" t="n">
        <x:v>8</x:v>
      </x:c>
      <x:c r="O58" s="213" t="n">
        <x:v>77831</x:v>
      </x:c>
      <x:c r="P58" s="157" t="n">
        <x:v>32</x:v>
      </x:c>
      <x:c r="Q58" s="216" t="n">
        <x:f>IF(O58="","",G58*H58*I58*2/(16*16*P58*O58))</x:f>
        <x:v>0.4210147627552004</x:v>
      </x:c>
      <x:c r="R58" s="370"/>
      <x:c r="S58" s="216" t="n">
        <x:v>0.23675977438295795</x:v>
      </x:c>
      <x:c r="T58" s="275" t="str">
        <x:v>PASS</x:v>
      </x:c>
      <x:c r="U58" s="158" t="str">
        <x:v>完成</x:v>
      </x:c>
      <x:c r="W58" s="409"/>
    </x:row>
    <x:row r="59" ht="20" customHeight="1">
      <x:c r="A59" s="156" t="str">
        <x:v>FA Dynamic</x:v>
      </x:c>
      <x:c r="B59" s="340" t="str">
        <x:v>FP8</x:v>
      </x:c>
      <x:c r="C59" s="340" t="str">
        <x:v>FP32</x:v>
      </x:c>
      <x:c r="D59" s="157" t="str">
        <x:v>fa_gmma_dynamic</x:v>
      </x:c>
      <x:c r="E59" s="157" t="str">
        <x:v>FP8_VECFP32</x:v>
      </x:c>
      <x:c r="F59" s="210" t="b">
        <x:v>1</x:v>
      </x:c>
      <x:c r="G59" s="157" t="n">
        <x:v>128</x:v>
      </x:c>
      <x:c r="H59" s="157" t="n">
        <x:v>8192</x:v>
      </x:c>
      <x:c r="I59" s="157" t="n">
        <x:v>128</x:v>
      </x:c>
      <x:c r="J59" s="157" t="n">
        <x:v>128</x:v>
      </x:c>
      <x:c r="K59" s="157" t="n">
        <x:v>128</x:v>
      </x:c>
      <x:c r="L59" s="157" t="n">
        <x:v>64</x:v>
      </x:c>
      <x:c r="M59" s="204" t="n">
        <x:v>24</x:v>
      </x:c>
      <x:c r="N59" s="204" t="n">
        <x:v>8</x:v>
      </x:c>
      <x:c r="O59" s="213"/>
      <x:c r="P59" s="157" t="n">
        <x:v>32</x:v>
      </x:c>
      <x:c r="Q59" s="216" t="str">
        <x:f>IF(O59="","",G59*H59*I59*2/(16*16*P59*O59))</x:f>
      </x:c>
      <x:c r="R59" s="370"/>
      <x:c r="S59" s="216"/>
      <x:c r="T59" s="270" t="str">
        <x:v>DEADLOCK</x:v>
      </x:c>
      <x:c r="U59" s="158" t="str">
        <x:v>FA_TRACE_ONLY=1；gfsim 无新 block commit，触发 deadlock watchdog</x:v>
      </x:c>
      <x:c r="W59" s="410" t="str">
        <x:v>DEADLOCK (rechecked)</x:v>
      </x:c>
    </x:row>
    <x:row r="60" ht="20" customHeight="1">
      <x:c r="A60" s="156" t="str">
        <x:v>FA GMMA</x:v>
      </x:c>
      <x:c r="B60" s="340" t="str">
        <x:v>FP8</x:v>
      </x:c>
      <x:c r="C60" s="340" t="str">
        <x:v>FP32</x:v>
      </x:c>
      <x:c r="D60" s="157" t="str">
        <x:v>fa_2d_unroll_gmma</x:v>
      </x:c>
      <x:c r="E60" s="157" t="str">
        <x:v>FP8_VECFP32</x:v>
      </x:c>
      <x:c r="F60" s="210" t="b">
        <x:v>0</x:v>
      </x:c>
      <x:c r="G60" s="157" t="n">
        <x:v>128</x:v>
      </x:c>
      <x:c r="H60" s="157" t="n">
        <x:v>8192</x:v>
      </x:c>
      <x:c r="I60" s="157" t="n">
        <x:v>128</x:v>
      </x:c>
      <x:c r="J60" s="157" t="n">
        <x:v>128</x:v>
      </x:c>
      <x:c r="K60" s="157" t="n">
        <x:v>128</x:v>
      </x:c>
      <x:c r="L60" s="386" t="n">
        <x:v>128</x:v>
      </x:c>
      <x:c r="M60" s="204" t="n">
        <x:v>32</x:v>
      </x:c>
      <x:c r="N60" s="204" t="n">
        <x:v>16</x:v>
      </x:c>
      <x:c r="O60" s="213" t="n">
        <x:v>43505</x:v>
      </x:c>
      <x:c r="P60" s="157" t="n">
        <x:v>32</x:v>
      </x:c>
      <x:c r="Q60" s="387" t="n">
        <x:f>IF(O60="","",G60*H60*I60*2/(16*16*P60*O60))</x:f>
        <x:v>0.7532007815193655</x:v>
      </x:c>
      <x:c r="R60" s="375" t="str">
        <x:v>★ Tk=128</x:v>
      </x:c>
      <x:c r="S60" s="216" t="n">
        <x:v>0.23799563268589818</x:v>
      </x:c>
      <x:c r="T60" s="275" t="str">
        <x:v>PASS</x:v>
      </x:c>
      <x:c r="U60" s="158" t="str">
        <x:v>完成</x:v>
      </x:c>
      <x:c r="W60" s="409"/>
    </x:row>
    <x:row r="61" ht="20" customHeight="1">
      <x:c r="A61" s="156" t="str">
        <x:v>FA K-chain</x:v>
      </x:c>
      <x:c r="B61" s="340" t="str">
        <x:v>FP8</x:v>
      </x:c>
      <x:c r="C61" s="340" t="str">
        <x:v>FP32</x:v>
      </x:c>
      <x:c r="D61" s="157" t="str">
        <x:v>fa_gmma_kchains</x:v>
      </x:c>
      <x:c r="E61" s="157" t="str">
        <x:v>FP8_VECFP32</x:v>
      </x:c>
      <x:c r="F61" s="210" t="b">
        <x:v>0</x:v>
      </x:c>
      <x:c r="G61" s="157" t="n">
        <x:v>128</x:v>
      </x:c>
      <x:c r="H61" s="157" t="n">
        <x:v>8192</x:v>
      </x:c>
      <x:c r="I61" s="157" t="n">
        <x:v>128</x:v>
      </x:c>
      <x:c r="J61" s="157" t="n">
        <x:v>128</x:v>
      </x:c>
      <x:c r="K61" s="157" t="n">
        <x:v>128</x:v>
      </x:c>
      <x:c r="L61" s="386" t="n">
        <x:v>128</x:v>
      </x:c>
      <x:c r="M61" s="204" t="n">
        <x:v>32</x:v>
      </x:c>
      <x:c r="N61" s="204" t="n">
        <x:v>16</x:v>
      </x:c>
      <x:c r="O61" s="213" t="n">
        <x:v>41641</x:v>
      </x:c>
      <x:c r="P61" s="157" t="n">
        <x:v>32</x:v>
      </x:c>
      <x:c r="Q61" s="387" t="n">
        <x:f>IF(O61="","",G61*H61*I61*2/(16*16*P61*O61))</x:f>
        <x:v>0.7869167407122788</x:v>
      </x:c>
      <x:c r="R61" s="375" t="str">
        <x:v>★ Tk=128</x:v>
      </x:c>
      <x:c r="S61" s="216" t="n">
        <x:v>0.23631757162412045</x:v>
      </x:c>
      <x:c r="T61" s="275" t="str">
        <x:v>PASS</x:v>
      </x:c>
      <x:c r="U61" s="158" t="str">
        <x:v>完成</x:v>
      </x:c>
      <x:c r="W61" s="409"/>
    </x:row>
    <x:row r="62" ht="20" customHeight="1">
      <x:c r="A62" s="156" t="str">
        <x:v>FA Dynamic</x:v>
      </x:c>
      <x:c r="B62" s="340" t="str">
        <x:v>FP8</x:v>
      </x:c>
      <x:c r="C62" s="340" t="str">
        <x:v>FP32</x:v>
      </x:c>
      <x:c r="D62" s="157" t="str">
        <x:v>fa_gmma_dynamic</x:v>
      </x:c>
      <x:c r="E62" s="157" t="str">
        <x:v>FP8_VECFP32</x:v>
      </x:c>
      <x:c r="F62" s="210" t="b">
        <x:v>1</x:v>
      </x:c>
      <x:c r="G62" s="157" t="n">
        <x:v>128</x:v>
      </x:c>
      <x:c r="H62" s="157" t="n">
        <x:v>8192</x:v>
      </x:c>
      <x:c r="I62" s="157" t="n">
        <x:v>128</x:v>
      </x:c>
      <x:c r="J62" s="157" t="n">
        <x:v>128</x:v>
      </x:c>
      <x:c r="K62" s="157" t="n">
        <x:v>128</x:v>
      </x:c>
      <x:c r="L62" s="157" t="n">
        <x:v>128</x:v>
      </x:c>
      <x:c r="M62" s="204" t="n">
        <x:v>32</x:v>
      </x:c>
      <x:c r="N62" s="204" t="n">
        <x:v>16</x:v>
      </x:c>
      <x:c r="O62" s="213"/>
      <x:c r="P62" s="157" t="n">
        <x:v>32</x:v>
      </x:c>
      <x:c r="Q62" s="216" t="str">
        <x:f>IF(O62="","",G62*H62*I62*2/(16*16*P62*O62))</x:f>
      </x:c>
      <x:c r="R62" s="370"/>
      <x:c r="S62" s="216"/>
      <x:c r="T62" s="270" t="str">
        <x:v>DEADLOCK</x:v>
      </x:c>
      <x:c r="U62" s="158" t="str">
        <x:v>FA_TRACE_ONLY=1；gfsim 无新 block commit，触发 deadlock watchdog</x:v>
      </x:c>
      <x:c r="W62" s="410" t="str">
        <x:v>DEADLOCK (rechecked)</x:v>
      </x:c>
    </x:row>
    <x:row r="63" ht="20" customHeight="1">
      <x:c r="A63" s="156" t="str">
        <x:v>FA GMMA</x:v>
      </x:c>
      <x:c r="B63" s="340" t="str">
        <x:v>FP8</x:v>
      </x:c>
      <x:c r="C63" s="340" t="str">
        <x:v>FP32</x:v>
      </x:c>
      <x:c r="D63" s="157" t="str">
        <x:v>fa_2d_unroll_gmma</x:v>
      </x:c>
      <x:c r="E63" s="157" t="str">
        <x:v>FP8_VECFP32</x:v>
      </x:c>
      <x:c r="F63" s="210" t="b">
        <x:v>0</x:v>
      </x:c>
      <x:c r="G63" s="157" t="n">
        <x:v>128</x:v>
      </x:c>
      <x:c r="H63" s="157" t="n">
        <x:v>8192</x:v>
      </x:c>
      <x:c r="I63" s="157" t="n">
        <x:v>128</x:v>
      </x:c>
      <x:c r="J63" s="157" t="n">
        <x:v>128</x:v>
      </x:c>
      <x:c r="K63" s="157" t="n">
        <x:v>128</x:v>
      </x:c>
      <x:c r="L63" s="157" t="n">
        <x:v>256</x:v>
      </x:c>
      <x:c r="M63" s="204" t="n">
        <x:v>48</x:v>
      </x:c>
      <x:c r="N63" s="204" t="n">
        <x:v>32</x:v>
      </x:c>
      <x:c r="O63" s="213" t="n">
        <x:v>46093</x:v>
      </x:c>
      <x:c r="P63" s="157" t="n">
        <x:v>32</x:v>
      </x:c>
      <x:c r="Q63" s="216" t="n">
        <x:f>IF(O63="","",G63*H63*I63*2/(16*16*P63*O63))</x:f>
        <x:v>0.7109105504089558</x:v>
      </x:c>
      <x:c r="R63" s="370"/>
      <x:c r="S63" s="216" t="n">
        <x:v>0.21005901112967262</x:v>
      </x:c>
      <x:c r="T63" s="275" t="str">
        <x:v>PASS</x:v>
      </x:c>
      <x:c r="U63" s="158" t="str">
        <x:v>完成</x:v>
      </x:c>
      <x:c r="W63" s="409"/>
    </x:row>
    <x:row r="64" ht="20" customHeight="1">
      <x:c r="A64" s="156" t="str">
        <x:v>FA K-chain</x:v>
      </x:c>
      <x:c r="B64" s="340" t="str">
        <x:v>FP8</x:v>
      </x:c>
      <x:c r="C64" s="340" t="str">
        <x:v>FP32</x:v>
      </x:c>
      <x:c r="D64" s="157" t="str">
        <x:v>fa_gmma_kchains</x:v>
      </x:c>
      <x:c r="E64" s="157" t="str">
        <x:v>FP8_VECFP32</x:v>
      </x:c>
      <x:c r="F64" s="210" t="b">
        <x:v>0</x:v>
      </x:c>
      <x:c r="G64" s="157" t="n">
        <x:v>128</x:v>
      </x:c>
      <x:c r="H64" s="157" t="n">
        <x:v>8192</x:v>
      </x:c>
      <x:c r="I64" s="157" t="n">
        <x:v>128</x:v>
      </x:c>
      <x:c r="J64" s="157" t="n">
        <x:v>128</x:v>
      </x:c>
      <x:c r="K64" s="157" t="n">
        <x:v>128</x:v>
      </x:c>
      <x:c r="L64" s="157" t="n">
        <x:v>256</x:v>
      </x:c>
      <x:c r="M64" s="204" t="n">
        <x:v>48</x:v>
      </x:c>
      <x:c r="N64" s="204" t="n">
        <x:v>32</x:v>
      </x:c>
      <x:c r="O64" s="213" t="n">
        <x:v>42622</x:v>
      </x:c>
      <x:c r="P64" s="157" t="n">
        <x:v>32</x:v>
      </x:c>
      <x:c r="Q64" s="216" t="n">
        <x:f>IF(O64="","",G64*H64*I64*2/(16*16*P64*O64))</x:f>
        <x:v>0.768804842569565</x:v>
      </x:c>
      <x:c r="R64" s="370"/>
      <x:c r="S64" s="216" t="n">
        <x:v>0.22721833794753882</x:v>
      </x:c>
      <x:c r="T64" s="275" t="str">
        <x:v>PASS</x:v>
      </x:c>
      <x:c r="U64" s="158" t="str">
        <x:v>完成</x:v>
      </x:c>
      <x:c r="W64" s="409"/>
    </x:row>
    <x:row r="65" ht="20" customHeight="1">
      <x:c r="A65" s="156" t="str">
        <x:v>FA Dynamic</x:v>
      </x:c>
      <x:c r="B65" s="340" t="str">
        <x:v>FP8</x:v>
      </x:c>
      <x:c r="C65" s="340" t="str">
        <x:v>FP32</x:v>
      </x:c>
      <x:c r="D65" s="157" t="str">
        <x:v>fa_gmma_dynamic</x:v>
      </x:c>
      <x:c r="E65" s="157" t="str">
        <x:v>FP8_VECFP32</x:v>
      </x:c>
      <x:c r="F65" s="210" t="b">
        <x:v>1</x:v>
      </x:c>
      <x:c r="G65" s="157" t="n">
        <x:v>128</x:v>
      </x:c>
      <x:c r="H65" s="157" t="n">
        <x:v>8192</x:v>
      </x:c>
      <x:c r="I65" s="157" t="n">
        <x:v>128</x:v>
      </x:c>
      <x:c r="J65" s="157" t="n">
        <x:v>128</x:v>
      </x:c>
      <x:c r="K65" s="157" t="n">
        <x:v>128</x:v>
      </x:c>
      <x:c r="L65" s="157" t="n">
        <x:v>256</x:v>
      </x:c>
      <x:c r="M65" s="204" t="n">
        <x:v>48</x:v>
      </x:c>
      <x:c r="N65" s="204" t="n">
        <x:v>32</x:v>
      </x:c>
      <x:c r="O65" s="213"/>
      <x:c r="P65" s="157" t="n">
        <x:v>32</x:v>
      </x:c>
      <x:c r="Q65" s="216" t="str">
        <x:f>IF(O65="","",G65*H65*I65*2/(16*16*P65*O65))</x:f>
      </x:c>
      <x:c r="R65" s="370"/>
      <x:c r="S65" s="216"/>
      <x:c r="T65" s="270" t="str">
        <x:v>DEADLOCK</x:v>
      </x:c>
      <x:c r="U65" s="158" t="str">
        <x:v>FA_TRACE_ONLY=1；gfsim 无新 block commit，触发 deadlock watchdog</x:v>
      </x:c>
      <x:c r="W65" s="410" t="str">
        <x:v>DEADLOCK (rechecked)</x:v>
      </x:c>
    </x:row>
    <x:row r="66" ht="20" customHeight="1">
      <x:c r="A66" s="156" t="str">
        <x:v>FA GMMA</x:v>
      </x:c>
      <x:c r="B66" s="346" t="str">
        <x:v>FP8</x:v>
      </x:c>
      <x:c r="C66" s="346" t="str">
        <x:v>BF16</x:v>
      </x:c>
      <x:c r="D66" s="157" t="str">
        <x:v>fa_2d_unroll_gmma</x:v>
      </x:c>
      <x:c r="E66" s="157" t="str">
        <x:v>FP8_VECBF16</x:v>
      </x:c>
      <x:c r="F66" s="210" t="b">
        <x:v>0</x:v>
      </x:c>
      <x:c r="G66" s="157" t="n">
        <x:v>128</x:v>
      </x:c>
      <x:c r="H66" s="157" t="n">
        <x:v>8192</x:v>
      </x:c>
      <x:c r="I66" s="157" t="n">
        <x:v>128</x:v>
      </x:c>
      <x:c r="J66" s="157" t="n">
        <x:v>128</x:v>
      </x:c>
      <x:c r="K66" s="157" t="n">
        <x:v>128</x:v>
      </x:c>
      <x:c r="L66" s="157" t="n">
        <x:v>32</x:v>
      </x:c>
      <x:c r="M66" s="204" t="n">
        <x:v>20</x:v>
      </x:c>
      <x:c r="N66" s="204" t="n">
        <x:v>4</x:v>
      </x:c>
      <x:c r="O66" s="213" t="n">
        <x:v>123590</x:v>
      </x:c>
      <x:c r="P66" s="157" t="n">
        <x:v>32</x:v>
      </x:c>
      <x:c r="Q66" s="216" t="n">
        <x:f>IF(O66="","",G66*H66*I66*2/(16*16*P66*O66))</x:f>
        <x:v>0.2651347196375111</x:v>
      </x:c>
      <x:c r="R66" s="370"/>
      <x:c r="S66" s="216" t="n">
        <x:v>0.24624767376001294</x:v>
      </x:c>
      <x:c r="T66" s="275" t="str">
        <x:v>PASS</x:v>
      </x:c>
      <x:c r="U66" s="158" t="str">
        <x:v>完成</x:v>
      </x:c>
      <x:c r="W66" s="409"/>
    </x:row>
    <x:row r="67" ht="20" customHeight="1">
      <x:c r="A67" s="156" t="str">
        <x:v>FA K-chain</x:v>
      </x:c>
      <x:c r="B67" s="346" t="str">
        <x:v>FP8</x:v>
      </x:c>
      <x:c r="C67" s="346" t="str">
        <x:v>BF16</x:v>
      </x:c>
      <x:c r="D67" s="157" t="str">
        <x:v>fa_gmma_kchains</x:v>
      </x:c>
      <x:c r="E67" s="157" t="str">
        <x:v>FP8_VECBF16</x:v>
      </x:c>
      <x:c r="F67" s="210" t="b">
        <x:v>0</x:v>
      </x:c>
      <x:c r="G67" s="157" t="n">
        <x:v>128</x:v>
      </x:c>
      <x:c r="H67" s="157" t="n">
        <x:v>8192</x:v>
      </x:c>
      <x:c r="I67" s="157" t="n">
        <x:v>128</x:v>
      </x:c>
      <x:c r="J67" s="157" t="n">
        <x:v>128</x:v>
      </x:c>
      <x:c r="K67" s="157" t="n">
        <x:v>128</x:v>
      </x:c>
      <x:c r="L67" s="157" t="n">
        <x:v>32</x:v>
      </x:c>
      <x:c r="M67" s="204" t="n">
        <x:v>20</x:v>
      </x:c>
      <x:c r="N67" s="204" t="n">
        <x:v>4</x:v>
      </x:c>
      <x:c r="O67" s="213" t="n">
        <x:v>159492</x:v>
      </x:c>
      <x:c r="P67" s="157" t="n">
        <x:v>32</x:v>
      </x:c>
      <x:c r="Q67" s="216" t="n">
        <x:f>IF(O67="","",G67*H67*I67*2/(16*16*P67*O67))</x:f>
        <x:v>0.20545231108770345</x:v>
      </x:c>
      <x:c r="R67" s="370"/>
      <x:c r="S67" s="216" t="n">
        <x:v>0.22827790735585485</x:v>
      </x:c>
      <x:c r="T67" s="275" t="str">
        <x:v>PASS</x:v>
      </x:c>
      <x:c r="U67" s="158" t="str">
        <x:v>完成</x:v>
      </x:c>
      <x:c r="W67" s="409"/>
    </x:row>
    <x:row r="68" ht="20" customHeight="1">
      <x:c r="A68" s="156" t="str">
        <x:v>FA Dynamic</x:v>
      </x:c>
      <x:c r="B68" s="346" t="str">
        <x:v>FP8</x:v>
      </x:c>
      <x:c r="C68" s="346" t="str">
        <x:v>BF16</x:v>
      </x:c>
      <x:c r="D68" s="157" t="str">
        <x:v>fa_gmma_dynamic</x:v>
      </x:c>
      <x:c r="E68" s="157" t="str">
        <x:v>FP8_VECBF16</x:v>
      </x:c>
      <x:c r="F68" s="210" t="b">
        <x:v>1</x:v>
      </x:c>
      <x:c r="G68" s="157" t="n">
        <x:v>128</x:v>
      </x:c>
      <x:c r="H68" s="157" t="n">
        <x:v>8192</x:v>
      </x:c>
      <x:c r="I68" s="157" t="n">
        <x:v>128</x:v>
      </x:c>
      <x:c r="J68" s="157" t="n">
        <x:v>128</x:v>
      </x:c>
      <x:c r="K68" s="157" t="n">
        <x:v>128</x:v>
      </x:c>
      <x:c r="L68" s="157" t="n">
        <x:v>32</x:v>
      </x:c>
      <x:c r="M68" s="204" t="n">
        <x:v>20</x:v>
      </x:c>
      <x:c r="N68" s="204" t="n">
        <x:v>4</x:v>
      </x:c>
      <x:c r="O68" s="213"/>
      <x:c r="P68" s="157" t="n">
        <x:v>32</x:v>
      </x:c>
      <x:c r="Q68" s="216" t="str">
        <x:f>IF(O68="","",G68*H68*I68*2/(16*16*P68*O68))</x:f>
      </x:c>
      <x:c r="R68" s="370"/>
      <x:c r="S68" s="216"/>
      <x:c r="T68" s="270" t="str">
        <x:v>COMPILE_FAIL</x:v>
      </x:c>
      <x:c r="U68" s="158" t="str">
        <x:v>编译失败：FP32 O accumulator 未转换为 BF16，TSTORE_CUBE dtype 不匹配</x:v>
      </x:c>
      <x:c r="W68" s="411" t="str">
        <x:v>COMPILE_FAIL (rechecked)</x:v>
      </x:c>
    </x:row>
    <x:row r="69" ht="20" customHeight="1">
      <x:c r="A69" s="156" t="str">
        <x:v>FA GMMA</x:v>
      </x:c>
      <x:c r="B69" s="346" t="str">
        <x:v>FP8</x:v>
      </x:c>
      <x:c r="C69" s="346" t="str">
        <x:v>BF16</x:v>
      </x:c>
      <x:c r="D69" s="157" t="str">
        <x:v>fa_2d_unroll_gmma</x:v>
      </x:c>
      <x:c r="E69" s="157" t="str">
        <x:v>FP8_VECBF16</x:v>
      </x:c>
      <x:c r="F69" s="210" t="b">
        <x:v>0</x:v>
      </x:c>
      <x:c r="G69" s="157" t="n">
        <x:v>128</x:v>
      </x:c>
      <x:c r="H69" s="157" t="n">
        <x:v>8192</x:v>
      </x:c>
      <x:c r="I69" s="157" t="n">
        <x:v>128</x:v>
      </x:c>
      <x:c r="J69" s="157" t="n">
        <x:v>128</x:v>
      </x:c>
      <x:c r="K69" s="157" t="n">
        <x:v>128</x:v>
      </x:c>
      <x:c r="L69" s="157" t="n">
        <x:v>64</x:v>
      </x:c>
      <x:c r="M69" s="204" t="n">
        <x:v>24</x:v>
      </x:c>
      <x:c r="N69" s="204" t="n">
        <x:v>8</x:v>
      </x:c>
      <x:c r="O69" s="213" t="n">
        <x:v>62706</x:v>
      </x:c>
      <x:c r="P69" s="157" t="n">
        <x:v>32</x:v>
      </x:c>
      <x:c r="Q69" s="216" t="n">
        <x:f>IF(O69="","",G69*H69*I69*2/(16*16*P69*O69))</x:f>
        <x:v>0.5225656237042707</x:v>
      </x:c>
      <x:c r="R69" s="370"/>
      <x:c r="S69" s="216" t="n">
        <x:v>0.24355324849296717</x:v>
      </x:c>
      <x:c r="T69" s="275" t="str">
        <x:v>PASS</x:v>
      </x:c>
      <x:c r="U69" s="158" t="str">
        <x:v>完成</x:v>
      </x:c>
      <x:c r="W69" s="409"/>
    </x:row>
    <x:row r="70" ht="20" customHeight="1">
      <x:c r="A70" s="156" t="str">
        <x:v>FA K-chain</x:v>
      </x:c>
      <x:c r="B70" s="346" t="str">
        <x:v>FP8</x:v>
      </x:c>
      <x:c r="C70" s="346" t="str">
        <x:v>BF16</x:v>
      </x:c>
      <x:c r="D70" s="157" t="str">
        <x:v>fa_gmma_kchains</x:v>
      </x:c>
      <x:c r="E70" s="157" t="str">
        <x:v>FP8_VECBF16</x:v>
      </x:c>
      <x:c r="F70" s="210" t="b">
        <x:v>0</x:v>
      </x:c>
      <x:c r="G70" s="157" t="n">
        <x:v>128</x:v>
      </x:c>
      <x:c r="H70" s="157" t="n">
        <x:v>8192</x:v>
      </x:c>
      <x:c r="I70" s="157" t="n">
        <x:v>128</x:v>
      </x:c>
      <x:c r="J70" s="157" t="n">
        <x:v>128</x:v>
      </x:c>
      <x:c r="K70" s="157" t="n">
        <x:v>128</x:v>
      </x:c>
      <x:c r="L70" s="157" t="n">
        <x:v>64</x:v>
      </x:c>
      <x:c r="M70" s="204" t="n">
        <x:v>24</x:v>
      </x:c>
      <x:c r="N70" s="204" t="n">
        <x:v>8</x:v>
      </x:c>
      <x:c r="O70" s="213" t="n">
        <x:v>80806</x:v>
      </x:c>
      <x:c r="P70" s="157" t="n">
        <x:v>32</x:v>
      </x:c>
      <x:c r="Q70" s="216" t="n">
        <x:f>IF(O70="","",G70*H70*I70*2/(16*16*P70*O70))</x:f>
        <x:v>0.4055144419968814</x:v>
      </x:c>
      <x:c r="R70" s="370"/>
      <x:c r="S70" s="216" t="n">
        <x:v>0.23754114793455933</x:v>
      </x:c>
      <x:c r="T70" s="275" t="str">
        <x:v>PASS</x:v>
      </x:c>
      <x:c r="U70" s="158" t="str">
        <x:v>完成</x:v>
      </x:c>
      <x:c r="W70" s="409"/>
    </x:row>
    <x:row r="71" ht="20" customHeight="1">
      <x:c r="A71" s="156" t="str">
        <x:v>FA Dynamic</x:v>
      </x:c>
      <x:c r="B71" s="346" t="str">
        <x:v>FP8</x:v>
      </x:c>
      <x:c r="C71" s="346" t="str">
        <x:v>BF16</x:v>
      </x:c>
      <x:c r="D71" s="157" t="str">
        <x:v>fa_gmma_dynamic</x:v>
      </x:c>
      <x:c r="E71" s="157" t="str">
        <x:v>FP8_VECBF16</x:v>
      </x:c>
      <x:c r="F71" s="210" t="b">
        <x:v>1</x:v>
      </x:c>
      <x:c r="G71" s="157" t="n">
        <x:v>128</x:v>
      </x:c>
      <x:c r="H71" s="157" t="n">
        <x:v>8192</x:v>
      </x:c>
      <x:c r="I71" s="157" t="n">
        <x:v>128</x:v>
      </x:c>
      <x:c r="J71" s="157" t="n">
        <x:v>128</x:v>
      </x:c>
      <x:c r="K71" s="157" t="n">
        <x:v>128</x:v>
      </x:c>
      <x:c r="L71" s="157" t="n">
        <x:v>64</x:v>
      </x:c>
      <x:c r="M71" s="204" t="n">
        <x:v>24</x:v>
      </x:c>
      <x:c r="N71" s="204" t="n">
        <x:v>8</x:v>
      </x:c>
      <x:c r="O71" s="213"/>
      <x:c r="P71" s="157" t="n">
        <x:v>32</x:v>
      </x:c>
      <x:c r="Q71" s="216" t="str">
        <x:f>IF(O71="","",G71*H71*I71*2/(16*16*P71*O71))</x:f>
      </x:c>
      <x:c r="R71" s="370"/>
      <x:c r="S71" s="216"/>
      <x:c r="T71" s="270" t="str">
        <x:v>COMPILE_FAIL</x:v>
      </x:c>
      <x:c r="U71" s="158" t="str">
        <x:v>编译失败：FP32 O accumulator 未转换为 BF16，TSTORE_CUBE dtype 不匹配</x:v>
      </x:c>
      <x:c r="W71" s="411" t="str">
        <x:v>COMPILE_FAIL (rechecked)</x:v>
      </x:c>
    </x:row>
    <x:row r="72" ht="20" customHeight="1">
      <x:c r="A72" s="156" t="str">
        <x:v>FA GMMA</x:v>
      </x:c>
      <x:c r="B72" s="346" t="str">
        <x:v>FP8</x:v>
      </x:c>
      <x:c r="C72" s="346" t="str">
        <x:v>BF16</x:v>
      </x:c>
      <x:c r="D72" s="157" t="str">
        <x:v>fa_2d_unroll_gmma</x:v>
      </x:c>
      <x:c r="E72" s="157" t="str">
        <x:v>FP8_VECBF16</x:v>
      </x:c>
      <x:c r="F72" s="210" t="b">
        <x:v>0</x:v>
      </x:c>
      <x:c r="G72" s="157" t="n">
        <x:v>128</x:v>
      </x:c>
      <x:c r="H72" s="157" t="n">
        <x:v>8192</x:v>
      </x:c>
      <x:c r="I72" s="157" t="n">
        <x:v>128</x:v>
      </x:c>
      <x:c r="J72" s="157" t="n">
        <x:v>128</x:v>
      </x:c>
      <x:c r="K72" s="157" t="n">
        <x:v>128</x:v>
      </x:c>
      <x:c r="L72" s="386" t="n">
        <x:v>128</x:v>
      </x:c>
      <x:c r="M72" s="204" t="n">
        <x:v>32</x:v>
      </x:c>
      <x:c r="N72" s="204" t="n">
        <x:v>16</x:v>
      </x:c>
      <x:c r="O72" s="213" t="n">
        <x:v>40745</x:v>
      </x:c>
      <x:c r="P72" s="157" t="n">
        <x:v>32</x:v>
      </x:c>
      <x:c r="Q72" s="387" t="n">
        <x:f>IF(O72="","",G72*H72*I72*2/(16*16*P72*O72))</x:f>
        <x:v>0.804221376856056</x:v>
      </x:c>
      <x:c r="R72" s="375" t="str">
        <x:v>★ Tk=128</x:v>
      </x:c>
      <x:c r="S72" s="216" t="n">
        <x:v>0.23417597251196465</x:v>
      </x:c>
      <x:c r="T72" s="275" t="str">
        <x:v>PASS</x:v>
      </x:c>
      <x:c r="U72" s="158" t="str">
        <x:v>完成</x:v>
      </x:c>
      <x:c r="W72" s="409"/>
    </x:row>
    <x:row r="73" ht="20" customHeight="1">
      <x:c r="A73" s="156" t="str">
        <x:v>FA K-chain</x:v>
      </x:c>
      <x:c r="B73" s="346" t="str">
        <x:v>FP8</x:v>
      </x:c>
      <x:c r="C73" s="346" t="str">
        <x:v>BF16</x:v>
      </x:c>
      <x:c r="D73" s="157" t="str">
        <x:v>fa_gmma_kchains</x:v>
      </x:c>
      <x:c r="E73" s="157" t="str">
        <x:v>FP8_VECBF16</x:v>
      </x:c>
      <x:c r="F73" s="210" t="b">
        <x:v>0</x:v>
      </x:c>
      <x:c r="G73" s="157" t="n">
        <x:v>128</x:v>
      </x:c>
      <x:c r="H73" s="157" t="n">
        <x:v>8192</x:v>
      </x:c>
      <x:c r="I73" s="157" t="n">
        <x:v>128</x:v>
      </x:c>
      <x:c r="J73" s="157" t="n">
        <x:v>128</x:v>
      </x:c>
      <x:c r="K73" s="157" t="n">
        <x:v>128</x:v>
      </x:c>
      <x:c r="L73" s="157" t="n">
        <x:v>128</x:v>
      </x:c>
      <x:c r="M73" s="204" t="n">
        <x:v>32</x:v>
      </x:c>
      <x:c r="N73" s="204" t="n">
        <x:v>16</x:v>
      </x:c>
      <x:c r="O73" s="213" t="n">
        <x:v>42087</x:v>
      </x:c>
      <x:c r="P73" s="157" t="n">
        <x:v>32</x:v>
      </x:c>
      <x:c r="Q73" s="216" t="n">
        <x:f>IF(O73="","",G73*H73*I73*2/(16*16*P73*O73))</x:f>
        <x:v>0.7785777080808801</x:v>
      </x:c>
      <x:c r="R73" s="370"/>
      <x:c r="S73" s="216" t="n">
        <x:v>0.23591013852258416</x:v>
      </x:c>
      <x:c r="T73" s="275" t="str">
        <x:v>PASS</x:v>
      </x:c>
      <x:c r="U73" s="158" t="str">
        <x:v>完成</x:v>
      </x:c>
      <x:c r="W73" s="409"/>
    </x:row>
    <x:row r="74" ht="20" customHeight="1">
      <x:c r="A74" s="156" t="str">
        <x:v>FA Dynamic</x:v>
      </x:c>
      <x:c r="B74" s="346" t="str">
        <x:v>FP8</x:v>
      </x:c>
      <x:c r="C74" s="346" t="str">
        <x:v>BF16</x:v>
      </x:c>
      <x:c r="D74" s="157" t="str">
        <x:v>fa_gmma_dynamic</x:v>
      </x:c>
      <x:c r="E74" s="157" t="str">
        <x:v>FP8_VECBF16</x:v>
      </x:c>
      <x:c r="F74" s="210" t="b">
        <x:v>1</x:v>
      </x:c>
      <x:c r="G74" s="157" t="n">
        <x:v>128</x:v>
      </x:c>
      <x:c r="H74" s="157" t="n">
        <x:v>8192</x:v>
      </x:c>
      <x:c r="I74" s="157" t="n">
        <x:v>128</x:v>
      </x:c>
      <x:c r="J74" s="157" t="n">
        <x:v>128</x:v>
      </x:c>
      <x:c r="K74" s="157" t="n">
        <x:v>128</x:v>
      </x:c>
      <x:c r="L74" s="157" t="n">
        <x:v>128</x:v>
      </x:c>
      <x:c r="M74" s="204" t="n">
        <x:v>32</x:v>
      </x:c>
      <x:c r="N74" s="204" t="n">
        <x:v>16</x:v>
      </x:c>
      <x:c r="O74" s="213"/>
      <x:c r="P74" s="157" t="n">
        <x:v>32</x:v>
      </x:c>
      <x:c r="Q74" s="216" t="str">
        <x:f>IF(O74="","",G74*H74*I74*2/(16*16*P74*O74))</x:f>
      </x:c>
      <x:c r="R74" s="370"/>
      <x:c r="S74" s="216"/>
      <x:c r="T74" s="270" t="str">
        <x:v>COMPILE_FAIL</x:v>
      </x:c>
      <x:c r="U74" s="158" t="str">
        <x:v>编译失败：FP32 O accumulator 未转换为 BF16，TSTORE_CUBE dtype 不匹配</x:v>
      </x:c>
      <x:c r="W74" s="411" t="str">
        <x:v>COMPILE_FAIL (rechecked)</x:v>
      </x:c>
    </x:row>
    <x:row r="75" ht="20" customHeight="1">
      <x:c r="A75" s="156" t="str">
        <x:v>FA GMMA</x:v>
      </x:c>
      <x:c r="B75" s="346" t="str">
        <x:v>FP8</x:v>
      </x:c>
      <x:c r="C75" s="346" t="str">
        <x:v>BF16</x:v>
      </x:c>
      <x:c r="D75" s="157" t="str">
        <x:v>fa_2d_unroll_gmma</x:v>
      </x:c>
      <x:c r="E75" s="157" t="str">
        <x:v>FP8_VECBF16</x:v>
      </x:c>
      <x:c r="F75" s="210" t="b">
        <x:v>0</x:v>
      </x:c>
      <x:c r="G75" s="157" t="n">
        <x:v>128</x:v>
      </x:c>
      <x:c r="H75" s="157" t="n">
        <x:v>8192</x:v>
      </x:c>
      <x:c r="I75" s="157" t="n">
        <x:v>128</x:v>
      </x:c>
      <x:c r="J75" s="157" t="n">
        <x:v>128</x:v>
      </x:c>
      <x:c r="K75" s="157" t="n">
        <x:v>128</x:v>
      </x:c>
      <x:c r="L75" s="157" t="n">
        <x:v>256</x:v>
      </x:c>
      <x:c r="M75" s="204" t="n">
        <x:v>48</x:v>
      </x:c>
      <x:c r="N75" s="204" t="n">
        <x:v>32</x:v>
      </x:c>
      <x:c r="O75" s="213" t="n">
        <x:v>42189</x:v>
      </x:c>
      <x:c r="P75" s="157" t="n">
        <x:v>32</x:v>
      </x:c>
      <x:c r="Q75" s="216" t="n">
        <x:f>IF(O75="","",G75*H75*I75*2/(16*16*P75*O75))</x:f>
        <x:v>0.7766953471283984</x:v>
      </x:c>
      <x:c r="R75" s="370"/>
      <x:c r="S75" s="216" t="n">
        <x:v>0.22542605892531228</x:v>
      </x:c>
      <x:c r="T75" s="275" t="str">
        <x:v>PASS</x:v>
      </x:c>
      <x:c r="U75" s="158" t="str">
        <x:v>完成</x:v>
      </x:c>
      <x:c r="W75" s="409"/>
    </x:row>
    <x:row r="76" ht="20" customHeight="1">
      <x:c r="A76" s="156" t="str">
        <x:v>FA K-chain</x:v>
      </x:c>
      <x:c r="B76" s="346" t="str">
        <x:v>FP8</x:v>
      </x:c>
      <x:c r="C76" s="346" t="str">
        <x:v>BF16</x:v>
      </x:c>
      <x:c r="D76" s="157" t="str">
        <x:v>fa_gmma_kchains</x:v>
      </x:c>
      <x:c r="E76" s="157" t="str">
        <x:v>FP8_VECBF16</x:v>
      </x:c>
      <x:c r="F76" s="210" t="b">
        <x:v>0</x:v>
      </x:c>
      <x:c r="G76" s="157" t="n">
        <x:v>128</x:v>
      </x:c>
      <x:c r="H76" s="157" t="n">
        <x:v>8192</x:v>
      </x:c>
      <x:c r="I76" s="157" t="n">
        <x:v>128</x:v>
      </x:c>
      <x:c r="J76" s="157" t="n">
        <x:v>128</x:v>
      </x:c>
      <x:c r="K76" s="157" t="n">
        <x:v>128</x:v>
      </x:c>
      <x:c r="L76" s="386" t="n">
        <x:v>256</x:v>
      </x:c>
      <x:c r="M76" s="204" t="n">
        <x:v>48</x:v>
      </x:c>
      <x:c r="N76" s="204" t="n">
        <x:v>32</x:v>
      </x:c>
      <x:c r="O76" s="213" t="n">
        <x:v>36893</x:v>
      </x:c>
      <x:c r="P76" s="157" t="n">
        <x:v>32</x:v>
      </x:c>
      <x:c r="Q76" s="387" t="n">
        <x:f>IF(O76="","",G76*H76*I76*2/(16*16*P76*O76))</x:f>
        <x:v>0.888190171577264</x:v>
      </x:c>
      <x:c r="R76" s="375" t="str">
        <x:v>★ Tk=256</x:v>
      </x:c>
      <x:c r="S76" s="216" t="n">
        <x:v>0.22932534627165044</x:v>
      </x:c>
      <x:c r="T76" s="275" t="str">
        <x:v>PASS</x:v>
      </x:c>
      <x:c r="U76" s="158" t="str">
        <x:v>完成</x:v>
      </x:c>
      <x:c r="W76" s="409"/>
    </x:row>
    <x:row r="77" ht="20" customHeight="1">
      <x:c r="A77" s="159" t="str">
        <x:v>FA Dynamic</x:v>
      </x:c>
      <x:c r="B77" s="352" t="str">
        <x:v>FP8</x:v>
      </x:c>
      <x:c r="C77" s="352" t="str">
        <x:v>BF16</x:v>
      </x:c>
      <x:c r="D77" s="160" t="str">
        <x:v>fa_gmma_dynamic</x:v>
      </x:c>
      <x:c r="E77" s="160" t="str">
        <x:v>FP8_VECBF16</x:v>
      </x:c>
      <x:c r="F77" s="211" t="b">
        <x:v>1</x:v>
      </x:c>
      <x:c r="G77" s="160" t="n">
        <x:v>128</x:v>
      </x:c>
      <x:c r="H77" s="160" t="n">
        <x:v>8192</x:v>
      </x:c>
      <x:c r="I77" s="160" t="n">
        <x:v>128</x:v>
      </x:c>
      <x:c r="J77" s="160" t="n">
        <x:v>128</x:v>
      </x:c>
      <x:c r="K77" s="160" t="n">
        <x:v>128</x:v>
      </x:c>
      <x:c r="L77" s="160" t="n">
        <x:v>256</x:v>
      </x:c>
      <x:c r="M77" s="205" t="n">
        <x:v>48</x:v>
      </x:c>
      <x:c r="N77" s="205" t="n">
        <x:v>32</x:v>
      </x:c>
      <x:c r="O77" s="214"/>
      <x:c r="P77" s="160" t="n">
        <x:v>32</x:v>
      </x:c>
      <x:c r="Q77" s="217" t="str">
        <x:f>IF(O77="","",G77*H77*I77*2/(16*16*P77*O77))</x:f>
      </x:c>
      <x:c r="R77" s="373"/>
      <x:c r="S77" s="217"/>
      <x:c r="T77" s="271" t="str">
        <x:v>COMPILE_FAIL</x:v>
      </x:c>
      <x:c r="U77" s="161" t="str">
        <x:v>编译失败：FP32 O accumulator 未转换为 BF16，TSTORE_CUBE dtype 不匹配</x:v>
      </x:c>
      <x:c r="W77" s="411" t="str">
        <x:v>COMPILE_FAIL (rechecked)</x:v>
      </x:c>
    </x:row>
    <x:row r="78" ht="20" customHeight="1">
      <x:c r="A78" s="153" t="str">
        <x:v>FA Lowp</x:v>
      </x:c>
      <x:c r="B78" s="358" t="str">
        <x:v>MXFP4</x:v>
      </x:c>
      <x:c r="C78" s="358" t="str">
        <x:v>BF16</x:v>
      </x:c>
      <x:c r="D78" s="154" t="str">
        <x:v>fa_lowp</x:v>
      </x:c>
      <x:c r="E78" s="154" t="str">
        <x:v>MXFP4_VECBF16</x:v>
      </x:c>
      <x:c r="F78" s="209" t="b">
        <x:v>0</x:v>
      </x:c>
      <x:c r="G78" s="154" t="n">
        <x:v>128</x:v>
      </x:c>
      <x:c r="H78" s="154" t="n">
        <x:v>8192</x:v>
      </x:c>
      <x:c r="I78" s="154" t="n">
        <x:v>128</x:v>
      </x:c>
      <x:c r="J78" s="154" t="n">
        <x:v>128</x:v>
      </x:c>
      <x:c r="K78" s="154" t="n">
        <x:v>128</x:v>
      </x:c>
      <x:c r="L78" s="154" t="n">
        <x:v>32</x:v>
      </x:c>
      <x:c r="M78" s="203" t="n">
        <x:v>25</x:v>
      </x:c>
      <x:c r="N78" s="203" t="n">
        <x:v>8</x:v>
      </x:c>
      <x:c r="O78" s="212" t="n">
        <x:v>206269</x:v>
      </x:c>
      <x:c r="P78" s="154" t="n">
        <x:v>128</x:v>
      </x:c>
      <x:c r="Q78" s="215" t="n">
        <x:f>IF(O78="","",G78*H78*I78*2/(16*16*P78*O78))</x:f>
        <x:v>0.03971512927293971</x:v>
      </x:c>
      <x:c r="R78" s="367"/>
      <x:c r="S78" s="215" t="n">
        <x:v>0.19647402178708387</x:v>
      </x:c>
      <x:c r="T78" s="293" t="str">
        <x:v>PASS</x:v>
      </x:c>
      <x:c r="U78" s="155" t="str">
        <x:v>完成</x:v>
      </x:c>
      <x:c r="W78" s="409"/>
    </x:row>
    <x:row r="79" ht="20" customHeight="1">
      <x:c r="A79" s="156" t="str">
        <x:v>FA Lowp</x:v>
      </x:c>
      <x:c r="B79" s="364" t="str">
        <x:v>MXFP4</x:v>
      </x:c>
      <x:c r="C79" s="364" t="str">
        <x:v>BF16</x:v>
      </x:c>
      <x:c r="D79" s="157" t="str">
        <x:v>fa_lowp</x:v>
      </x:c>
      <x:c r="E79" s="157" t="str">
        <x:v>MXFP4_VECBF16</x:v>
      </x:c>
      <x:c r="F79" s="210" t="b">
        <x:v>0</x:v>
      </x:c>
      <x:c r="G79" s="157" t="n">
        <x:v>128</x:v>
      </x:c>
      <x:c r="H79" s="157" t="n">
        <x:v>8192</x:v>
      </x:c>
      <x:c r="I79" s="157" t="n">
        <x:v>128</x:v>
      </x:c>
      <x:c r="J79" s="157" t="n">
        <x:v>128</x:v>
      </x:c>
      <x:c r="K79" s="157" t="n">
        <x:v>128</x:v>
      </x:c>
      <x:c r="L79" s="157" t="n">
        <x:v>64</x:v>
      </x:c>
      <x:c r="M79" s="204" t="n">
        <x:v>30</x:v>
      </x:c>
      <x:c r="N79" s="204" t="n">
        <x:v>12</x:v>
      </x:c>
      <x:c r="O79" s="213" t="n">
        <x:v>141661</x:v>
      </x:c>
      <x:c r="P79" s="157" t="n">
        <x:v>128</x:v>
      </x:c>
      <x:c r="Q79" s="216" t="n">
        <x:f>IF(O79="","",G79*H79*I79*2/(16*16*P79*O79))</x:f>
        <x:v>0.05782819548076041</x:v>
      </x:c>
      <x:c r="R79" s="370"/>
      <x:c r="S79" s="216" t="n">
        <x:v>0.15783807822901152</x:v>
      </x:c>
      <x:c r="T79" s="295" t="str">
        <x:v>PASS</x:v>
      </x:c>
      <x:c r="U79" s="158" t="str">
        <x:v>完成</x:v>
      </x:c>
      <x:c r="W79" s="409"/>
    </x:row>
    <x:row r="80" ht="20" customHeight="1">
      <x:c r="A80" s="156" t="str">
        <x:v>FA Lowp</x:v>
      </x:c>
      <x:c r="B80" s="364" t="str">
        <x:v>MXFP4</x:v>
      </x:c>
      <x:c r="C80" s="364" t="str">
        <x:v>BF16</x:v>
      </x:c>
      <x:c r="D80" s="157" t="str">
        <x:v>fa_lowp</x:v>
      </x:c>
      <x:c r="E80" s="157" t="str">
        <x:v>MXFP4_VECBF16</x:v>
      </x:c>
      <x:c r="F80" s="210" t="b">
        <x:v>0</x:v>
      </x:c>
      <x:c r="G80" s="157" t="n">
        <x:v>128</x:v>
      </x:c>
      <x:c r="H80" s="157" t="n">
        <x:v>8192</x:v>
      </x:c>
      <x:c r="I80" s="157" t="n">
        <x:v>128</x:v>
      </x:c>
      <x:c r="J80" s="157" t="n">
        <x:v>128</x:v>
      </x:c>
      <x:c r="K80" s="157" t="n">
        <x:v>128</x:v>
      </x:c>
      <x:c r="L80" s="386" t="n">
        <x:v>128</x:v>
      </x:c>
      <x:c r="M80" s="204" t="n">
        <x:v>40</x:v>
      </x:c>
      <x:c r="N80" s="204" t="n">
        <x:v>20</x:v>
      </x:c>
      <x:c r="O80" s="213" t="n">
        <x:v>112245</x:v>
      </x:c>
      <x:c r="P80" s="157" t="n">
        <x:v>128</x:v>
      </x:c>
      <x:c r="Q80" s="455" t="n">
        <x:f>IF(O80="","",G80*H80*I80*2/(16*16*P80*O80))</x:f>
        <x:v>0.07298320637890329</x:v>
      </x:c>
      <x:c r="R80" s="456"/>
      <x:c r="S80" s="216" t="n">
        <x:v>0.13103478996837276</x:v>
      </x:c>
      <x:c r="T80" s="295" t="str">
        <x:v>PASS</x:v>
      </x:c>
      <x:c r="U80" s="158" t="str">
        <x:v>完成</x:v>
      </x:c>
      <x:c r="W80" s="409"/>
    </x:row>
    <x:row r="81" ht="20" customHeight="1">
      <x:c r="A81" s="159" t="str">
        <x:v>FA Lowp</x:v>
      </x:c>
      <x:c r="B81" s="390" t="str">
        <x:v>MXFP4</x:v>
      </x:c>
      <x:c r="C81" s="390" t="str">
        <x:v>BF16</x:v>
      </x:c>
      <x:c r="D81" s="160" t="str">
        <x:v>fa_lowp_ltile</x:v>
      </x:c>
      <x:c r="E81" s="160" t="str">
        <x:v>MXFP4_VECBF16</x:v>
      </x:c>
      <x:c r="F81" s="211" t="b">
        <x:v>0</x:v>
      </x:c>
      <x:c r="G81" s="160" t="n">
        <x:v>128</x:v>
      </x:c>
      <x:c r="H81" s="160" t="n">
        <x:v>8192</x:v>
      </x:c>
      <x:c r="I81" s="160" t="n">
        <x:v>128</x:v>
      </x:c>
      <x:c r="J81" s="160" t="n">
        <x:v>128</x:v>
      </x:c>
      <x:c r="K81" s="160" t="n">
        <x:v>128</x:v>
      </x:c>
      <x:c r="L81" s="160" t="n">
        <x:v>256</x:v>
      </x:c>
      <x:c r="M81" s="205" t="n">
        <x:v>60</x:v>
      </x:c>
      <x:c r="N81" s="205" t="n">
        <x:v>36</x:v>
      </x:c>
      <x:c r="O81" s="214" t="n">
        <x:v>107095</x:v>
      </x:c>
      <x:c r="P81" s="160" t="n">
        <x:v>128</x:v>
      </x:c>
      <x:c r="Q81" s="459" t="n">
        <x:f>IF(O81="","",G81*H81*I81*2/(16*16*P81*O81))</x:f>
        <x:v>0.07649283346561464</x:v>
      </x:c>
      <x:c r="R81" s="460" t="str">
        <x:v>★ Tk=256</x:v>
      </x:c>
      <x:c r="S81" s="217"/>
      <x:c r="T81" s="462" t="str">
        <x:v>PASS</x:v>
      </x:c>
      <x:c r="U81" s="161" t="str">
        <x:v>完成</x:v>
      </x:c>
      <x:c r="V81"/>
      <x:c r="W81" s="409" t="str">
        <x:v>2026-09-28 refresh</x:v>
      </x:c>
    </x:row>
    <x:row r="82">
      <x:c r="A82" s="157" t="str">
        <x:v>FA Lowp</x:v>
      </x:c>
      <x:c r="B82" s="452" t="str">
        <x:v>MXFP4</x:v>
      </x:c>
      <x:c r="C82" s="452" t="str">
        <x:v>BF16</x:v>
      </x:c>
      <x:c r="D82" s="157" t="str">
        <x:v>fa_lowp_ltile</x:v>
      </x:c>
      <x:c r="E82" s="157" t="str">
        <x:v>MXFP4_VECBF16</x:v>
      </x:c>
      <x:c r="F82" s="210" t="b">
        <x:v>0</x:v>
      </x:c>
      <x:c r="G82" s="157" t="n">
        <x:v>128</x:v>
      </x:c>
      <x:c r="H82" s="157" t="n">
        <x:v>8192</x:v>
      </x:c>
      <x:c r="I82" s="157" t="n">
        <x:v>128</x:v>
      </x:c>
      <x:c r="J82" s="157" t="n">
        <x:v>128</x:v>
      </x:c>
      <x:c r="K82" s="157" t="n">
        <x:v>128</x:v>
      </x:c>
      <x:c r="L82" s="157" t="n">
        <x:v>512</x:v>
      </x:c>
      <x:c r="M82" s="204" t="n">
        <x:v>100</x:v>
      </x:c>
      <x:c r="N82" s="204" t="n">
        <x:v>68</x:v>
      </x:c>
      <x:c r="O82" s="213"/>
      <x:c r="P82" s="157" t="n">
        <x:v>128</x:v>
      </x:c>
      <x:c r="Q82" s="216" t="str">
        <x:f>IF(O82="","",G82*H82*I82*2/(16*16*P82*O82))</x:f>
      </x:c>
      <x:c r="R82" s="216"/>
      <x:c r="S82" s="216"/>
      <x:c r="T82" s="464" t="str">
        <x:v>DEADLOCK</x:v>
      </x:c>
      <x:c r="U82" s="157" t="str">
        <x:v>gfsim: TMATMULMX PC 0x11444 destination T&lt;32KB&gt; not ready; 9999-cycle watchdog</x:v>
      </x:c>
      <x:c r="V82" s="157"/>
      <x:c r="W82" s="157" t="str">
        <x:v>2026-09-28 refresh</x:v>
      </x:c>
    </x:row>
  </x:sheetData>
  <x:mergeCells>
    <x:mergeCell ref="A2:U2"/>
  </x:mergeCells>
  <x:conditionalFormatting sqref="T6:T15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DEADLOCK"/>
  </x:conditionalFormatting>
  <x:conditionalFormatting sqref="T6:T45">
    <x:cfRule type="containsText" dxfId="25" priority="4" operator="containsText" text="PASS"/>
    <x:cfRule type="containsText" dxfId="26" priority="5" operator="containsText" text="FAIL"/>
    <x:cfRule type="containsText" dxfId="27" priority="6" operator="containsText" text="DEADLO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7" hidden="0" customWidth="1"/>
    <x:col min="2" max="2" width="132" hidden="0" customWidth="1"/>
  </x:cols>
  <x:sheetData>
    <x:row r="2" ht="24" customHeight="1">
      <x:c r="A2" s="40" t="str">
        <x:v>Run environment and metric definitions</x:v>
      </x:c>
      <x:c r="B2" s="40"/>
    </x:row>
    <x:row r="3">
      <x:c r="A3"/>
      <x:c r="B3"/>
    </x:row>
    <x:row r="4">
      <x:c r="A4"/>
      <x:c r="B4"/>
    </x:row>
    <x:row r="5" ht="28" customHeight="1">
      <x:c r="A5" s="279" t="str">
        <x:v>Run date</x:v>
      </x:c>
      <x:c r="B5" s="228" t="str">
        <x:v>2026-09-22 baseline; MXFP4 refresh 2026-09-28</x:v>
      </x:c>
    </x:row>
    <x:row r="6" ht="28" customHeight="1">
      <x:c r="A6" s="280" t="str">
        <x:v>Shape</x:v>
      </x:c>
      <x:c r="B6" s="229" t="str">
        <x:v>Sq=128, Skv=8192, QD=VD=128, Tm=128, Tk=32/64/128/256; MXFP4 adds Tk=512, X=Y=1</x:v>
      </x:c>
    </x:row>
    <x:row r="7" ht="28" customHeight="1">
      <x:c r="A7" s="280" t="str">
        <x:v>Vector dtype</x:v>
      </x:c>
      <x:c r="B7" s="229" t="str">
        <x:v>FP32 or BF16 (project has no IEEE FP16 vector FA mode; BF16 is the supported 16-bit vector type)</x:v>
      </x:c>
    </x:row>
    <x:row r="8" ht="28" customHeight="1">
      <x:c r="A8" s="280" t="str">
        <x:v>Compiler commit</x:v>
      </x:c>
      <x:c r="B8" s="229" t="str">
        <x:v>e6a31efb4cfb17f1f1c33265cbf6dbb61bbba156</x:v>
      </x:c>
    </x:row>
    <x:row r="9" ht="28" customHeight="1">
      <x:c r="A9" s="280" t="str">
        <x:v>Model commit</x:v>
      </x:c>
      <x:c r="B9" s="229" t="str">
        <x:v>25bc5757a7cae873139b6935fe3866f125604089 (baseline); MXFP4 refresh: 989ee319d5473315ebe51f5f171aaec1766c79e6</x:v>
      </x:c>
    </x:row>
    <x:row r="10" ht="28" customHeight="1">
      <x:c r="A10" s="280" t="str">
        <x:v>gfsim flags</x:v>
      </x:c>
      <x:c r="B10" s="229" t="str">
        <x:v>softcore.multiThreadNum=4 cube.enable_internal_acc=true bctrl.vec_cell_sched_enable=true core.soc_random=true core.soc_bw_limit=113 core.soc_lat_mean=330 core.sharetreg_size_bytes=262144 core.sharetreg_ssb_count=64</x:v>
      </x:c>
    </x:row>
    <x:row r="11" ht="28" customHeight="1">
      <x:c r="A11" s="280" t="str">
        <x:v>Dynamic compile flags</x:v>
      </x:c>
      <x:c r="B11" s="229" t="str">
        <x:v>FA_TRACE_ONLY=1, MaxSq=128, MaxSkv=8192</x:v>
      </x:c>
    </x:row>
    <x:row r="12" ht="28" customHeight="1">
      <x:c r="A12" s="280" t="str">
        <x:v>MFU</x:v>
      </x:c>
      <x:c r="B12" s="229" t="str">
        <x:v>FA theoretical cycles = 2*Sq*Skv*HeadDim/(16*16*PeakK). MFU = theoretical cycles/measured cycles. One MAC is counted once; using FLOPs multiplies both work and peak by 2 and gives the same MFU.</x:v>
      </x:c>
    </x:row>
    <x:row r="13" ht="28" customHeight="1">
      <x:c r="A13" s="280" t="str">
        <x:v>Peak K</x:v>
      </x:c>
      <x:c r="B13" s="229" t="str">
        <x:v>4-PE aggregate-equivalent PeakK under the 16*16*PeakK denominator: FP32=8, BF16=16, FP8=32, MXFP4=128. Current gfsim execution implements FP16:FP8:FP4 = 1:2:8; MXFP4 peak = 16*16*16*8 = 32,768 MAC/cycle.</x:v>
      </x:c>
    </x:row>
    <x:row r="14" ht="28" customHeight="1">
      <x:c r="A14" s="280" t="str">
        <x:v>Capacity rule</x:v>
      </x:c>
      <x:c r="B14" s="229" t="str">
        <x:v>Q/K coexist for QK and V is checked for PV; each phase must fit the 256 KiB SharedTReg limit.</x:v>
      </x:c>
    </x:row>
    <x:row r="15" ht="28" customHeight="1">
      <x:c r="A15" s="280" t="str">
        <x:v>Result count</x:v>
      </x:c>
      <x:c r="B15" s="229" t="str">
        <x:v>52 PASS, 13 DEADLOCK, 12 COMPILE_FAIL</x:v>
      </x:c>
    </x:row>
    <x:row r="16" ht="28" customHeight="1">
      <x:c r="A16" s="280" t="str">
        <x:v>Ordinary FA scope</x:v>
      </x:c>
      <x:c r="B16" s="229" t="str">
        <x:v>GMMA and K-chain use TMATMUL/TMATMUL_ACC; MXFP4 and HIF4 are not included.</x:v>
      </x:c>
    </x:row>
    <x:row r="17" ht="28" customHeight="1">
      <x:c r="A17" s="281" t="str">
        <x:v>Dynamic limitation</x:v>
      </x:c>
      <x:c r="B17" s="230" t="str">
        <x:v>Normal FP32/FP32 Tk=128 smoke progressed through input setup but produced no Total Cycles within ~2.5 min. Trace-only refresh: 12 vector-FP32 cases compile then deadlock at cooperative TLOAD; 12 vector-BF16 cases fail TSTORE_CUBE dtype checking.</x:v>
      </x:c>
    </x:row>
    <x:row r="18" ht="28" customHeight="1">
      <x:c r="A18" s="303" t="str">
        <x:v>TileOP commit</x:v>
      </x:c>
      <x:c r="B18" s="228" t="str">
        <x:v>9c71ef598759347cb748b3e33e74072a270a53d0</x:v>
      </x:c>
    </x:row>
    <x:row r="19" ht="28" customHeight="1">
      <x:c r="A19" s="304" t="str">
        <x:v>MXFP4 limitation</x:v>
      </x:c>
      <x:c r="B19" s="230" t="str">
        <x:v>Tk=256 now completes at 107,095 cycles. Tk=512 compiles, passes gfrun and numeric validation, but model-main deadlocks at TMATMULMX PC 0x11444 (destination T&lt;32KB&gt; not ready; 9999-cycle watchdog).</x:v>
      </x:c>
    </x:row>
    <x:row r="20" ht="28" customHeight="1">
      <x:c r="A20" s="414" t="str">
        <x:v>Verification date</x:v>
      </x:c>
      <x:c r="B20" s="415" t="str">
        <x:v>2026-09-28</x:v>
      </x:c>
    </x:row>
    <x:row r="21" ht="28" customHeight="1">
      <x:c r="A21" s="414" t="str">
        <x:v>Best-config sample</x:v>
      </x:c>
      <x:c r="B21" s="415" t="str">
        <x:v>MXFP4 LTILE: Tk=256 = 107,095 cycles; architecture-correct 8x MFU = 7.6%. Tk=512 has no valid timing result because gfsim deadlocks.</x:v>
      </x:c>
    </x:row>
    <x:row r="22" ht="28" customHeight="1">
      <x:c r="A22" s="414" t="str">
        <x:v>Interpretation</x:v>
      </x:c>
      <x:c r="B22" s="415" t="str">
        <x:v>Historical non-MXFP4 cycle values are retained. MXFP4 MFU uses the current execution-model 8x peak. The current gfsim PMU formatMultiplier still uses 4x and therefore reports MXFP4 utilization at 2x the architecture-correct value.</x:v>
      </x:c>
    </x:row>
  </x:sheetData>
  <x:mergeCells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3" hidden="0" customWidth="1"/>
    <x:col min="5" max="5" width="18" hidden="0" customWidth="1"/>
    <x:col min="6" max="6" width="18" hidden="0" customWidth="1"/>
    <x:col min="7" max="7" width="28" hidden="0" customWidth="1"/>
    <x:col min="8" max="8" width="46" hidden="0" customWidth="1"/>
    <x:col min="9" max="9" width="62" hidden="0" customWidth="1"/>
  </x:cols>
  <x:sheetData>
    <x:row r="2" ht="24" customHeight="1">
      <x:c r="A2" s="417" t="str">
        <x:v>FA performance verification and Dynamic refresh</x:v>
      </x:c>
      <x:c r="B2" s="417"/>
      <x:c r="C2" s="417"/>
      <x:c r="D2" s="417"/>
      <x:c r="E2" s="417"/>
      <x:c r="F2" s="417"/>
      <x:c r="G2" s="417"/>
      <x:c r="H2" s="417"/>
      <x:c r="I2" s="417"/>
    </x:row>
    <x:row r="4" ht="24" customHeight="1">
      <x:c r="A4" s="419" t="str">
        <x:v>Best-configuration spot checks (current mandatory 8-setting gfsim environment)</x:v>
      </x:c>
      <x:c r="B4" s="419"/>
      <x:c r="C4" s="419"/>
      <x:c r="D4" s="419"/>
      <x:c r="E4" s="419"/>
      <x:c r="F4" s="419"/>
      <x:c r="G4" s="419"/>
      <x:c r="H4" s="419"/>
      <x:c r="I4" s="419"/>
    </x:row>
    <x:row r="5" ht="32" customHeight="1">
      <x:c r="A5" s="399" t="str">
        <x:v>Family</x:v>
      </x:c>
      <x:c r="B5" s="399" t="str">
        <x:v>Cube dtype</x:v>
      </x:c>
      <x:c r="C5" s="399" t="str">
        <x:v>Vector dtype</x:v>
      </x:c>
      <x:c r="D5" s="399" t="str">
        <x:v>Tk</x:v>
      </x:c>
      <x:c r="E5" s="399" t="str">
        <x:v>Table cycles</x:v>
      </x:c>
      <x:c r="F5" s="399" t="str">
        <x:v>Rerun cycles</x:v>
      </x:c>
      <x:c r="G5" s="399" t="str">
        <x:v>Delta</x:v>
      </x:c>
      <x:c r="H5" s="399" t="str">
        <x:v>Delta %</x:v>
      </x:c>
      <x:c r="I5" s="399" t="str">
        <x:v>Conclusion / evidence</x:v>
      </x:c>
    </x:row>
    <x:row r="6" ht="22" customHeight="1">
      <x:c r="A6" s="432" t="str">
        <x:v>FA GMMA</x:v>
      </x:c>
      <x:c r="B6" s="432" t="str">
        <x:v>FP32</x:v>
      </x:c>
      <x:c r="C6" s="432" t="str">
        <x:v>FP32</x:v>
      </x:c>
      <x:c r="D6" s="432" t="n">
        <x:v>128</x:v>
      </x:c>
      <x:c r="E6" s="433" t="n">
        <x:v>146439</x:v>
      </x:c>
      <x:c r="F6" s="433" t="n">
        <x:v>206584</x:v>
      </x:c>
      <x:c r="G6" s="433" t="n">
        <x:f>F6-E6</x:f>
        <x:v>60145</x:v>
      </x:c>
      <x:c r="H6" s="434" t="n">
        <x:f>IFERROR(G6/E6,"")</x:f>
        <x:v>0.4107170903925867</x:v>
      </x:c>
      <x:c r="I6" s="432" t="str">
        <x:v>不一致：ELF MD5相同；新增 256 KiB / 64 SSB 设置后 cycles 上升，A/B 已确认</x:v>
      </x:c>
    </x:row>
    <x:row r="7" ht="22" customHeight="1">
      <x:c r="A7" s="432" t="str">
        <x:v>FA GMMA</x:v>
      </x:c>
      <x:c r="B7" s="432" t="str">
        <x:v>FP8</x:v>
      </x:c>
      <x:c r="C7" s="432" t="str">
        <x:v>BF16</x:v>
      </x:c>
      <x:c r="D7" s="432" t="n">
        <x:v>128</x:v>
      </x:c>
      <x:c r="E7" s="433" t="n">
        <x:v>40745</x:v>
      </x:c>
      <x:c r="F7" s="433" t="n">
        <x:v>35419</x:v>
      </x:c>
      <x:c r="G7" s="433" t="n">
        <x:f>F7-E7</x:f>
        <x:v>-5326</x:v>
      </x:c>
      <x:c r="H7" s="434" t="n">
        <x:f>IFERROR(G7/E7,"")</x:f>
        <x:v>-0.1307154252055467</x:v>
      </x:c>
      <x:c r="I7" s="432" t="str">
        <x:v>不一致：旧 ELF + 新 gfsim 设置仍为 40,745；当前编译出的 ELF/反汇编不同</x:v>
      </x:c>
    </x:row>
    <x:row r="8" ht="22" customHeight="1">
      <x:c r="A8" s="426" t="str">
        <x:v>FA K-chain</x:v>
      </x:c>
      <x:c r="B8" s="426" t="str">
        <x:v>BF16</x:v>
      </x:c>
      <x:c r="C8" s="426" t="str">
        <x:v>BF16</x:v>
      </x:c>
      <x:c r="D8" s="426" t="n">
        <x:v>128</x:v>
      </x:c>
      <x:c r="E8" s="427" t="n">
        <x:v>68753</x:v>
      </x:c>
      <x:c r="F8" s="427" t="n">
        <x:v>68753</x:v>
      </x:c>
      <x:c r="G8" s="427" t="n">
        <x:f>F8-E8</x:f>
        <x:v>0</x:v>
      </x:c>
      <x:c r="H8" s="428" t="n">
        <x:f>IFERROR(G8/E8,"")</x:f>
        <x:v>0</x:v>
      </x:c>
      <x:c r="I8" s="426" t="str">
        <x:v>一致</x:v>
      </x:c>
    </x:row>
    <x:row r="9" ht="22" customHeight="1">
      <x:c r="A9" s="426" t="str">
        <x:v>FA K-chain</x:v>
      </x:c>
      <x:c r="B9" s="426" t="str">
        <x:v>FP8</x:v>
      </x:c>
      <x:c r="C9" s="426" t="str">
        <x:v>BF16</x:v>
      </x:c>
      <x:c r="D9" s="426" t="n">
        <x:v>256</x:v>
      </x:c>
      <x:c r="E9" s="427" t="n">
        <x:v>36893</x:v>
      </x:c>
      <x:c r="F9" s="427" t="n">
        <x:v>36893</x:v>
      </x:c>
      <x:c r="G9" s="427" t="n">
        <x:f>F9-E9</x:f>
        <x:v>0</x:v>
      </x:c>
      <x:c r="H9" s="428" t="n">
        <x:f>IFERROR(G9/E9,"")</x:f>
        <x:v>0</x:v>
      </x:c>
      <x:c r="I9" s="426" t="str">
        <x:v>一致</x:v>
      </x:c>
    </x:row>
    <x:row r="10" ht="22" customHeight="1">
      <x:c r="A10" s="429" t="str">
        <x:v>FA Lowp LTILE</x:v>
      </x:c>
      <x:c r="B10" s="429" t="str">
        <x:v>MXFP4</x:v>
      </x:c>
      <x:c r="C10" s="429" t="str">
        <x:v>BF16</x:v>
      </x:c>
      <x:c r="D10" s="429" t="n">
        <x:v>256</x:v>
      </x:c>
      <x:c r="E10" s="430" t="n">
        <x:v>107095</x:v>
      </x:c>
      <x:c r="F10" s="430" t="n">
        <x:v>107095</x:v>
      </x:c>
      <x:c r="G10" s="430" t="n">
        <x:f>F10-E10</x:f>
        <x:v>0</x:v>
      </x:c>
      <x:c r="H10" s="431" t="n">
        <x:f>IFERROR(G10/E10,"")</x:f>
        <x:v>0</x:v>
      </x:c>
      <x:c r="I10" s="429" t="str">
        <x:v>PASS：gfrun R2=0；数值校验 0/16384 mismatch；model-main gfsim 107,095 cycles；按 MXFP4 8x 峰值计算 MFU=7.6%</x:v>
      </x:c>
    </x:row>
    <x:row r="11">
      <x:c r="A11" t="str">
        <x:v>FA Lowp LTILE</x:v>
      </x:c>
      <x:c r="B11" t="str">
        <x:v>MXFP4</x:v>
      </x:c>
      <x:c r="C11" t="str">
        <x:v>BF16</x:v>
      </x:c>
      <x:c r="D11" t="n">
        <x:v>512</x:v>
      </x:c>
      <x:c r="E11"/>
      <x:c r="F11"/>
      <x:c r="G11"/>
      <x:c r="H11"/>
      <x:c r="I11" t="str">
        <x:v>编译、gfrun 和数值校验通过；model-main gfsim 在 TMATMULMX PC 0x11444 等待 T&lt;32KB&gt;，9999-cycle watchdog 判定 DEADLOCK</x:v>
      </x:c>
    </x:row>
    <x:row r="13" ht="24" customHeight="1">
      <x:c r="A13" s="419" t="str">
        <x:v>Dynamic sweep refresh — FA_TRACE_ONLY=1 (6 dtype modes × 4 Tk)</x:v>
      </x:c>
      <x:c r="B13" s="419"/>
      <x:c r="C13" s="419"/>
      <x:c r="D13" s="419"/>
      <x:c r="E13" s="419"/>
      <x:c r="F13" s="419"/>
      <x:c r="G13" s="419"/>
      <x:c r="H13" s="419"/>
    </x:row>
    <x:row r="14" ht="32" customHeight="1">
      <x:c r="A14" s="399" t="str">
        <x:v>Cube dtype</x:v>
      </x:c>
      <x:c r="B14" s="399" t="str">
        <x:v>Vector dtype</x:v>
      </x:c>
      <x:c r="C14" s="399" t="str">
        <x:v>Tk</x:v>
      </x:c>
      <x:c r="D14" s="399" t="str">
        <x:v>Trace compile</x:v>
      </x:c>
      <x:c r="E14" s="399" t="str">
        <x:v>Trace run</x:v>
      </x:c>
      <x:c r="F14" s="399" t="str">
        <x:v>Cycles</x:v>
      </x:c>
      <x:c r="G14" s="399" t="str">
        <x:v>Normal path</x:v>
      </x:c>
      <x:c r="H14" s="399" t="str">
        <x:v>Evidence</x:v>
      </x:c>
    </x:row>
    <x:row r="15" ht="22" customHeight="1">
      <x:c r="A15" s="409" t="str">
        <x:v>FP32</x:v>
      </x:c>
      <x:c r="B15" s="409" t="str">
        <x:v>FP32</x:v>
      </x:c>
      <x:c r="C15" s="409" t="n">
        <x:v>32</x:v>
      </x:c>
      <x:c r="D15" s="435" t="str">
        <x:v>PASS</x:v>
      </x:c>
      <x:c r="E15" s="435" t="str">
        <x:v>DEADLOCK</x:v>
      </x:c>
      <x:c r="F15" s="409"/>
      <x:c r="G15" s="439" t="str">
        <x:v>not expanded after smoke</x:v>
      </x:c>
      <x:c r="H15" s="439" t="str">
        <x:v>cooperative TLOAD: PE state split, 9999-cycle watchdog</x:v>
      </x:c>
    </x:row>
    <x:row r="16" ht="22" customHeight="1">
      <x:c r="A16" s="409" t="str">
        <x:v>FP32</x:v>
      </x:c>
      <x:c r="B16" s="409" t="str">
        <x:v>FP32</x:v>
      </x:c>
      <x:c r="C16" s="409" t="n">
        <x:v>64</x:v>
      </x:c>
      <x:c r="D16" s="435" t="str">
        <x:v>PASS</x:v>
      </x:c>
      <x:c r="E16" s="435" t="str">
        <x:v>DEADLOCK</x:v>
      </x:c>
      <x:c r="F16" s="409"/>
      <x:c r="G16" s="439" t="str">
        <x:v>not expanded after smoke</x:v>
      </x:c>
      <x:c r="H16" s="439" t="str">
        <x:v>cooperative TLOAD: PE state split, 9999-cycle watchdog</x:v>
      </x:c>
    </x:row>
    <x:row r="17" ht="22" customHeight="1">
      <x:c r="A17" s="409" t="str">
        <x:v>FP32</x:v>
      </x:c>
      <x:c r="B17" s="409" t="str">
        <x:v>FP32</x:v>
      </x:c>
      <x:c r="C17" s="409" t="n">
        <x:v>128</x:v>
      </x:c>
      <x:c r="D17" s="435" t="str">
        <x:v>PASS</x:v>
      </x:c>
      <x:c r="E17" s="435" t="str">
        <x:v>DEADLOCK</x:v>
      </x:c>
      <x:c r="F17" s="409"/>
      <x:c r="G17" s="439" t="str">
        <x:v>smoke: &gt;2.5 min, no Total Cycles</x:v>
      </x:c>
      <x:c r="H17" s="439" t="str">
        <x:v>cooperative TLOAD: PE state split, 9999-cycle watchdog</x:v>
      </x:c>
    </x:row>
    <x:row r="18" ht="22" customHeight="1">
      <x:c r="A18" s="409" t="str">
        <x:v>FP32</x:v>
      </x:c>
      <x:c r="B18" s="409" t="str">
        <x:v>FP32</x:v>
      </x:c>
      <x:c r="C18" s="409" t="n">
        <x:v>256</x:v>
      </x:c>
      <x:c r="D18" s="435" t="str">
        <x:v>PASS</x:v>
      </x:c>
      <x:c r="E18" s="435" t="str">
        <x:v>DEADLOCK</x:v>
      </x:c>
      <x:c r="F18" s="409"/>
      <x:c r="G18" s="439" t="str">
        <x:v>not expanded after smoke</x:v>
      </x:c>
      <x:c r="H18" s="439" t="str">
        <x:v>cooperative TLOAD: PE state split, 9999-cycle watchdog</x:v>
      </x:c>
    </x:row>
    <x:row r="19" ht="22" customHeight="1">
      <x:c r="A19" s="409" t="str">
        <x:v>FP32</x:v>
      </x:c>
      <x:c r="B19" s="409" t="str">
        <x:v>BF16</x:v>
      </x:c>
      <x:c r="C19" s="409" t="n">
        <x:v>32</x:v>
      </x:c>
      <x:c r="D19" s="437" t="str">
        <x:v>COMPILE_FAIL</x:v>
      </x:c>
      <x:c r="E19" s="437" t="str">
        <x:v>N/A</x:v>
      </x:c>
      <x:c r="F19" s="409"/>
      <x:c r="G19" s="439" t="str">
        <x:v>not expanded after smoke</x:v>
      </x:c>
      <x:c r="H19" s="439" t="str">
        <x:v>FP32 accumulator → BF16 TSTORE_CUBE dtype mismatch</x:v>
      </x:c>
    </x:row>
    <x:row r="20" ht="22" customHeight="1">
      <x:c r="A20" s="409" t="str">
        <x:v>FP32</x:v>
      </x:c>
      <x:c r="B20" s="409" t="str">
        <x:v>BF16</x:v>
      </x:c>
      <x:c r="C20" s="409" t="n">
        <x:v>64</x:v>
      </x:c>
      <x:c r="D20" s="437" t="str">
        <x:v>COMPILE_FAIL</x:v>
      </x:c>
      <x:c r="E20" s="437" t="str">
        <x:v>N/A</x:v>
      </x:c>
      <x:c r="F20" s="409"/>
      <x:c r="G20" s="439" t="str">
        <x:v>not expanded after smoke</x:v>
      </x:c>
      <x:c r="H20" s="439" t="str">
        <x:v>FP32 accumulator → BF16 TSTORE_CUBE dtype mismatch</x:v>
      </x:c>
    </x:row>
    <x:row r="21" ht="22" customHeight="1">
      <x:c r="A21" s="409" t="str">
        <x:v>FP32</x:v>
      </x:c>
      <x:c r="B21" s="409" t="str">
        <x:v>BF16</x:v>
      </x:c>
      <x:c r="C21" s="409" t="n">
        <x:v>128</x:v>
      </x:c>
      <x:c r="D21" s="437" t="str">
        <x:v>COMPILE_FAIL</x:v>
      </x:c>
      <x:c r="E21" s="437" t="str">
        <x:v>N/A</x:v>
      </x:c>
      <x:c r="F21" s="409"/>
      <x:c r="G21" s="439" t="str">
        <x:v>not expanded after smoke</x:v>
      </x:c>
      <x:c r="H21" s="439" t="str">
        <x:v>FP32 accumulator → BF16 TSTORE_CUBE dtype mismatch</x:v>
      </x:c>
    </x:row>
    <x:row r="22" ht="22" customHeight="1">
      <x:c r="A22" s="409" t="str">
        <x:v>FP32</x:v>
      </x:c>
      <x:c r="B22" s="409" t="str">
        <x:v>BF16</x:v>
      </x:c>
      <x:c r="C22" s="409" t="n">
        <x:v>256</x:v>
      </x:c>
      <x:c r="D22" s="437" t="str">
        <x:v>COMPILE_FAIL</x:v>
      </x:c>
      <x:c r="E22" s="437" t="str">
        <x:v>N/A</x:v>
      </x:c>
      <x:c r="F22" s="409"/>
      <x:c r="G22" s="439" t="str">
        <x:v>not expanded after smoke</x:v>
      </x:c>
      <x:c r="H22" s="439" t="str">
        <x:v>FP32 accumulator → BF16 TSTORE_CUBE dtype mismatch</x:v>
      </x:c>
    </x:row>
    <x:row r="23" ht="22" customHeight="1">
      <x:c r="A23" s="409" t="str">
        <x:v>BF16</x:v>
      </x:c>
      <x:c r="B23" s="409" t="str">
        <x:v>FP32</x:v>
      </x:c>
      <x:c r="C23" s="409" t="n">
        <x:v>32</x:v>
      </x:c>
      <x:c r="D23" s="435" t="str">
        <x:v>PASS</x:v>
      </x:c>
      <x:c r="E23" s="435" t="str">
        <x:v>DEADLOCK</x:v>
      </x:c>
      <x:c r="F23" s="409"/>
      <x:c r="G23" s="439" t="str">
        <x:v>not expanded after smoke</x:v>
      </x:c>
      <x:c r="H23" s="439" t="str">
        <x:v>cooperative TLOAD: PE state split, 9999-cycle watchdog</x:v>
      </x:c>
    </x:row>
    <x:row r="24" ht="22" customHeight="1">
      <x:c r="A24" s="409" t="str">
        <x:v>BF16</x:v>
      </x:c>
      <x:c r="B24" s="409" t="str">
        <x:v>FP32</x:v>
      </x:c>
      <x:c r="C24" s="409" t="n">
        <x:v>64</x:v>
      </x:c>
      <x:c r="D24" s="435" t="str">
        <x:v>PASS</x:v>
      </x:c>
      <x:c r="E24" s="435" t="str">
        <x:v>DEADLOCK</x:v>
      </x:c>
      <x:c r="F24" s="409"/>
      <x:c r="G24" s="439" t="str">
        <x:v>not expanded after smoke</x:v>
      </x:c>
      <x:c r="H24" s="439" t="str">
        <x:v>cooperative TLOAD: PE state split, 9999-cycle watchdog</x:v>
      </x:c>
    </x:row>
    <x:row r="25" ht="22" customHeight="1">
      <x:c r="A25" s="409" t="str">
        <x:v>BF16</x:v>
      </x:c>
      <x:c r="B25" s="409" t="str">
        <x:v>FP32</x:v>
      </x:c>
      <x:c r="C25" s="409" t="n">
        <x:v>128</x:v>
      </x:c>
      <x:c r="D25" s="435" t="str">
        <x:v>PASS</x:v>
      </x:c>
      <x:c r="E25" s="435" t="str">
        <x:v>DEADLOCK</x:v>
      </x:c>
      <x:c r="F25" s="409"/>
      <x:c r="G25" s="439" t="str">
        <x:v>not expanded after smoke</x:v>
      </x:c>
      <x:c r="H25" s="439" t="str">
        <x:v>cooperative TLOAD: PE state split, 9999-cycle watchdog</x:v>
      </x:c>
    </x:row>
    <x:row r="26" ht="22" customHeight="1">
      <x:c r="A26" s="409" t="str">
        <x:v>BF16</x:v>
      </x:c>
      <x:c r="B26" s="409" t="str">
        <x:v>FP32</x:v>
      </x:c>
      <x:c r="C26" s="409" t="n">
        <x:v>256</x:v>
      </x:c>
      <x:c r="D26" s="435" t="str">
        <x:v>PASS</x:v>
      </x:c>
      <x:c r="E26" s="435" t="str">
        <x:v>DEADLOCK</x:v>
      </x:c>
      <x:c r="F26" s="409"/>
      <x:c r="G26" s="439" t="str">
        <x:v>not expanded after smoke</x:v>
      </x:c>
      <x:c r="H26" s="439" t="str">
        <x:v>cooperative TLOAD: PE state split, 9999-cycle watchdog</x:v>
      </x:c>
    </x:row>
    <x:row r="27" ht="22" customHeight="1">
      <x:c r="A27" s="409" t="str">
        <x:v>BF16</x:v>
      </x:c>
      <x:c r="B27" s="409" t="str">
        <x:v>BF16</x:v>
      </x:c>
      <x:c r="C27" s="409" t="n">
        <x:v>32</x:v>
      </x:c>
      <x:c r="D27" s="437" t="str">
        <x:v>COMPILE_FAIL</x:v>
      </x:c>
      <x:c r="E27" s="437" t="str">
        <x:v>N/A</x:v>
      </x:c>
      <x:c r="F27" s="409"/>
      <x:c r="G27" s="439" t="str">
        <x:v>not expanded after smoke</x:v>
      </x:c>
      <x:c r="H27" s="439" t="str">
        <x:v>FP32 accumulator → BF16 TSTORE_CUBE dtype mismatch</x:v>
      </x:c>
    </x:row>
    <x:row r="28" ht="22" customHeight="1">
      <x:c r="A28" s="409" t="str">
        <x:v>BF16</x:v>
      </x:c>
      <x:c r="B28" s="409" t="str">
        <x:v>BF16</x:v>
      </x:c>
      <x:c r="C28" s="409" t="n">
        <x:v>64</x:v>
      </x:c>
      <x:c r="D28" s="437" t="str">
        <x:v>COMPILE_FAIL</x:v>
      </x:c>
      <x:c r="E28" s="437" t="str">
        <x:v>N/A</x:v>
      </x:c>
      <x:c r="F28" s="409"/>
      <x:c r="G28" s="439" t="str">
        <x:v>not expanded after smoke</x:v>
      </x:c>
      <x:c r="H28" s="439" t="str">
        <x:v>FP32 accumulator → BF16 TSTORE_CUBE dtype mismatch</x:v>
      </x:c>
    </x:row>
    <x:row r="29" ht="22" customHeight="1">
      <x:c r="A29" s="409" t="str">
        <x:v>BF16</x:v>
      </x:c>
      <x:c r="B29" s="409" t="str">
        <x:v>BF16</x:v>
      </x:c>
      <x:c r="C29" s="409" t="n">
        <x:v>128</x:v>
      </x:c>
      <x:c r="D29" s="437" t="str">
        <x:v>COMPILE_FAIL</x:v>
      </x:c>
      <x:c r="E29" s="437" t="str">
        <x:v>N/A</x:v>
      </x:c>
      <x:c r="F29" s="409"/>
      <x:c r="G29" s="439" t="str">
        <x:v>not expanded after smoke</x:v>
      </x:c>
      <x:c r="H29" s="439" t="str">
        <x:v>FP32 accumulator → BF16 TSTORE_CUBE dtype mismatch</x:v>
      </x:c>
    </x:row>
    <x:row r="30" ht="22" customHeight="1">
      <x:c r="A30" s="409" t="str">
        <x:v>BF16</x:v>
      </x:c>
      <x:c r="B30" s="409" t="str">
        <x:v>BF16</x:v>
      </x:c>
      <x:c r="C30" s="409" t="n">
        <x:v>256</x:v>
      </x:c>
      <x:c r="D30" s="437" t="str">
        <x:v>COMPILE_FAIL</x:v>
      </x:c>
      <x:c r="E30" s="437" t="str">
        <x:v>N/A</x:v>
      </x:c>
      <x:c r="F30" s="409"/>
      <x:c r="G30" s="439" t="str">
        <x:v>not expanded after smoke</x:v>
      </x:c>
      <x:c r="H30" s="439" t="str">
        <x:v>FP32 accumulator → BF16 TSTORE_CUBE dtype mismatch</x:v>
      </x:c>
    </x:row>
    <x:row r="31" ht="22" customHeight="1">
      <x:c r="A31" s="409" t="str">
        <x:v>FP8</x:v>
      </x:c>
      <x:c r="B31" s="409" t="str">
        <x:v>FP32</x:v>
      </x:c>
      <x:c r="C31" s="409" t="n">
        <x:v>32</x:v>
      </x:c>
      <x:c r="D31" s="435" t="str">
        <x:v>PASS</x:v>
      </x:c>
      <x:c r="E31" s="435" t="str">
        <x:v>DEADLOCK</x:v>
      </x:c>
      <x:c r="F31" s="409"/>
      <x:c r="G31" s="439" t="str">
        <x:v>not expanded after smoke</x:v>
      </x:c>
      <x:c r="H31" s="439" t="str">
        <x:v>cooperative TLOAD: PE state split, 9999-cycle watchdog</x:v>
      </x:c>
    </x:row>
    <x:row r="32" ht="22" customHeight="1">
      <x:c r="A32" s="409" t="str">
        <x:v>FP8</x:v>
      </x:c>
      <x:c r="B32" s="409" t="str">
        <x:v>FP32</x:v>
      </x:c>
      <x:c r="C32" s="409" t="n">
        <x:v>64</x:v>
      </x:c>
      <x:c r="D32" s="435" t="str">
        <x:v>PASS</x:v>
      </x:c>
      <x:c r="E32" s="435" t="str">
        <x:v>DEADLOCK</x:v>
      </x:c>
      <x:c r="F32" s="409"/>
      <x:c r="G32" s="439" t="str">
        <x:v>not expanded after smoke</x:v>
      </x:c>
      <x:c r="H32" s="439" t="str">
        <x:v>cooperative TLOAD: PE state split, 9999-cycle watchdog</x:v>
      </x:c>
    </x:row>
    <x:row r="33" ht="22" customHeight="1">
      <x:c r="A33" s="409" t="str">
        <x:v>FP8</x:v>
      </x:c>
      <x:c r="B33" s="409" t="str">
        <x:v>FP32</x:v>
      </x:c>
      <x:c r="C33" s="409" t="n">
        <x:v>128</x:v>
      </x:c>
      <x:c r="D33" s="435" t="str">
        <x:v>PASS</x:v>
      </x:c>
      <x:c r="E33" s="435" t="str">
        <x:v>DEADLOCK</x:v>
      </x:c>
      <x:c r="F33" s="409"/>
      <x:c r="G33" s="439" t="str">
        <x:v>not expanded after smoke</x:v>
      </x:c>
      <x:c r="H33" s="439" t="str">
        <x:v>cooperative TLOAD: PE state split, 9999-cycle watchdog</x:v>
      </x:c>
    </x:row>
    <x:row r="34" ht="22" customHeight="1">
      <x:c r="A34" s="409" t="str">
        <x:v>FP8</x:v>
      </x:c>
      <x:c r="B34" s="409" t="str">
        <x:v>FP32</x:v>
      </x:c>
      <x:c r="C34" s="409" t="n">
        <x:v>256</x:v>
      </x:c>
      <x:c r="D34" s="435" t="str">
        <x:v>PASS</x:v>
      </x:c>
      <x:c r="E34" s="435" t="str">
        <x:v>DEADLOCK</x:v>
      </x:c>
      <x:c r="F34" s="409"/>
      <x:c r="G34" s="439" t="str">
        <x:v>not expanded after smoke</x:v>
      </x:c>
      <x:c r="H34" s="439" t="str">
        <x:v>cooperative TLOAD: PE state split, 9999-cycle watchdog</x:v>
      </x:c>
    </x:row>
    <x:row r="35" ht="22" customHeight="1">
      <x:c r="A35" s="409" t="str">
        <x:v>FP8</x:v>
      </x:c>
      <x:c r="B35" s="409" t="str">
        <x:v>BF16</x:v>
      </x:c>
      <x:c r="C35" s="409" t="n">
        <x:v>32</x:v>
      </x:c>
      <x:c r="D35" s="437" t="str">
        <x:v>COMPILE_FAIL</x:v>
      </x:c>
      <x:c r="E35" s="437" t="str">
        <x:v>N/A</x:v>
      </x:c>
      <x:c r="F35" s="409"/>
      <x:c r="G35" s="439" t="str">
        <x:v>not expanded after smoke</x:v>
      </x:c>
      <x:c r="H35" s="439" t="str">
        <x:v>FP32 accumulator → BF16 TSTORE_CUBE dtype mismatch</x:v>
      </x:c>
    </x:row>
    <x:row r="36" ht="22" customHeight="1">
      <x:c r="A36" s="409" t="str">
        <x:v>FP8</x:v>
      </x:c>
      <x:c r="B36" s="409" t="str">
        <x:v>BF16</x:v>
      </x:c>
      <x:c r="C36" s="409" t="n">
        <x:v>64</x:v>
      </x:c>
      <x:c r="D36" s="437" t="str">
        <x:v>COMPILE_FAIL</x:v>
      </x:c>
      <x:c r="E36" s="437" t="str">
        <x:v>N/A</x:v>
      </x:c>
      <x:c r="F36" s="409"/>
      <x:c r="G36" s="439" t="str">
        <x:v>not expanded after smoke</x:v>
      </x:c>
      <x:c r="H36" s="439" t="str">
        <x:v>FP32 accumulator → BF16 TSTORE_CUBE dtype mismatch</x:v>
      </x:c>
    </x:row>
    <x:row r="37" ht="22" customHeight="1">
      <x:c r="A37" s="409" t="str">
        <x:v>FP8</x:v>
      </x:c>
      <x:c r="B37" s="409" t="str">
        <x:v>BF16</x:v>
      </x:c>
      <x:c r="C37" s="409" t="n">
        <x:v>128</x:v>
      </x:c>
      <x:c r="D37" s="437" t="str">
        <x:v>COMPILE_FAIL</x:v>
      </x:c>
      <x:c r="E37" s="437" t="str">
        <x:v>N/A</x:v>
      </x:c>
      <x:c r="F37" s="409"/>
      <x:c r="G37" s="439" t="str">
        <x:v>not expanded after smoke</x:v>
      </x:c>
      <x:c r="H37" s="439" t="str">
        <x:v>FP32 accumulator → BF16 TSTORE_CUBE dtype mismatch</x:v>
      </x:c>
    </x:row>
    <x:row r="38" ht="22" customHeight="1">
      <x:c r="A38" s="409" t="str">
        <x:v>FP8</x:v>
      </x:c>
      <x:c r="B38" s="409" t="str">
        <x:v>BF16</x:v>
      </x:c>
      <x:c r="C38" s="409" t="n">
        <x:v>256</x:v>
      </x:c>
      <x:c r="D38" s="437" t="str">
        <x:v>COMPILE_FAIL</x:v>
      </x:c>
      <x:c r="E38" s="437" t="str">
        <x:v>N/A</x:v>
      </x:c>
      <x:c r="F38" s="409"/>
      <x:c r="G38" s="439" t="str">
        <x:v>not expanded after smoke</x:v>
      </x:c>
      <x:c r="H38" s="439" t="str">
        <x:v>FP32 accumulator → BF16 TSTORE_CUBE dtype mismatch</x:v>
      </x:c>
    </x:row>
    <x:row r="41" ht="28" customHeight="1">
      <x:c r="A41" s="414" t="str">
        <x:v>Reproduction</x:v>
      </x:c>
      <x:c r="B41" s="415" t="str">
        <x:v>Compiler: linx-toolchain-build e6a31efb4cfb17f1f1c33265cbf6dbb61bbba156</x:v>
      </x:c>
    </x:row>
    <x:row r="42" ht="28" customHeight="1">
      <x:c r="A42" s="414" t="str">
        <x:v>Model</x:v>
      </x:c>
      <x:c r="B42" s="415" t="str">
        <x:v>SuperScalarModel-main 25bc5757a7cae873139b6935fe3866f125604089</x:v>
      </x:c>
    </x:row>
    <x:row r="43" ht="28" customHeight="1">
      <x:c r="A43" s="414" t="str">
        <x:v>Capacity</x:v>
      </x:c>
      <x:c r="B43" s="415" t="str">
        <x:v>All refreshed configurations pass the 256 KiB per-phase SharedTile capacity check.</x:v>
      </x:c>
    </x:row>
    <x:row r="44" ht="28" customHeight="1">
      <x:c r="A44" s="414" t="str">
        <x:v>Normal scope</x:v>
      </x:c>
      <x:c r="B44" s="415" t="str">
        <x:v>Only FP32/FP32 Tk=128 was attempted as the normal-path smoke; it was stopped after ~2.5 min without a benchmark result.</x:v>
      </x:c>
    </x:row>
    <x:row r="45" ht="28" customHeight="1">
      <x:c r="A45" s="414" t="str">
        <x:v>Trace scope</x:v>
      </x:c>
      <x:c r="B45" s="415" t="str">
        <x:v>All 24 trace-only combinations were rebuilt and classified from fresh logs.</x:v>
      </x:c>
    </x:row>
  </x:sheetData>
  <x:mergeCells>
    <x:mergeCell ref="A2:I2"/>
    <x:mergeCell ref="A4:I4"/>
    <x:mergeCell ref="A13:H13"/>
    <x:mergeCell ref="B41:I41"/>
    <x:mergeCell ref="B42:I42"/>
    <x:mergeCell ref="B43:I43"/>
    <x:mergeCell ref="B44:I44"/>
    <x:mergeCell ref="B45:I45"/>
  </x:mergeCells>
  <x:pageMargins left="0.7" right="0.7" top="0.75" bottom="0.75" header="0.3" footer="0.3"/>
</x:worksheet>
</file>