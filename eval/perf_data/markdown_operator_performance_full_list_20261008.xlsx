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c35b8604a247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down完整列表" sheetId="1" r:id="Rb3f6d254278c4412"/>
    <x:sheet xmlns:r="http://schemas.openxmlformats.org/officeDocument/2006/relationships" name="旧GMMA_Tk对比" sheetId="2" r:id="R03d10f7d31ef44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0.00%"/>
    <x:numFmt numFmtId="202" formatCode="#,##0"/>
    <x:numFmt numFmtId="203" formatCode="0.000"/>
    <x:numFmt numFmtId="204" formatCode="0.00&quot;x&quot;"/>
    <x:numFmt numFmtId="205" formatCode="0.0"/>
  </x:numFmts>
  <x:fonts count="13">
    <x:font>
      <x:sz val="11"/>
      <x:name val="Carlito"/>
    </x:font>
    <x:font>
      <x:b/>
      <x:sz val="14"/>
      <x:color rgb="FF17365D"/>
      <x:name val="Arial"/>
    </x:font>
    <x:font>
      <x:b/>
      <x:sz val="10"/>
      <x:color rgb="FF17365D"/>
      <x:name val="Arial"/>
    </x:font>
    <x:font>
      <x:b/>
      <x:sz val="10"/>
      <x:color rgb="FF7F6000"/>
      <x:name val="Arial"/>
    </x:font>
    <x:font>
      <x:i/>
      <x:sz val="10"/>
      <x:color rgb="FF666666"/>
      <x:name val="Arial"/>
    </x:font>
    <x:font>
      <x:b/>
      <x:sz val="10"/>
      <x:color rgb="FF375623"/>
      <x:name val="Arial"/>
    </x:font>
    <x:font>
      <x:sz val="10"/>
      <x:color rgb="FF333333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color rgb="FF548235"/>
      <x:name val="Arial"/>
    </x:font>
    <x:font>
      <x:b/>
      <x:sz val="10"/>
      <x:color rgb="FFC00000"/>
      <x:name val="Arial"/>
    </x:font>
    <x:font>
      <x:b/>
      <x:sz val="10"/>
      <x:color rgb="FF7F7F7F"/>
      <x:name val="Arial"/>
    </x:font>
    <x:font>
      <x:b/>
      <x:sz val="10"/>
      <x:color rgb="FF333333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FCE4D6"/>
      </x:patternFill>
    </x:fill>
    <x:fill>
      <x:patternFill patternType="solid">
        <x:fgColor rgb="FFEEF5FA"/>
      </x:patternFill>
    </x:fill>
    <x:fill>
      <x:patternFill patternType="solid">
        <x:fgColor rgb="FFC6E0B4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17365D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9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2" xfId="0" applyNumberFormat="1" applyFont="1" applyFill="1" applyBorder="1"/>
    <x:xf numFmtId="0" fontId="7" fillId="6" borderId="3" xfId="0" applyNumberFormat="1" applyFont="1" applyFill="1" applyBorder="1"/>
    <x:xf numFmtId="0" fontId="7" fillId="6" borderId="4" xfId="0" applyNumberFormat="1" applyFont="1" applyFill="1" applyBorder="1"/>
    <x:xf numFmtId="0" fontId="7" fillId="6" borderId="2" xfId="0" applyNumberFormat="1" applyFont="1" applyFill="1" applyBorder="1" applyAlignment="1">
      <x:alignment wrapText="1"/>
    </x:xf>
    <x:xf numFmtId="0" fontId="7" fillId="6" borderId="3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wrapText="1"/>
    </x:xf>
    <x:xf numFmtId="0" fontId="7" fillId="6" borderId="2" xfId="0" applyNumberFormat="1" applyFont="1" applyFill="1" applyBorder="1" applyAlignment="1">
      <x:alignment horizontal="center" wrapText="1"/>
    </x:xf>
    <x:xf numFmtId="0" fontId="7" fillId="6" borderId="3" xfId="0" applyNumberFormat="1" applyFont="1" applyFill="1" applyBorder="1" applyAlignment="1">
      <x:alignment horizontal="center" wrapText="1"/>
    </x:xf>
    <x:xf numFmtId="0" fontId="7" fillId="6" borderId="4" xfId="0" applyNumberFormat="1" applyFont="1" applyFill="1" applyBorder="1" applyAlignment="1">
      <x:alignment horizontal="center" wrapText="1"/>
    </x:xf>
    <x:xf numFmtId="0" fontId="7" fillId="6" borderId="2" xfId="0" applyNumberFormat="1" applyFont="1" applyFill="1" applyBorder="1" applyAlignment="1">
      <x:alignment horizontal="center" vertical="center" wrapText="1"/>
    </x:xf>
    <x:xf numFmtId="0" fontId="7" fillId="6" borderId="3" xfId="0" applyNumberFormat="1" applyFont="1" applyFill="1" applyBorder="1" applyAlignment="1">
      <x:alignment horizontal="center" vertical="center" wrapText="1"/>
    </x:xf>
    <x:xf numFmtId="0" fontId="7" fillId="6" borderId="4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 applyAlignment="1">
      <x:alignment vertical="center" wrapText="1"/>
    </x:xf>
    <x:xf numFmtId="200" fontId="8" fillId="2" borderId="0" xfId="0" applyNumberFormat="1" applyFont="1" applyFill="1" applyBorder="1" applyAlignment="1">
      <x:alignment vertical="center" wrapText="1"/>
    </x:xf>
    <x:xf numFmtId="200" fontId="8" fillId="3" borderId="0" xfId="0" applyNumberFormat="1" applyFont="1" applyFill="1" applyBorder="1" applyAlignment="1">
      <x:alignment vertical="center" wrapText="1"/>
    </x:xf>
    <x:xf numFmtId="200" fontId="8" fillId="4" borderId="0" xfId="0" applyNumberFormat="1" applyFont="1" applyFill="1" applyBorder="1" applyAlignment="1">
      <x:alignment vertical="center" wrapText="1"/>
    </x:xf>
    <x:xf numFmtId="200" fontId="8" fillId="7" borderId="0" xfId="0" applyNumberFormat="1" applyFont="1" applyFill="1" applyBorder="1" applyAlignment="1">
      <x:alignment vertical="center" wrapText="1"/>
    </x:xf>
    <x:xf numFmtId="201" fontId="8" fillId="2" borderId="0" xfId="0" applyNumberFormat="1" applyFont="1" applyFill="1" applyBorder="1" applyAlignment="1">
      <x:alignment vertical="center" wrapText="1"/>
    </x:xf>
    <x:xf numFmtId="201" fontId="8" fillId="3" borderId="0" xfId="0" applyNumberFormat="1" applyFont="1" applyFill="1" applyBorder="1" applyAlignment="1">
      <x:alignment vertical="center" wrapText="1"/>
    </x:xf>
    <x:xf numFmtId="201" fontId="8" fillId="4" borderId="0" xfId="0" applyNumberFormat="1" applyFont="1" applyFill="1" applyBorder="1" applyAlignment="1">
      <x:alignment vertical="center" wrapText="1"/>
    </x:xf>
    <x:xf numFmtId="201" fontId="8" fillId="7" borderId="0" xfId="0" applyNumberFormat="1" applyFont="1" applyFill="1" applyBorder="1" applyAlignment="1">
      <x:alignment vertical="center" wrapText="1"/>
    </x:xf>
    <x:xf numFmtId="202" fontId="8" fillId="2" borderId="0" xfId="0" applyNumberFormat="1" applyFont="1" applyFill="1" applyBorder="1" applyAlignment="1">
      <x:alignment vertical="center" wrapText="1"/>
    </x:xf>
    <x:xf numFmtId="202" fontId="8" fillId="3" borderId="0" xfId="0" applyNumberFormat="1" applyFont="1" applyFill="1" applyBorder="1" applyAlignment="1">
      <x:alignment vertical="center" wrapText="1"/>
    </x:xf>
    <x:xf numFmtId="202" fontId="8" fillId="4" borderId="0" xfId="0" applyNumberFormat="1" applyFont="1" applyFill="1" applyBorder="1" applyAlignment="1">
      <x:alignment vertical="center" wrapText="1"/>
    </x:xf>
    <x:xf numFmtId="202" fontId="8" fillId="7" borderId="0" xfId="0" applyNumberFormat="1" applyFont="1" applyFill="1" applyBorder="1" applyAlignment="1">
      <x:alignment vertical="center" wrapText="1"/>
    </x:xf>
    <x:xf numFmtId="203" fontId="8" fillId="2" borderId="0" xfId="0" applyNumberFormat="1" applyFont="1" applyFill="1" applyBorder="1" applyAlignment="1">
      <x:alignment vertical="center" wrapText="1"/>
    </x:xf>
    <x:xf numFmtId="203" fontId="8" fillId="3" borderId="0" xfId="0" applyNumberFormat="1" applyFont="1" applyFill="1" applyBorder="1" applyAlignment="1">
      <x:alignment vertical="center" wrapText="1"/>
    </x:xf>
    <x:xf numFmtId="203" fontId="8" fillId="4" borderId="0" xfId="0" applyNumberFormat="1" applyFont="1" applyFill="1" applyBorder="1" applyAlignment="1">
      <x:alignment vertical="center" wrapText="1"/>
    </x:xf>
    <x:xf numFmtId="203" fontId="8" fillId="7" borderId="0" xfId="0" applyNumberFormat="1" applyFont="1" applyFill="1" applyBorder="1" applyAlignment="1">
      <x:alignment vertical="center" wrapText="1"/>
    </x:xf>
    <x:xf numFmtId="204" fontId="8" fillId="2" borderId="0" xfId="0" applyNumberFormat="1" applyFont="1" applyFill="1" applyBorder="1" applyAlignment="1">
      <x:alignment vertical="center" wrapText="1"/>
    </x:xf>
    <x:xf numFmtId="204" fontId="8" fillId="3" borderId="0" xfId="0" applyNumberFormat="1" applyFont="1" applyFill="1" applyBorder="1" applyAlignment="1">
      <x:alignment vertical="center" wrapText="1"/>
    </x:xf>
    <x:xf numFmtId="204" fontId="8" fillId="4" borderId="0" xfId="0" applyNumberFormat="1" applyFont="1" applyFill="1" applyBorder="1" applyAlignment="1">
      <x:alignment vertical="center" wrapText="1"/>
    </x:xf>
    <x:xf numFmtId="204" fontId="8" fillId="7" borderId="0" xfId="0" applyNumberFormat="1" applyFont="1" applyFill="1" applyBorder="1" applyAlignment="1">
      <x:alignment vertical="center" wrapText="1"/>
    </x:xf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 applyAlignment="1">
      <x:alignment vertical="center" wrapText="1"/>
    </x:xf>
    <x:xf numFmtId="201" fontId="5" fillId="9" borderId="0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vertical="center" wrapText="1"/>
    </x:xf>
    <x:xf numFmtId="202" fontId="8" fillId="8" borderId="0" xfId="0" applyNumberFormat="1" applyFont="1" applyFill="1" applyBorder="1" applyAlignment="1">
      <x:alignment vertical="center" wrapText="1"/>
    </x:xf>
    <x:xf numFmtId="202" fontId="5" fillId="2" borderId="0" xfId="0" applyNumberFormat="1" applyFont="1" applyFill="1" applyBorder="1" applyAlignment="1">
      <x:alignment vertical="center" wrapText="1"/>
    </x:xf>
    <x:xf numFmtId="205" fontId="8" fillId="2" borderId="0" xfId="0" applyNumberFormat="1" applyFont="1" applyFill="1" applyBorder="1" applyAlignment="1">
      <x:alignment vertical="center" wrapText="1"/>
    </x:xf>
    <x:xf numFmtId="205" fontId="8" fillId="8" borderId="0" xfId="0" applyNumberFormat="1" applyFont="1" applyFill="1" applyBorder="1" applyAlignment="1">
      <x:alignment vertical="center" wrapText="1"/>
    </x:xf>
    <x:xf numFmtId="203" fontId="8" fillId="8" borderId="0" xfId="0" applyNumberFormat="1" applyFont="1" applyFill="1" applyBorder="1" applyAlignment="1">
      <x:alignment vertical="center" wrapText="1"/>
    </x:xf>
    <x:xf numFmtId="201" fontId="8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adeac4e51143fc" /><Relationship Type="http://schemas.openxmlformats.org/officeDocument/2006/relationships/theme" Target="/xl/theme/theme1.xml" Id="Rd450afcf4abc443a" /><Relationship Type="http://schemas.openxmlformats.org/officeDocument/2006/relationships/sharedStrings" Target="/xl/sharedStrings.xml" Id="R84a88be634fe4ec0" /><Relationship Type="http://schemas.openxmlformats.org/officeDocument/2006/relationships/worksheet" Target="/xl/worksheets/sheet1.xml" Id="Rb3f6d254278c4412" /><Relationship Type="http://schemas.openxmlformats.org/officeDocument/2006/relationships/worksheet" Target="/xl/worksheets/sheet2.xml" Id="R03d10f7d31ef44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12" hidden="0" customWidth="1"/>
    <x:col min="5" max="5" width="25" hidden="0" customWidth="1"/>
    <x:col min="6" max="6" width="10" hidden="0" customWidth="1"/>
    <x:col min="7" max="7" width="16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16" hidden="0" customWidth="1"/>
    <x:col min="13" max="13" width="13" hidden="0" customWidth="1"/>
    <x:col min="14" max="14" width="16" hidden="0" customWidth="1"/>
    <x:col min="15" max="15" width="18" hidden="0" customWidth="1"/>
    <x:col min="16" max="16" width="32" hidden="0" customWidth="1"/>
    <x:col min="17" max="17" width="76" hidden="0" customWidth="1"/>
  </x:cols>
  <x:sheetData>
    <x:row r="2">
      <x:c r="A2" s="2" t="str">
        <x:v>Markdown 算子配置与性能完整列表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4">
      <x:c r="A4" s="4" t="str">
        <x:v>时钟频率 (GHz)</x:v>
      </x:c>
      <x:c r="B4" s="11" t="n">
        <x:v>1.6</x:v>
      </x:c>
      <x:c r="D4" s="6" t="str">
        <x:v>用时公式</x:v>
      </x:c>
      <x:c r="E4" s="14" t="str">
        <x:v>= cycles / (1.6 × 1000) = cycles / 1600 μs</x:v>
      </x:c>
      <x:c r="G4" s="10" t="str">
        <x:v>为什么 HeadDim=256 的时间增加</x:v>
      </x:c>
      <x:c r="H4" s="10"/>
      <x:c r="I4" s="10"/>
      <x:c r="J4" s="10"/>
      <x:c r="K4" s="10"/>
      <x:c r="L4" s="10"/>
      <x:c r="M4" s="10"/>
      <x:c r="N4" s="10"/>
      <x:c r="O4" s="10"/>
      <x:c r="P4" s="10"/>
      <x:c r="Q4" s="10"/>
    </x:row>
    <x:row r="5" ht="28" customHeight="1">
      <x:c r="A5" s="4" t="str">
        <x:v>FA MFU 公式</x:v>
      </x:c>
      <x:c r="B5" s="11" t="str">
        <x:v>= [2 × Sq × Skv × HeadDim / Peak FMA/cycle] / cycles</x:v>
      </x:c>
      <x:c r="D5" s="6" t="str">
        <x:v>实测映射</x:v>
      </x:c>
      <x:c r="E5" s="14" t="str">
        <x:v>FA 计算使用 Sq=128；Skv 取自 shape 的序列长度，不在明细列重复展示。</x:v>
      </x:c>
      <x:c r="G5" s="13" t="str">
        <x:v>FA 的 QKᵀ 和 PV 两段计算量都与 HeadDim 近似线性增长。256 相比 128 的有效 FMA 约为 2 倍，同时 Q/K/V 搬运量、K 维分块循环以及寄存器与 SharedTile 压力也会增加，所以总 cycle 和用时上升。固定开销被摊薄后 MFU 可能提高，但不会抵消新增的总工作量。</x:v>
      </x:c>
      <x:c r="H5" s="13"/>
      <x:c r="I5" s="13"/>
      <x:c r="J5" s="13"/>
      <x:c r="K5" s="13"/>
      <x:c r="L5" s="13"/>
      <x:c r="M5" s="13"/>
      <x:c r="N5" s="13"/>
      <x:c r="O5" s="13"/>
      <x:c r="P5" s="13"/>
      <x:c r="Q5" s="13"/>
    </x:row>
    <x:row r="6" ht="28" customHeight="1">
      <x:c r="A6" s="4" t="str">
        <x:v>峰值 FMA/cycle</x:v>
      </x:c>
      <x:c r="B6" s="11" t="str">
        <x:v>BF16=4096; FP8=8192; FP4=32768（1:2:8）</x:v>
      </x:c>
      <x:c r="D6" s="6" t="str">
        <x:v>运行配置</x:v>
      </x:c>
      <x:c r="E6" s="14" t="str">
        <x:v>标准精度 FA=fa_gmma_opt；MXFP4=fa_lowp_algC_final；4 PE; internal_acc=true; vec_cell_sched=true; SoC BW=113 B/cycle; latency=330; ShareTReg=256 KiB</x:v>
      </x:c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</x:row>
    <x:row r="7">
      <x:c r="D7" s="6" t="str">
        <x:v>Matmul MFU 公式</x:v>
      </x:c>
      <x:c r="E7" s="7" t="str">
        <x:v>= [M × N × K / Peak FMA/cycle] / cycles</x:v>
      </x:c>
    </x:row>
    <x:row r="8" ht="28" customHeight="1">
      <x:c r="A8" s="18" t="str">
        <x:v>Markdown 配置</x:v>
      </x:c>
      <x:c r="B8" s="18" t="str">
        <x:v>Markdown 配置</x:v>
      </x:c>
      <x:c r="C8" s="18" t="str">
        <x:v>Markdown 配置</x:v>
      </x:c>
      <x:c r="D8" s="18" t="str">
        <x:v>Markdown 配置</x:v>
      </x:c>
      <x:c r="E8" s="18" t="str">
        <x:v>Markdown 配置</x:v>
      </x:c>
      <x:c r="F8" s="18" t="str">
        <x:v>Markdown 配置</x:v>
      </x:c>
      <x:c r="G8" s="18" t="str">
        <x:v>DV200</x:v>
      </x:c>
      <x:c r="H8" s="18" t="str">
        <x:v>DV200</x:v>
      </x:c>
      <x:c r="I8" s="18" t="str">
        <x:v>本次 gfsim 实测与 MFU 计算</x:v>
      </x:c>
      <x:c r="J8" s="18" t="str">
        <x:v>本次 gfsim 实测与 MFU 计算</x:v>
      </x:c>
      <x:c r="K8" s="18" t="str">
        <x:v>本次 gfsim 实测与 MFU 计算</x:v>
      </x:c>
      <x:c r="L8" s="18" t="str">
        <x:v>本次 gfsim 实测与 MFU 计算</x:v>
      </x:c>
      <x:c r="M8" s="18" t="str">
        <x:v>本次 gfsim 实测与 MFU 计算</x:v>
      </x:c>
      <x:c r="N8" s="18" t="str">
        <x:v>对比</x:v>
      </x:c>
      <x:c r="O8" s="18" t="str">
        <x:v>状态与复现</x:v>
      </x:c>
      <x:c r="P8" s="18" t="str">
        <x:v>状态与复现</x:v>
      </x:c>
      <x:c r="Q8" s="18" t="str">
        <x:v>状态与复现</x:v>
      </x:c>
    </x:row>
    <x:row r="9" ht="28" customHeight="1">
      <x:c r="A9" s="30" t="str">
        <x:v>category</x:v>
      </x:c>
      <x:c r="B9" s="31" t="str">
        <x:v>cube quant</x:v>
      </x:c>
      <x:c r="C9" s="31" t="str">
        <x:v>vector quant</x:v>
      </x:c>
      <x:c r="D9" s="31" t="str">
        <x:v>head-dim</x:v>
      </x:c>
      <x:c r="E9" s="31" t="str">
        <x:v>shape</x:v>
      </x:c>
      <x:c r="F9" s="31" t="str">
        <x:v>排布</x:v>
      </x:c>
      <x:c r="G9" s="31" t="str">
        <x:v>dv200 time (us)</x:v>
      </x:c>
      <x:c r="H9" s="31" t="str">
        <x:v>dv200 mfu</x:v>
      </x:c>
      <x:c r="I9" s="31" t="str">
        <x:v>cycles</x:v>
      </x:c>
      <x:c r="J9" s="31" t="str">
        <x:v>time (us)</x:v>
      </x:c>
      <x:c r="K9" s="31" t="str">
        <x:v>Peak FMA/cycle</x:v>
      </x:c>
      <x:c r="L9" s="31" t="str">
        <x:v>理论 cycles</x:v>
      </x:c>
      <x:c r="M9" s="31" t="str">
        <x:v>MFU</x:v>
      </x:c>
      <x:c r="N9" s="31" t="str">
        <x:v>time / dv200</x:v>
      </x:c>
      <x:c r="O9" s="31" t="str">
        <x:v>状态</x:v>
      </x:c>
      <x:c r="P9" s="31" t="str">
        <x:v>gfsim 配置</x:v>
      </x:c>
      <x:c r="Q9" s="32" t="str">
        <x:v>证据 / 说明</x:v>
      </x:c>
    </x:row>
    <x:row r="10" ht="34" customHeight="1">
      <x:c r="A10" s="35" t="str">
        <x:v>FA</x:v>
      </x:c>
      <x:c r="B10" s="35" t="str">
        <x:v>mxfp4/hif4一阶</x:v>
      </x:c>
      <x:c r="C10" s="35" t="str">
        <x:v>bf16</x:v>
      </x:c>
      <x:c r="D10" s="35" t="n">
        <x:v>256</x:v>
      </x:c>
      <x:c r="E10" s="35" t="str">
        <x:v>[1,8,65536,256]</x:v>
      </x:c>
      <x:c r="F10" s="35" t="str">
        <x:v>BNSD</x:v>
      </x:c>
      <x:c r="G10" s="58" t="n">
        <x:v>217.23</x:v>
      </x:c>
      <x:c r="H10" s="62" t="n">
        <x:v>0.8045</x:v>
      </x:c>
      <x:c r="I10" s="66" t="n">
        <x:v>623629</x:v>
      </x:c>
      <x:c r="J10" s="70" t="n">
        <x:f>IF(I10="","",I10/($B$4*1000))</x:f>
        <x:v>389.768125</x:v>
      </x:c>
      <x:c r="K10" s="66" t="n">
        <x:v>32768</x:v>
      </x:c>
      <x:c r="L10" s="66" t="n">
        <x:f>IF(I10="","",2*128*65536*D10/K10)</x:f>
        <x:v>131072</x:v>
      </x:c>
      <x:c r="M10" s="62" t="n">
        <x:f>IF(I10="","",L10/I10)</x:f>
        <x:v>0.21017624260578005</x:v>
      </x:c>
      <x:c r="N10" s="74" t="n">
        <x:f>IF(J10="","",J10/G10)</x:f>
        <x:v>1.794264719421811</x:v>
      </x:c>
      <x:c r="O10" s="36" t="str">
        <x:v>PASS</x:v>
      </x:c>
      <x:c r="P10" s="35" t="str">
        <x:v>fa_lowp_algC_final; Tm=128; Tk=128</x:v>
      </x:c>
      <x:c r="Q10" s="35" t="str">
        <x:v>实测路径为 MXFP4 / fa_lowp_algC_final。 /Users/blacktraker/Programming/gitproj/DV4/SuperNPUBench/outputs/operator_comparison_20261008/cases/fa_mxfp4_bf16_d256/gfsim.log</x:v>
      </x:c>
    </x:row>
    <x:row r="11" ht="34" customHeight="1">
      <x:c r="A11" s="35" t="str">
        <x:v>FA</x:v>
      </x:c>
      <x:c r="B11" s="35" t="str">
        <x:v>mxfp4/hif4一阶</x:v>
      </x:c>
      <x:c r="C11" s="35" t="str">
        <x:v>bf16</x:v>
      </x:c>
      <x:c r="D11" s="35" t="n">
        <x:v>192</x:v>
      </x:c>
      <x:c r="E11" s="35" t="str">
        <x:v>[1,8,65536,128+64]</x:v>
      </x:c>
      <x:c r="F11" s="35" t="str">
        <x:v>BNSD</x:v>
      </x:c>
      <x:c r="G11" s="58" t="n">
        <x:v>133.76</x:v>
      </x:c>
      <x:c r="H11" s="62" t="n">
        <x:v>0.8166</x:v>
      </x:c>
      <x:c r="I11" s="66"/>
      <x:c r="J11" s="70"/>
      <x:c r="K11" s="66" t="n">
        <x:v>32768</x:v>
      </x:c>
      <x:c r="L11" s="66"/>
      <x:c r="M11" s="62"/>
      <x:c r="N11" s="74"/>
      <x:c r="O11" s="37" t="str">
        <x:v>MODEL_ASSERT</x:v>
      </x:c>
      <x:c r="P11" s="35" t="str">
        <x:v>fa_lowp_algC_final; Tm=128; Tk=128</x:v>
      </x:c>
      <x:c r="Q11" s="35" t="str">
        <x:v>实测路径为 MXFP4 / fa_lowp_algC_final。 D=192 被 model-main rowBits/capacity 契约断言拒绝，无有效 cycle。 /Users/blacktraker/Programming/gitproj/DV4/SuperNPUBench/outputs/operator_comparison_20261008/cases/fa_mxfp4_bf16_d192/gfsim.log</x:v>
      </x:c>
    </x:row>
    <x:row r="12" ht="34" customHeight="1">
      <x:c r="A12" s="35" t="str">
        <x:v>FA</x:v>
      </x:c>
      <x:c r="B12" s="35" t="str">
        <x:v>mxfp4/hif4一阶</x:v>
      </x:c>
      <x:c r="C12" s="35" t="str">
        <x:v>bf16</x:v>
      </x:c>
      <x:c r="D12" s="35" t="n">
        <x:v>128</x:v>
      </x:c>
      <x:c r="E12" s="35" t="str">
        <x:v>[1,8,65536,128]</x:v>
      </x:c>
      <x:c r="F12" s="35" t="str">
        <x:v>BNSD</x:v>
      </x:c>
      <x:c r="G12" s="58" t="n">
        <x:v>123.79</x:v>
      </x:c>
      <x:c r="H12" s="62" t="n">
        <x:v>0.7059</x:v>
      </x:c>
      <x:c r="I12" s="66" t="n">
        <x:v>575603</x:v>
      </x:c>
      <x:c r="J12" s="70" t="n">
        <x:f>IF(I12="","",I12/($B$4*1000))</x:f>
        <x:v>359.751875</x:v>
      </x:c>
      <x:c r="K12" s="66" t="n">
        <x:v>32768</x:v>
      </x:c>
      <x:c r="L12" s="66" t="n">
        <x:f>IF(I12="","",2*128*65536*D12/K12)</x:f>
        <x:v>65536</x:v>
      </x:c>
      <x:c r="M12" s="62" t="n">
        <x:f>IF(I12="","",L12/I12)</x:f>
        <x:v>0.11385625161786857</x:v>
      </x:c>
      <x:c r="N12" s="74" t="n">
        <x:f>IF(J12="","",J12/G12)</x:f>
        <x:v>2.9061464981016236</x:v>
      </x:c>
      <x:c r="O12" s="36" t="str">
        <x:v>PASS</x:v>
      </x:c>
      <x:c r="P12" s="35" t="str">
        <x:v>fa_lowp_algC_final; Tm=128; Tk=128</x:v>
      </x:c>
      <x:c r="Q12" s="35" t="str">
        <x:v>实测路径为 MXFP4 / fa_lowp_algC_final。 /Users/blacktraker/Programming/gitproj/DV4/SuperNPUBench/outputs/operator_comparison_20261008/cases/fa_mxfp4_bf16_d128/gfsim.log</x:v>
      </x:c>
    </x:row>
    <x:row r="13" ht="34" customHeight="1">
      <x:c r="A13" s="35" t="str">
        <x:v>FA</x:v>
      </x:c>
      <x:c r="B13" s="35" t="str">
        <x:v>mxfp4/hif4一阶</x:v>
      </x:c>
      <x:c r="C13" s="35" t="str">
        <x:v>bf16</x:v>
      </x:c>
      <x:c r="D13" s="35" t="n">
        <x:v>64</x:v>
      </x:c>
      <x:c r="E13" s="35" t="str">
        <x:v>[1,8,65536,64]</x:v>
      </x:c>
      <x:c r="F13" s="35" t="str">
        <x:v>BNSD</x:v>
      </x:c>
      <x:c r="G13" s="58" t="n">
        <x:v>114.52</x:v>
      </x:c>
      <x:c r="H13" s="62" t="n">
        <x:v>0.3815</x:v>
      </x:c>
      <x:c r="I13" s="66" t="n">
        <x:v>577978</x:v>
      </x:c>
      <x:c r="J13" s="70" t="n">
        <x:f>IF(I13="","",I13/($B$4*1000))</x:f>
        <x:v>361.23625</x:v>
      </x:c>
      <x:c r="K13" s="66" t="n">
        <x:v>32768</x:v>
      </x:c>
      <x:c r="L13" s="66" t="n">
        <x:f>IF(I13="","",2*128*65536*D13/K13)</x:f>
        <x:v>32768</x:v>
      </x:c>
      <x:c r="M13" s="62" t="n">
        <x:f>IF(I13="","",L13/I13)</x:f>
        <x:v>0.05669419943319642</x:v>
      </x:c>
      <x:c r="N13" s="74" t="n">
        <x:f>IF(J13="","",J13/G13)</x:f>
        <x:v>3.154350768424729</x:v>
      </x:c>
      <x:c r="O13" s="36" t="str">
        <x:v>PASS</x:v>
      </x:c>
      <x:c r="P13" s="35" t="str">
        <x:v>fa_lowp_algC_final; Tm=128; Tk=128</x:v>
      </x:c>
      <x:c r="Q13" s="35" t="str">
        <x:v>实测路径为 MXFP4 / fa_lowp_algC_final。 /Users/blacktraker/Programming/gitproj/DV4/SuperNPUBench/outputs/operator_comparison_20261008/cases/fa_mxfp4_bf16_d64/gfsim.log</x:v>
      </x:c>
    </x:row>
    <x:row r="14" ht="34" customHeight="1">
      <x:c r="A14" s="40" t="str">
        <x:v>FA</x:v>
      </x:c>
      <x:c r="B14" s="40" t="str">
        <x:v>fp8</x:v>
      </x:c>
      <x:c r="C14" s="40" t="str">
        <x:v>fp32</x:v>
      </x:c>
      <x:c r="D14" s="40" t="n">
        <x:v>256</x:v>
      </x:c>
      <x:c r="E14" s="40" t="str">
        <x:v>[1,8192,8,256]</x:v>
      </x:c>
      <x:c r="F14" s="40" t="str">
        <x:v>BSND</x:v>
      </x:c>
      <x:c r="G14" s="59" t="n">
        <x:v>46.82</x:v>
      </x:c>
      <x:c r="H14" s="63" t="n">
        <x:v>0.9331</x:v>
      </x:c>
      <x:c r="I14" s="67" t="n">
        <x:v>69732</x:v>
      </x:c>
      <x:c r="J14" s="71" t="n">
        <x:f>IF(I14="","",I14/($B$4*1000))</x:f>
        <x:v>43.5825</x:v>
      </x:c>
      <x:c r="K14" s="67" t="n">
        <x:v>8192</x:v>
      </x:c>
      <x:c r="L14" s="67" t="n">
        <x:f>IF(I14="","",2*128*8192*D14/K14)</x:f>
        <x:v>65536</x:v>
      </x:c>
      <x:c r="M14" s="63" t="n">
        <x:f>IF(I14="","",L14/I14)</x:f>
        <x:v>0.939826765330121</x:v>
      </x:c>
      <x:c r="N14" s="75" t="n">
        <x:f>IF(J14="","",J14/G14)</x:f>
        <x:v>0.9308521999145665</x:v>
      </x:c>
      <x:c r="O14" s="41" t="str">
        <x:v>PASS</x:v>
      </x:c>
      <x:c r="P14" s="40" t="str">
        <x:v>fa_gmma_opt; Tm=128; Tk=128</x:v>
      </x:c>
      <x:c r="Q14" s="40" t="str">
        <x:v>标准精度实测路径已替换为 fa_gmma_opt。 /Users/blacktraker/Programming/gitproj/DV4/SuperNPUBench/outputs/fa_gmma_opt_refresh_20261009/cases/fa_fp8_fp32_d256/gfsim.log</x:v>
      </x:c>
    </x:row>
    <x:row r="15" ht="34" customHeight="1">
      <x:c r="A15" s="40" t="str">
        <x:v>FA</x:v>
      </x:c>
      <x:c r="B15" s="40" t="str">
        <x:v>fp8</x:v>
      </x:c>
      <x:c r="C15" s="40" t="str">
        <x:v>fp32</x:v>
      </x:c>
      <x:c r="D15" s="40" t="n">
        <x:v>192</x:v>
      </x:c>
      <x:c r="E15" s="40" t="str">
        <x:v>[1,8192,8,128+64]</x:v>
      </x:c>
      <x:c r="F15" s="40" t="str">
        <x:v>BSND</x:v>
      </x:c>
      <x:c r="G15" s="59" t="n">
        <x:v>30.8</x:v>
      </x:c>
      <x:c r="H15" s="63" t="n">
        <x:v>0.8866</x:v>
      </x:c>
      <x:c r="I15" s="67"/>
      <x:c r="J15" s="71"/>
      <x:c r="K15" s="67" t="n">
        <x:v>8192</x:v>
      </x:c>
      <x:c r="L15" s="67"/>
      <x:c r="M15" s="63"/>
      <x:c r="N15" s="75"/>
      <x:c r="O15" s="42" t="str">
        <x:v>MODEL_ASSERT</x:v>
      </x:c>
      <x:c r="P15" s="40" t="str">
        <x:v>fa_gmma_opt; Tm=128; Tk=128</x:v>
      </x:c>
      <x:c r="Q15" s="40" t="str">
        <x:v>标准精度实测路径已替换为 fa_gmma_opt。 D=192 被 model-main rowBits/capacity 契约断言拒绝，无有效 cycle。 /Users/blacktraker/Programming/gitproj/DV4/SuperNPUBench/outputs/fa_gmma_opt_refresh_20261009/cases/fa_fp8_fp32_d192/gfsim.log</x:v>
      </x:c>
    </x:row>
    <x:row r="16" ht="34" customHeight="1">
      <x:c r="A16" s="40" t="str">
        <x:v>FA</x:v>
      </x:c>
      <x:c r="B16" s="40" t="str">
        <x:v>fp8</x:v>
      </x:c>
      <x:c r="C16" s="40" t="str">
        <x:v>fp32</x:v>
      </x:c>
      <x:c r="D16" s="40" t="n">
        <x:v>128</x:v>
      </x:c>
      <x:c r="E16" s="40" t="str">
        <x:v>[1,8192,8,128]</x:v>
      </x:c>
      <x:c r="F16" s="40" t="str">
        <x:v>BSND</x:v>
      </x:c>
      <x:c r="G16" s="59" t="n">
        <x:v>29.96</x:v>
      </x:c>
      <x:c r="H16" s="63" t="n">
        <x:v>0.7291</x:v>
      </x:c>
      <x:c r="I16" s="67" t="n">
        <x:v>41579</x:v>
      </x:c>
      <x:c r="J16" s="71" t="n">
        <x:f>IF(I16="","",I16/($B$4*1000))</x:f>
        <x:v>25.986875</x:v>
      </x:c>
      <x:c r="K16" s="67" t="n">
        <x:v>8192</x:v>
      </x:c>
      <x:c r="L16" s="67" t="n">
        <x:f>IF(I16="","",2*128*8192*D16/K16)</x:f>
        <x:v>32768</x:v>
      </x:c>
      <x:c r="M16" s="63" t="n">
        <x:f>IF(I16="","",L16/I16)</x:f>
        <x:v>0.7880901416580486</x:v>
      </x:c>
      <x:c r="N16" s="75" t="n">
        <x:f>IF(J16="","",J16/G16)</x:f>
        <x:v>0.8673856809078772</x:v>
      </x:c>
      <x:c r="O16" s="41" t="str">
        <x:v>PASS</x:v>
      </x:c>
      <x:c r="P16" s="40" t="str">
        <x:v>fa_gmma_opt; Tm=128; Tk=128</x:v>
      </x:c>
      <x:c r="Q16" s="40" t="str">
        <x:v>标准精度实测路径已替换为 fa_gmma_opt。 /Users/blacktraker/Programming/gitproj/DV4/SuperNPUBench/outputs/fa_gmma_opt_refresh_20261009/cases/fa_fp8_fp32_d128/gfsim.log</x:v>
      </x:c>
    </x:row>
    <x:row r="17" ht="34" customHeight="1">
      <x:c r="A17" s="40" t="str">
        <x:v>FA</x:v>
      </x:c>
      <x:c r="B17" s="40" t="str">
        <x:v>fp8</x:v>
      </x:c>
      <x:c r="C17" s="40" t="str">
        <x:v>fp32</x:v>
      </x:c>
      <x:c r="D17" s="40" t="n">
        <x:v>64</x:v>
      </x:c>
      <x:c r="E17" s="40" t="str">
        <x:v>[1,8192,8,64]</x:v>
      </x:c>
      <x:c r="F17" s="40" t="str">
        <x:v>BSND</x:v>
      </x:c>
      <x:c r="G17" s="59" t="n">
        <x:v>29.39</x:v>
      </x:c>
      <x:c r="H17" s="63" t="n">
        <x:v>0.3716</x:v>
      </x:c>
      <x:c r="I17" s="67" t="n">
        <x:v>39616</x:v>
      </x:c>
      <x:c r="J17" s="71" t="n">
        <x:f>IF(I17="","",I17/($B$4*1000))</x:f>
        <x:v>24.76</x:v>
      </x:c>
      <x:c r="K17" s="67" t="n">
        <x:v>8192</x:v>
      </x:c>
      <x:c r="L17" s="67" t="n">
        <x:f>IF(I17="","",2*128*8192*D17/K17)</x:f>
        <x:v>16384</x:v>
      </x:c>
      <x:c r="M17" s="63" t="n">
        <x:f>IF(I17="","",L17/I17)</x:f>
        <x:v>0.4135702746365105</x:v>
      </x:c>
      <x:c r="N17" s="75" t="n">
        <x:f>IF(J17="","",J17/G17)</x:f>
        <x:v>0.8424634229329704</x:v>
      </x:c>
      <x:c r="O17" s="41" t="str">
        <x:v>PASS</x:v>
      </x:c>
      <x:c r="P17" s="40" t="str">
        <x:v>fa_gmma_opt; Tm=128; Tk=128</x:v>
      </x:c>
      <x:c r="Q17" s="40" t="str">
        <x:v>标准精度实测路径已替换为 fa_gmma_opt。 /Users/blacktraker/Programming/gitproj/DV4/SuperNPUBench/outputs/fa_gmma_opt_refresh_20261009/cases/fa_fp8_fp32_d64/gfsim.log</x:v>
      </x:c>
    </x:row>
    <x:row r="18" ht="34" customHeight="1">
      <x:c r="A18" s="45" t="str">
        <x:v>FA</x:v>
      </x:c>
      <x:c r="B18" s="45" t="str">
        <x:v>fp8</x:v>
      </x:c>
      <x:c r="C18" s="45" t="str">
        <x:v>bf16</x:v>
      </x:c>
      <x:c r="D18" s="45" t="n">
        <x:v>256</x:v>
      </x:c>
      <x:c r="E18" s="45" t="str">
        <x:v>[1,8192,8,256]</x:v>
      </x:c>
      <x:c r="F18" s="45" t="str">
        <x:v>BSND</x:v>
      </x:c>
      <x:c r="G18" s="60" t="n">
        <x:v>46.8</x:v>
      </x:c>
      <x:c r="H18" s="64" t="n">
        <x:v>0.9336</x:v>
      </x:c>
      <x:c r="I18" s="68" t="n">
        <x:v>77487</x:v>
      </x:c>
      <x:c r="J18" s="72" t="n">
        <x:f>IF(I18="","",I18/($B$4*1000))</x:f>
        <x:v>48.429375</x:v>
      </x:c>
      <x:c r="K18" s="68" t="n">
        <x:v>8192</x:v>
      </x:c>
      <x:c r="L18" s="68" t="n">
        <x:f>IF(I18="","",2*128*8192*D18/K18)</x:f>
        <x:v>65536</x:v>
      </x:c>
      <x:c r="M18" s="64" t="n">
        <x:f>IF(I18="","",L18/I18)</x:f>
        <x:v>0.8457676771587492</x:v>
      </x:c>
      <x:c r="N18" s="76" t="n">
        <x:f>IF(J18="","",J18/G18)</x:f>
        <x:v>1.0348157051282052</x:v>
      </x:c>
      <x:c r="O18" s="46" t="str">
        <x:v>PASS</x:v>
      </x:c>
      <x:c r="P18" s="45" t="str">
        <x:v>fa_gmma_opt; Tm=128; Tk=256</x:v>
      </x:c>
      <x:c r="Q18" s="45" t="str">
        <x:v>标准精度实测路径已替换为 fa_gmma_opt。 融合 RowMax dtype 已按 PTO #346 跟随 final D。 /Users/blacktraker/Programming/gitproj/DV4/SuperNPUBench/outputs/fa_gmma_opt_refresh_20261009/cases/fa_fp8_bf16_d256/gfsim.log</x:v>
      </x:c>
    </x:row>
    <x:row r="19" ht="34" customHeight="1">
      <x:c r="A19" s="45" t="str">
        <x:v>FA</x:v>
      </x:c>
      <x:c r="B19" s="45" t="str">
        <x:v>fp8</x:v>
      </x:c>
      <x:c r="C19" s="45" t="str">
        <x:v>bf16</x:v>
      </x:c>
      <x:c r="D19" s="45" t="n">
        <x:v>192</x:v>
      </x:c>
      <x:c r="E19" s="45" t="str">
        <x:v>[1,8192,8,128+64]</x:v>
      </x:c>
      <x:c r="F19" s="45" t="str">
        <x:v>BSND</x:v>
      </x:c>
      <x:c r="G19" s="60" t="n">
        <x:v>29.84</x:v>
      </x:c>
      <x:c r="H19" s="64" t="n">
        <x:v>0.9159</x:v>
      </x:c>
      <x:c r="I19" s="68"/>
      <x:c r="J19" s="72"/>
      <x:c r="K19" s="68" t="n">
        <x:v>8192</x:v>
      </x:c>
      <x:c r="L19" s="68"/>
      <x:c r="M19" s="64"/>
      <x:c r="N19" s="76"/>
      <x:c r="O19" s="47" t="str">
        <x:v>MODEL_ASSERT</x:v>
      </x:c>
      <x:c r="P19" s="45" t="str">
        <x:v>fa_gmma_opt; Tm=128; Tk=256</x:v>
      </x:c>
      <x:c r="Q19" s="45" t="str">
        <x:v>标准精度实测路径已替换为 fa_gmma_opt。 融合 RowMax dtype 已按 PTO #346 跟随 final D。 D=192 被 model-main rowBits/capacity 契约断言拒绝，无有效 cycle。 /Users/blacktraker/Programming/gitproj/DV4/SuperNPUBench/outputs/fa_gmma_opt_refresh_20261009/cases/fa_fp8_bf16_d192/gfsim.log</x:v>
      </x:c>
    </x:row>
    <x:row r="20" ht="34" customHeight="1">
      <x:c r="A20" s="45" t="str">
        <x:v>FA</x:v>
      </x:c>
      <x:c r="B20" s="45" t="str">
        <x:v>fp8</x:v>
      </x:c>
      <x:c r="C20" s="45" t="str">
        <x:v>bf16</x:v>
      </x:c>
      <x:c r="D20" s="45" t="n">
        <x:v>128</x:v>
      </x:c>
      <x:c r="E20" s="45" t="str">
        <x:v>[1,8192,8,128]</x:v>
      </x:c>
      <x:c r="F20" s="45" t="str">
        <x:v>BSND</x:v>
      </x:c>
      <x:c r="G20" s="60" t="n">
        <x:v>23.94</x:v>
      </x:c>
      <x:c r="H20" s="64" t="n">
        <x:v>0.9126</x:v>
      </x:c>
      <x:c r="I20" s="68" t="n">
        <x:v>35883</x:v>
      </x:c>
      <x:c r="J20" s="72" t="n">
        <x:f>IF(I20="","",I20/($B$4*1000))</x:f>
        <x:v>22.426875</x:v>
      </x:c>
      <x:c r="K20" s="68" t="n">
        <x:v>8192</x:v>
      </x:c>
      <x:c r="L20" s="68" t="n">
        <x:f>IF(I20="","",2*128*8192*D20/K20)</x:f>
        <x:v>32768</x:v>
      </x:c>
      <x:c r="M20" s="64" t="n">
        <x:f>IF(I20="","",L20/I20)</x:f>
        <x:v>0.9131900900147703</x:v>
      </x:c>
      <x:c r="N20" s="76" t="n">
        <x:f>IF(J20="","",J20/G20)</x:f>
        <x:v>0.9367951127819548</x:v>
      </x:c>
      <x:c r="O20" s="46" t="str">
        <x:v>PASS</x:v>
      </x:c>
      <x:c r="P20" s="45" t="str">
        <x:v>fa_gmma_opt; Tm=128; Tk=256</x:v>
      </x:c>
      <x:c r="Q20" s="45" t="str">
        <x:v>标准精度实测路径已替换为 fa_gmma_opt。 融合 RowMax dtype 已按 PTO #346 跟随 final D。 /Users/blacktraker/Programming/gitproj/DV4/SuperNPUBench/outputs/fa_gmma_opt_refresh_20261009/cases/fa_fp8_bf16_d128/gfsim.log</x:v>
      </x:c>
    </x:row>
    <x:row r="21" ht="34" customHeight="1">
      <x:c r="A21" s="45" t="str">
        <x:v>FA</x:v>
      </x:c>
      <x:c r="B21" s="45" t="str">
        <x:v>fp8</x:v>
      </x:c>
      <x:c r="C21" s="45" t="str">
        <x:v>bf16</x:v>
      </x:c>
      <x:c r="D21" s="45" t="n">
        <x:v>64</x:v>
      </x:c>
      <x:c r="E21" s="45" t="str">
        <x:v>[1,8192,8,64]</x:v>
      </x:c>
      <x:c r="F21" s="45" t="str">
        <x:v>BSND</x:v>
      </x:c>
      <x:c r="G21" s="60" t="n">
        <x:v>16.12</x:v>
      </x:c>
      <x:c r="H21" s="64" t="n">
        <x:v>0.6776</x:v>
      </x:c>
      <x:c r="I21" s="68" t="n">
        <x:v>22792</x:v>
      </x:c>
      <x:c r="J21" s="72" t="n">
        <x:f>IF(I21="","",I21/($B$4*1000))</x:f>
        <x:v>14.245</x:v>
      </x:c>
      <x:c r="K21" s="68" t="n">
        <x:v>8192</x:v>
      </x:c>
      <x:c r="L21" s="68" t="n">
        <x:f>IF(I21="","",2*128*8192*D21/K21)</x:f>
        <x:v>16384</x:v>
      </x:c>
      <x:c r="M21" s="64" t="n">
        <x:f>IF(I21="","",L21/I21)</x:f>
        <x:v>0.7188487188487188</x:v>
      </x:c>
      <x:c r="N21" s="76" t="n">
        <x:f>IF(J21="","",J21/G21)</x:f>
        <x:v>0.8836848635235731</x:v>
      </x:c>
      <x:c r="O21" s="46" t="str">
        <x:v>PASS</x:v>
      </x:c>
      <x:c r="P21" s="45" t="str">
        <x:v>fa_gmma_opt; Tm=128; Tk=256</x:v>
      </x:c>
      <x:c r="Q21" s="45" t="str">
        <x:v>标准精度实测路径已替换为 fa_gmma_opt。 融合 RowMax dtype 已按 PTO #346 跟随 final D。 /Users/blacktraker/Programming/gitproj/DV4/SuperNPUBench/outputs/fa_gmma_opt_refresh_20261009/cases/fa_fp8_bf16_d64/gfsim.log</x:v>
      </x:c>
    </x:row>
    <x:row r="22" ht="34" customHeight="1">
      <x:c r="A22" s="51" t="str">
        <x:v>FA</x:v>
      </x:c>
      <x:c r="B22" s="51" t="str">
        <x:v>bf16</x:v>
      </x:c>
      <x:c r="C22" s="51" t="str">
        <x:v>fp32</x:v>
      </x:c>
      <x:c r="D22" s="51" t="n">
        <x:v>256</x:v>
      </x:c>
      <x:c r="E22" s="51" t="str">
        <x:v>[1,8192,8,256]</x:v>
      </x:c>
      <x:c r="F22" s="51" t="str">
        <x:v>BSND</x:v>
      </x:c>
      <x:c r="G22" s="61"/>
      <x:c r="H22" s="65"/>
      <x:c r="I22" s="69" t="n">
        <x:v>157898</x:v>
      </x:c>
      <x:c r="J22" s="73" t="n">
        <x:f>IF(I22="","",I22/($B$4*1000))</x:f>
        <x:v>98.68625</x:v>
      </x:c>
      <x:c r="K22" s="69" t="n">
        <x:v>4096</x:v>
      </x:c>
      <x:c r="L22" s="69" t="n">
        <x:f>IF(I22="","",2*128*8192*D22/K22)</x:f>
        <x:v>131072</x:v>
      </x:c>
      <x:c r="M22" s="65" t="n">
        <x:f>IF(I22="","",L22/I22)</x:f>
        <x:v>0.8301055111527695</x:v>
      </x:c>
      <x:c r="N22" s="77"/>
      <x:c r="O22" s="52" t="str">
        <x:v>PASS</x:v>
      </x:c>
      <x:c r="P22" s="51" t="str">
        <x:v>fa_gmma_opt; Tm=128; Tk=128</x:v>
      </x:c>
      <x:c r="Q22" s="51" t="str">
        <x:v>标准精度实测路径已替换为 fa_gmma_opt。 /Users/blacktraker/Programming/gitproj/DV4/SuperNPUBench/outputs/fa_gmma_opt_refresh_20261009/cases/fa_bf16_fp32_d256/gfsim.log</x:v>
      </x:c>
    </x:row>
    <x:row r="23" ht="34" customHeight="1">
      <x:c r="A23" s="51" t="str">
        <x:v>FA</x:v>
      </x:c>
      <x:c r="B23" s="51" t="str">
        <x:v>bf16</x:v>
      </x:c>
      <x:c r="C23" s="51" t="str">
        <x:v>fp32</x:v>
      </x:c>
      <x:c r="D23" s="51" t="n">
        <x:v>192</x:v>
      </x:c>
      <x:c r="E23" s="51" t="str">
        <x:v>[1,8192,8,128+64]</x:v>
      </x:c>
      <x:c r="F23" s="51" t="str">
        <x:v>BSND</x:v>
      </x:c>
      <x:c r="G23" s="61"/>
      <x:c r="H23" s="65"/>
      <x:c r="I23" s="69"/>
      <x:c r="J23" s="73"/>
      <x:c r="K23" s="69" t="n">
        <x:v>4096</x:v>
      </x:c>
      <x:c r="L23" s="69"/>
      <x:c r="M23" s="65"/>
      <x:c r="N23" s="77"/>
      <x:c r="O23" s="53" t="str">
        <x:v>MODEL_ASSERT</x:v>
      </x:c>
      <x:c r="P23" s="51" t="str">
        <x:v>fa_gmma_opt; Tm=128; Tk=128</x:v>
      </x:c>
      <x:c r="Q23" s="51" t="str">
        <x:v>标准精度实测路径已替换为 fa_gmma_opt。 D=192 被 model-main rowBits/capacity 契约断言拒绝，无有效 cycle。 /Users/blacktraker/Programming/gitproj/DV4/SuperNPUBench/outputs/fa_gmma_opt_refresh_20261009/cases/fa_bf16_fp32_d192/gfsim.log</x:v>
      </x:c>
    </x:row>
    <x:row r="24" ht="34" customHeight="1">
      <x:c r="A24" s="51" t="str">
        <x:v>FA</x:v>
      </x:c>
      <x:c r="B24" s="51" t="str">
        <x:v>bf16</x:v>
      </x:c>
      <x:c r="C24" s="51" t="str">
        <x:v>fp32</x:v>
      </x:c>
      <x:c r="D24" s="51" t="n">
        <x:v>128</x:v>
      </x:c>
      <x:c r="E24" s="51" t="str">
        <x:v>[1,8192,8,128]</x:v>
      </x:c>
      <x:c r="F24" s="51" t="str">
        <x:v>BSND</x:v>
      </x:c>
      <x:c r="G24" s="61"/>
      <x:c r="H24" s="65"/>
      <x:c r="I24" s="69" t="n">
        <x:v>69102</x:v>
      </x:c>
      <x:c r="J24" s="73" t="n">
        <x:f>IF(I24="","",I24/($B$4*1000))</x:f>
        <x:v>43.18875</x:v>
      </x:c>
      <x:c r="K24" s="69" t="n">
        <x:v>4096</x:v>
      </x:c>
      <x:c r="L24" s="69" t="n">
        <x:f>IF(I24="","",2*128*8192*D24/K24)</x:f>
        <x:v>65536</x:v>
      </x:c>
      <x:c r="M24" s="65" t="n">
        <x:f>IF(I24="","",L24/I24)</x:f>
        <x:v>0.9483951260455559</x:v>
      </x:c>
      <x:c r="N24" s="77"/>
      <x:c r="O24" s="52" t="str">
        <x:v>PASS</x:v>
      </x:c>
      <x:c r="P24" s="51" t="str">
        <x:v>fa_gmma_opt; Tm=128; Tk=128</x:v>
      </x:c>
      <x:c r="Q24" s="51" t="str">
        <x:v>标准精度实测路径已替换为 fa_gmma_opt。 /Users/blacktraker/Programming/gitproj/DV4/SuperNPUBench/outputs/fa_gmma_opt_refresh_20261009/cases/fa_bf16_fp32_d128/gfsim.log</x:v>
      </x:c>
    </x:row>
    <x:row r="25" ht="34" customHeight="1">
      <x:c r="A25" s="51" t="str">
        <x:v>FA</x:v>
      </x:c>
      <x:c r="B25" s="51" t="str">
        <x:v>bf16</x:v>
      </x:c>
      <x:c r="C25" s="51" t="str">
        <x:v>fp32</x:v>
      </x:c>
      <x:c r="D25" s="51" t="n">
        <x:v>64</x:v>
      </x:c>
      <x:c r="E25" s="51" t="str">
        <x:v>[1,8192,8,64]</x:v>
      </x:c>
      <x:c r="F25" s="51" t="str">
        <x:v>BSND</x:v>
      </x:c>
      <x:c r="G25" s="61"/>
      <x:c r="H25" s="65"/>
      <x:c r="I25" s="69" t="n">
        <x:v>40950</x:v>
      </x:c>
      <x:c r="J25" s="73" t="n">
        <x:f>IF(I25="","",I25/($B$4*1000))</x:f>
        <x:v>25.59375</x:v>
      </x:c>
      <x:c r="K25" s="69" t="n">
        <x:v>4096</x:v>
      </x:c>
      <x:c r="L25" s="69" t="n">
        <x:f>IF(I25="","",2*128*8192*D25/K25)</x:f>
        <x:v>32768</x:v>
      </x:c>
      <x:c r="M25" s="65" t="n">
        <x:f>IF(I25="","",L25/I25)</x:f>
        <x:v>0.8001953601953602</x:v>
      </x:c>
      <x:c r="N25" s="77"/>
      <x:c r="O25" s="52" t="str">
        <x:v>PASS</x:v>
      </x:c>
      <x:c r="P25" s="51" t="str">
        <x:v>fa_gmma_opt; Tm=128; Tk=128</x:v>
      </x:c>
      <x:c r="Q25" s="51" t="str">
        <x:v>标准精度实测路径已替换为 fa_gmma_opt。 /Users/blacktraker/Programming/gitproj/DV4/SuperNPUBench/outputs/fa_gmma_opt_refresh_20261009/cases/fa_bf16_fp32_d64/gfsim.log</x:v>
      </x:c>
    </x:row>
    <x:row r="26" ht="34" customHeight="1">
      <x:c r="A26" s="35" t="str">
        <x:v>matmul (ubm)</x:v>
      </x:c>
      <x:c r="B26" s="35" t="str">
        <x:v>tf32</x:v>
      </x:c>
      <x:c r="C26" s="35" t="str">
        <x:v>-</x:v>
      </x:c>
      <x:c r="D26" s="35"/>
      <x:c r="E26" s="35" t="str">
        <x:v>[64,128]</x:v>
      </x:c>
      <x:c r="F26" s="35"/>
      <x:c r="G26" s="58"/>
      <x:c r="H26" s="62"/>
      <x:c r="I26" s="66"/>
      <x:c r="J26" s="70"/>
      <x:c r="K26" s="66"/>
      <x:c r="L26" s="66"/>
      <x:c r="M26" s="62"/>
      <x:c r="N26" s="74"/>
      <x:c r="O26" s="54" t="str"/>
      <x:c r="P26" s="35"/>
      <x:c r="Q26" s="35" t="str"/>
    </x:row>
    <x:row r="27" ht="34" customHeight="1">
      <x:c r="A27" s="35" t="str">
        <x:v>matmul (ubm)</x:v>
      </x:c>
      <x:c r="B27" s="35" t="str">
        <x:v>tf32</x:v>
      </x:c>
      <x:c r="C27" s="35" t="str">
        <x:v>-</x:v>
      </x:c>
      <x:c r="D27" s="35"/>
      <x:c r="E27" s="35" t="str">
        <x:v>[64,192]</x:v>
      </x:c>
      <x:c r="F27" s="35"/>
      <x:c r="G27" s="58"/>
      <x:c r="H27" s="62"/>
      <x:c r="I27" s="66"/>
      <x:c r="J27" s="70"/>
      <x:c r="K27" s="66"/>
      <x:c r="L27" s="66"/>
      <x:c r="M27" s="62"/>
      <x:c r="N27" s="74"/>
      <x:c r="O27" s="54" t="str"/>
      <x:c r="P27" s="35"/>
      <x:c r="Q27" s="35" t="str"/>
    </x:row>
    <x:row r="28" ht="34" customHeight="1">
      <x:c r="A28" s="35" t="str">
        <x:v>matmul (ubm)</x:v>
      </x:c>
      <x:c r="B28" s="35" t="str">
        <x:v>tf32</x:v>
      </x:c>
      <x:c r="C28" s="35" t="str">
        <x:v>-</x:v>
      </x:c>
      <x:c r="D28" s="35"/>
      <x:c r="E28" s="35" t="str">
        <x:v>[64,256]</x:v>
      </x:c>
      <x:c r="F28" s="35"/>
      <x:c r="G28" s="58"/>
      <x:c r="H28" s="62"/>
      <x:c r="I28" s="66"/>
      <x:c r="J28" s="70"/>
      <x:c r="K28" s="66"/>
      <x:c r="L28" s="66"/>
      <x:c r="M28" s="62"/>
      <x:c r="N28" s="74"/>
      <x:c r="O28" s="54" t="str"/>
      <x:c r="P28" s="35"/>
      <x:c r="Q28" s="35" t="str"/>
    </x:row>
    <x:row r="29" ht="34" customHeight="1">
      <x:c r="A29" s="35" t="str">
        <x:v>matmul (ubm)</x:v>
      </x:c>
      <x:c r="B29" s="35" t="str">
        <x:v>tf32</x:v>
      </x:c>
      <x:c r="C29" s="35" t="str">
        <x:v>-</x:v>
      </x:c>
      <x:c r="D29" s="35"/>
      <x:c r="E29" s="35" t="str">
        <x:v>[64,512]</x:v>
      </x:c>
      <x:c r="F29" s="35"/>
      <x:c r="G29" s="58"/>
      <x:c r="H29" s="62"/>
      <x:c r="I29" s="66"/>
      <x:c r="J29" s="70"/>
      <x:c r="K29" s="66"/>
      <x:c r="L29" s="66"/>
      <x:c r="M29" s="62"/>
      <x:c r="N29" s="74"/>
      <x:c r="O29" s="54" t="str"/>
      <x:c r="P29" s="35"/>
      <x:c r="Q29" s="35" t="str"/>
    </x:row>
    <x:row r="30" ht="34" customHeight="1">
      <x:c r="A30" s="35" t="str">
        <x:v>matmul (ubm)</x:v>
      </x:c>
      <x:c r="B30" s="35" t="str">
        <x:v>tf32</x:v>
      </x:c>
      <x:c r="C30" s="35" t="str">
        <x:v>-</x:v>
      </x:c>
      <x:c r="D30" s="35"/>
      <x:c r="E30" s="35" t="str">
        <x:v>[128,128]</x:v>
      </x:c>
      <x:c r="F30" s="35" t="str">
        <x:v>-</x:v>
      </x:c>
      <x:c r="G30" s="58"/>
      <x:c r="H30" s="62"/>
      <x:c r="I30" s="66"/>
      <x:c r="J30" s="70"/>
      <x:c r="K30" s="66"/>
      <x:c r="L30" s="66"/>
      <x:c r="M30" s="62"/>
      <x:c r="N30" s="74"/>
      <x:c r="O30" s="54" t="str"/>
      <x:c r="P30" s="35"/>
      <x:c r="Q30" s="35" t="str"/>
    </x:row>
    <x:row r="31" ht="34" customHeight="1">
      <x:c r="A31" s="35" t="str">
        <x:v>matmul (ubm)</x:v>
      </x:c>
      <x:c r="B31" s="35" t="str">
        <x:v>tf32</x:v>
      </x:c>
      <x:c r="C31" s="35" t="str">
        <x:v>-</x:v>
      </x:c>
      <x:c r="D31" s="35"/>
      <x:c r="E31" s="35" t="str">
        <x:v>[128,192]</x:v>
      </x:c>
      <x:c r="F31" s="35" t="str">
        <x:v>-</x:v>
      </x:c>
      <x:c r="G31" s="58"/>
      <x:c r="H31" s="62"/>
      <x:c r="I31" s="66"/>
      <x:c r="J31" s="70"/>
      <x:c r="K31" s="66"/>
      <x:c r="L31" s="66"/>
      <x:c r="M31" s="62"/>
      <x:c r="N31" s="74"/>
      <x:c r="O31" s="54" t="str"/>
      <x:c r="P31" s="35"/>
      <x:c r="Q31" s="35" t="str"/>
    </x:row>
    <x:row r="32" ht="34" customHeight="1">
      <x:c r="A32" s="35" t="str">
        <x:v>matmul (ubm)</x:v>
      </x:c>
      <x:c r="B32" s="35" t="str">
        <x:v>tf32</x:v>
      </x:c>
      <x:c r="C32" s="35" t="str">
        <x:v>-</x:v>
      </x:c>
      <x:c r="D32" s="35"/>
      <x:c r="E32" s="35" t="str">
        <x:v>[128,256]</x:v>
      </x:c>
      <x:c r="F32" s="35" t="str">
        <x:v>-</x:v>
      </x:c>
      <x:c r="G32" s="58"/>
      <x:c r="H32" s="62"/>
      <x:c r="I32" s="66"/>
      <x:c r="J32" s="70"/>
      <x:c r="K32" s="66"/>
      <x:c r="L32" s="66"/>
      <x:c r="M32" s="62"/>
      <x:c r="N32" s="74"/>
      <x:c r="O32" s="54" t="str"/>
      <x:c r="P32" s="35"/>
      <x:c r="Q32" s="35" t="str"/>
    </x:row>
    <x:row r="33" ht="34" customHeight="1">
      <x:c r="A33" s="35" t="str">
        <x:v>matmul (ubm)</x:v>
      </x:c>
      <x:c r="B33" s="35" t="str">
        <x:v>tf32</x:v>
      </x:c>
      <x:c r="C33" s="35" t="str">
        <x:v>-</x:v>
      </x:c>
      <x:c r="D33" s="35"/>
      <x:c r="E33" s="35" t="str">
        <x:v>[128,512]</x:v>
      </x:c>
      <x:c r="F33" s="35"/>
      <x:c r="G33" s="58"/>
      <x:c r="H33" s="62"/>
      <x:c r="I33" s="66"/>
      <x:c r="J33" s="70"/>
      <x:c r="K33" s="66"/>
      <x:c r="L33" s="66"/>
      <x:c r="M33" s="62"/>
      <x:c r="N33" s="74"/>
      <x:c r="O33" s="54" t="str"/>
      <x:c r="P33" s="35"/>
      <x:c r="Q33" s="35" t="str"/>
    </x:row>
    <x:row r="34" ht="34" customHeight="1">
      <x:c r="A34" s="35" t="str">
        <x:v>matmul (ubm)</x:v>
      </x:c>
      <x:c r="B34" s="35" t="str">
        <x:v>tf32</x:v>
      </x:c>
      <x:c r="C34" s="35" t="str">
        <x:v>-</x:v>
      </x:c>
      <x:c r="D34" s="35"/>
      <x:c r="E34" s="35" t="str">
        <x:v>[192,128]</x:v>
      </x:c>
      <x:c r="F34" s="35"/>
      <x:c r="G34" s="58"/>
      <x:c r="H34" s="62"/>
      <x:c r="I34" s="66"/>
      <x:c r="J34" s="70"/>
      <x:c r="K34" s="66"/>
      <x:c r="L34" s="66"/>
      <x:c r="M34" s="62"/>
      <x:c r="N34" s="74"/>
      <x:c r="O34" s="54" t="str"/>
      <x:c r="P34" s="35"/>
      <x:c r="Q34" s="35" t="str"/>
    </x:row>
    <x:row r="35" ht="34" customHeight="1">
      <x:c r="A35" s="35" t="str">
        <x:v>matmul (ubm)</x:v>
      </x:c>
      <x:c r="B35" s="35" t="str">
        <x:v>tf32</x:v>
      </x:c>
      <x:c r="C35" s="35" t="str">
        <x:v>-</x:v>
      </x:c>
      <x:c r="D35" s="35"/>
      <x:c r="E35" s="35" t="str">
        <x:v>[256,128]</x:v>
      </x:c>
      <x:c r="F35" s="35"/>
      <x:c r="G35" s="58"/>
      <x:c r="H35" s="62"/>
      <x:c r="I35" s="66"/>
      <x:c r="J35" s="70"/>
      <x:c r="K35" s="66"/>
      <x:c r="L35" s="66"/>
      <x:c r="M35" s="62"/>
      <x:c r="N35" s="74"/>
      <x:c r="O35" s="54" t="str"/>
      <x:c r="P35" s="35"/>
      <x:c r="Q35" s="35" t="str"/>
    </x:row>
    <x:row r="36" ht="34" customHeight="1">
      <x:c r="A36" s="35" t="str">
        <x:v>matmul (ubm)</x:v>
      </x:c>
      <x:c r="B36" s="35" t="str">
        <x:v>tf32</x:v>
      </x:c>
      <x:c r="C36" s="35" t="str">
        <x:v>-</x:v>
      </x:c>
      <x:c r="D36" s="35"/>
      <x:c r="E36" s="35" t="str">
        <x:v>[256,256]</x:v>
      </x:c>
      <x:c r="F36" s="35"/>
      <x:c r="G36" s="58"/>
      <x:c r="H36" s="62"/>
      <x:c r="I36" s="66"/>
      <x:c r="J36" s="70"/>
      <x:c r="K36" s="66"/>
      <x:c r="L36" s="66"/>
      <x:c r="M36" s="62"/>
      <x:c r="N36" s="74"/>
      <x:c r="O36" s="54" t="str"/>
      <x:c r="P36" s="35"/>
      <x:c r="Q36" s="35" t="str"/>
    </x:row>
    <x:row r="37" ht="34" customHeight="1">
      <x:c r="A37" s="35" t="str">
        <x:v>matmul (ubm)</x:v>
      </x:c>
      <x:c r="B37" s="35" t="str">
        <x:v>tf32</x:v>
      </x:c>
      <x:c r="C37" s="35" t="str">
        <x:v>-</x:v>
      </x:c>
      <x:c r="D37" s="35"/>
      <x:c r="E37" s="35" t="str">
        <x:v>[256,512]</x:v>
      </x:c>
      <x:c r="F37" s="35"/>
      <x:c r="G37" s="58"/>
      <x:c r="H37" s="62"/>
      <x:c r="I37" s="66"/>
      <x:c r="J37" s="70"/>
      <x:c r="K37" s="66"/>
      <x:c r="L37" s="66"/>
      <x:c r="M37" s="62"/>
      <x:c r="N37" s="74"/>
      <x:c r="O37" s="54" t="str"/>
      <x:c r="P37" s="35"/>
      <x:c r="Q37" s="35" t="str"/>
    </x:row>
    <x:row r="38" ht="34" customHeight="1">
      <x:c r="A38" s="35" t="str">
        <x:v>matmul (ubm)</x:v>
      </x:c>
      <x:c r="B38" s="35" t="str">
        <x:v>tf32</x:v>
      </x:c>
      <x:c r="C38" s="35" t="str">
        <x:v>-</x:v>
      </x:c>
      <x:c r="D38" s="35"/>
      <x:c r="E38" s="35" t="str">
        <x:v>[512,128]</x:v>
      </x:c>
      <x:c r="F38" s="35"/>
      <x:c r="G38" s="58"/>
      <x:c r="H38" s="62"/>
      <x:c r="I38" s="66"/>
      <x:c r="J38" s="70"/>
      <x:c r="K38" s="66"/>
      <x:c r="L38" s="66"/>
      <x:c r="M38" s="62"/>
      <x:c r="N38" s="74"/>
      <x:c r="O38" s="54" t="str"/>
      <x:c r="P38" s="35"/>
      <x:c r="Q38" s="35" t="str"/>
    </x:row>
    <x:row r="39" ht="34" customHeight="1">
      <x:c r="A39" s="35" t="str">
        <x:v>matmul (ubm)</x:v>
      </x:c>
      <x:c r="B39" s="35" t="str">
        <x:v>tf32</x:v>
      </x:c>
      <x:c r="C39" s="35" t="str">
        <x:v>-</x:v>
      </x:c>
      <x:c r="D39" s="35"/>
      <x:c r="E39" s="35" t="str">
        <x:v>[512,256]</x:v>
      </x:c>
      <x:c r="F39" s="35"/>
      <x:c r="G39" s="58"/>
      <x:c r="H39" s="62"/>
      <x:c r="I39" s="66"/>
      <x:c r="J39" s="70"/>
      <x:c r="K39" s="66"/>
      <x:c r="L39" s="66"/>
      <x:c r="M39" s="62"/>
      <x:c r="N39" s="74"/>
      <x:c r="O39" s="54" t="str"/>
      <x:c r="P39" s="35"/>
      <x:c r="Q39" s="35" t="str"/>
    </x:row>
    <x:row r="40" ht="34" customHeight="1">
      <x:c r="A40" s="40" t="str">
        <x:v>matmul (ubm)</x:v>
      </x:c>
      <x:c r="B40" s="40" t="str">
        <x:v>bf16/fp16</x:v>
      </x:c>
      <x:c r="C40" s="40" t="str">
        <x:v>-</x:v>
      </x:c>
      <x:c r="D40" s="40"/>
      <x:c r="E40" s="40" t="str">
        <x:v>[64,128]</x:v>
      </x:c>
      <x:c r="F40" s="40"/>
      <x:c r="G40" s="59"/>
      <x:c r="H40" s="63"/>
      <x:c r="I40" s="67"/>
      <x:c r="J40" s="71"/>
      <x:c r="K40" s="67"/>
      <x:c r="L40" s="67"/>
      <x:c r="M40" s="63"/>
      <x:c r="N40" s="75"/>
      <x:c r="O40" s="55" t="str"/>
      <x:c r="P40" s="40"/>
      <x:c r="Q40" s="40" t="str"/>
    </x:row>
    <x:row r="41" ht="34" customHeight="1">
      <x:c r="A41" s="40" t="str">
        <x:v>matmul (ubm)</x:v>
      </x:c>
      <x:c r="B41" s="40" t="str">
        <x:v>bf16/fp16</x:v>
      </x:c>
      <x:c r="C41" s="40" t="str">
        <x:v>-</x:v>
      </x:c>
      <x:c r="D41" s="40"/>
      <x:c r="E41" s="40" t="str">
        <x:v>[64,192]</x:v>
      </x:c>
      <x:c r="F41" s="40"/>
      <x:c r="G41" s="59"/>
      <x:c r="H41" s="63"/>
      <x:c r="I41" s="67"/>
      <x:c r="J41" s="71"/>
      <x:c r="K41" s="67"/>
      <x:c r="L41" s="67"/>
      <x:c r="M41" s="63"/>
      <x:c r="N41" s="75"/>
      <x:c r="O41" s="55" t="str"/>
      <x:c r="P41" s="40"/>
      <x:c r="Q41" s="40" t="str"/>
    </x:row>
    <x:row r="42" ht="34" customHeight="1">
      <x:c r="A42" s="40" t="str">
        <x:v>matmul (ubm)</x:v>
      </x:c>
      <x:c r="B42" s="40" t="str">
        <x:v>bf16/fp16</x:v>
      </x:c>
      <x:c r="C42" s="40" t="str">
        <x:v>-</x:v>
      </x:c>
      <x:c r="D42" s="40"/>
      <x:c r="E42" s="40" t="str">
        <x:v>[64,256]</x:v>
      </x:c>
      <x:c r="F42" s="40"/>
      <x:c r="G42" s="59"/>
      <x:c r="H42" s="63"/>
      <x:c r="I42" s="67"/>
      <x:c r="J42" s="71"/>
      <x:c r="K42" s="67"/>
      <x:c r="L42" s="67"/>
      <x:c r="M42" s="63"/>
      <x:c r="N42" s="75"/>
      <x:c r="O42" s="55" t="str"/>
      <x:c r="P42" s="40"/>
      <x:c r="Q42" s="40" t="str"/>
    </x:row>
    <x:row r="43" ht="34" customHeight="1">
      <x:c r="A43" s="40" t="str">
        <x:v>matmul (ubm)</x:v>
      </x:c>
      <x:c r="B43" s="40" t="str">
        <x:v>bf16/fp16</x:v>
      </x:c>
      <x:c r="C43" s="40" t="str">
        <x:v>-</x:v>
      </x:c>
      <x:c r="D43" s="40"/>
      <x:c r="E43" s="40" t="str">
        <x:v>[64,512]</x:v>
      </x:c>
      <x:c r="F43" s="40"/>
      <x:c r="G43" s="59"/>
      <x:c r="H43" s="63"/>
      <x:c r="I43" s="67"/>
      <x:c r="J43" s="71"/>
      <x:c r="K43" s="67"/>
      <x:c r="L43" s="67"/>
      <x:c r="M43" s="63"/>
      <x:c r="N43" s="75"/>
      <x:c r="O43" s="55" t="str"/>
      <x:c r="P43" s="40"/>
      <x:c r="Q43" s="40" t="str"/>
    </x:row>
    <x:row r="44" ht="34" customHeight="1">
      <x:c r="A44" s="40" t="str">
        <x:v>matmul (ubm)</x:v>
      </x:c>
      <x:c r="B44" s="40" t="str">
        <x:v>bf16/fp16</x:v>
      </x:c>
      <x:c r="C44" s="40" t="str">
        <x:v>-</x:v>
      </x:c>
      <x:c r="D44" s="40"/>
      <x:c r="E44" s="40" t="str">
        <x:v>[128,128]</x:v>
      </x:c>
      <x:c r="F44" s="40" t="str">
        <x:v>-</x:v>
      </x:c>
      <x:c r="G44" s="59"/>
      <x:c r="H44" s="63"/>
      <x:c r="I44" s="67"/>
      <x:c r="J44" s="71"/>
      <x:c r="K44" s="67"/>
      <x:c r="L44" s="67"/>
      <x:c r="M44" s="63"/>
      <x:c r="N44" s="75"/>
      <x:c r="O44" s="55" t="str"/>
      <x:c r="P44" s="40"/>
      <x:c r="Q44" s="40" t="str"/>
    </x:row>
    <x:row r="45" ht="34" customHeight="1">
      <x:c r="A45" s="40" t="str">
        <x:v>matmul (ubm)</x:v>
      </x:c>
      <x:c r="B45" s="40" t="str">
        <x:v>bf16/fp16</x:v>
      </x:c>
      <x:c r="C45" s="40" t="str">
        <x:v>-</x:v>
      </x:c>
      <x:c r="D45" s="40"/>
      <x:c r="E45" s="40" t="str">
        <x:v>[128,192]</x:v>
      </x:c>
      <x:c r="F45" s="40" t="str">
        <x:v>-</x:v>
      </x:c>
      <x:c r="G45" s="59"/>
      <x:c r="H45" s="63"/>
      <x:c r="I45" s="67"/>
      <x:c r="J45" s="71"/>
      <x:c r="K45" s="67"/>
      <x:c r="L45" s="67"/>
      <x:c r="M45" s="63"/>
      <x:c r="N45" s="75"/>
      <x:c r="O45" s="55" t="str"/>
      <x:c r="P45" s="40"/>
      <x:c r="Q45" s="40" t="str"/>
    </x:row>
    <x:row r="46" ht="34" customHeight="1">
      <x:c r="A46" s="40" t="str">
        <x:v>matmul (ubm)</x:v>
      </x:c>
      <x:c r="B46" s="40" t="str">
        <x:v>bf16/fp16</x:v>
      </x:c>
      <x:c r="C46" s="40" t="str">
        <x:v>-</x:v>
      </x:c>
      <x:c r="D46" s="40"/>
      <x:c r="E46" s="40" t="str">
        <x:v>[128,256]</x:v>
      </x:c>
      <x:c r="F46" s="40" t="str">
        <x:v>-</x:v>
      </x:c>
      <x:c r="G46" s="59"/>
      <x:c r="H46" s="63"/>
      <x:c r="I46" s="67"/>
      <x:c r="J46" s="71"/>
      <x:c r="K46" s="67"/>
      <x:c r="L46" s="67"/>
      <x:c r="M46" s="63"/>
      <x:c r="N46" s="75"/>
      <x:c r="O46" s="55" t="str"/>
      <x:c r="P46" s="40"/>
      <x:c r="Q46" s="40" t="str"/>
    </x:row>
    <x:row r="47" ht="34" customHeight="1">
      <x:c r="A47" s="40" t="str">
        <x:v>matmul (ubm)</x:v>
      </x:c>
      <x:c r="B47" s="40" t="str">
        <x:v>bf16/fp16</x:v>
      </x:c>
      <x:c r="C47" s="40" t="str">
        <x:v>-</x:v>
      </x:c>
      <x:c r="D47" s="40"/>
      <x:c r="E47" s="40" t="str">
        <x:v>[128,512]</x:v>
      </x:c>
      <x:c r="F47" s="40"/>
      <x:c r="G47" s="59"/>
      <x:c r="H47" s="63"/>
      <x:c r="I47" s="67"/>
      <x:c r="J47" s="71"/>
      <x:c r="K47" s="67"/>
      <x:c r="L47" s="67"/>
      <x:c r="M47" s="63"/>
      <x:c r="N47" s="75"/>
      <x:c r="O47" s="55" t="str"/>
      <x:c r="P47" s="40"/>
      <x:c r="Q47" s="40" t="str"/>
    </x:row>
    <x:row r="48" ht="34" customHeight="1">
      <x:c r="A48" s="40" t="str">
        <x:v>matmul (ubm)</x:v>
      </x:c>
      <x:c r="B48" s="40" t="str">
        <x:v>bf16/fp16</x:v>
      </x:c>
      <x:c r="C48" s="40" t="str">
        <x:v>-</x:v>
      </x:c>
      <x:c r="D48" s="40"/>
      <x:c r="E48" s="40" t="str">
        <x:v>[192,128]</x:v>
      </x:c>
      <x:c r="F48" s="40"/>
      <x:c r="G48" s="59"/>
      <x:c r="H48" s="63"/>
      <x:c r="I48" s="67"/>
      <x:c r="J48" s="71"/>
      <x:c r="K48" s="67"/>
      <x:c r="L48" s="67"/>
      <x:c r="M48" s="63"/>
      <x:c r="N48" s="75"/>
      <x:c r="O48" s="55" t="str"/>
      <x:c r="P48" s="40"/>
      <x:c r="Q48" s="40" t="str"/>
    </x:row>
    <x:row r="49" ht="34" customHeight="1">
      <x:c r="A49" s="40" t="str">
        <x:v>matmul (ubm)</x:v>
      </x:c>
      <x:c r="B49" s="40" t="str">
        <x:v>bf16/fp16</x:v>
      </x:c>
      <x:c r="C49" s="40" t="str">
        <x:v>-</x:v>
      </x:c>
      <x:c r="D49" s="40"/>
      <x:c r="E49" s="40" t="str">
        <x:v>[256,128]</x:v>
      </x:c>
      <x:c r="F49" s="40"/>
      <x:c r="G49" s="59"/>
      <x:c r="H49" s="63"/>
      <x:c r="I49" s="67"/>
      <x:c r="J49" s="71"/>
      <x:c r="K49" s="67"/>
      <x:c r="L49" s="67"/>
      <x:c r="M49" s="63"/>
      <x:c r="N49" s="75"/>
      <x:c r="O49" s="55" t="str"/>
      <x:c r="P49" s="40"/>
      <x:c r="Q49" s="40" t="str"/>
    </x:row>
    <x:row r="50" ht="34" customHeight="1">
      <x:c r="A50" s="40" t="str">
        <x:v>matmul (ubm)</x:v>
      </x:c>
      <x:c r="B50" s="40" t="str">
        <x:v>bf16/fp16</x:v>
      </x:c>
      <x:c r="C50" s="40" t="str">
        <x:v>-</x:v>
      </x:c>
      <x:c r="D50" s="40"/>
      <x:c r="E50" s="40" t="str">
        <x:v>[256,256]</x:v>
      </x:c>
      <x:c r="F50" s="40"/>
      <x:c r="G50" s="59"/>
      <x:c r="H50" s="63"/>
      <x:c r="I50" s="67"/>
      <x:c r="J50" s="71"/>
      <x:c r="K50" s="67"/>
      <x:c r="L50" s="67"/>
      <x:c r="M50" s="63"/>
      <x:c r="N50" s="75"/>
      <x:c r="O50" s="55" t="str"/>
      <x:c r="P50" s="40"/>
      <x:c r="Q50" s="40" t="str"/>
    </x:row>
    <x:row r="51" ht="34" customHeight="1">
      <x:c r="A51" s="40" t="str">
        <x:v>matmul (ubm)</x:v>
      </x:c>
      <x:c r="B51" s="40" t="str">
        <x:v>bf16/fp16</x:v>
      </x:c>
      <x:c r="C51" s="40" t="str">
        <x:v>-</x:v>
      </x:c>
      <x:c r="D51" s="40"/>
      <x:c r="E51" s="40" t="str">
        <x:v>[256,512]</x:v>
      </x:c>
      <x:c r="F51" s="40"/>
      <x:c r="G51" s="59"/>
      <x:c r="H51" s="63"/>
      <x:c r="I51" s="67"/>
      <x:c r="J51" s="71"/>
      <x:c r="K51" s="67"/>
      <x:c r="L51" s="67"/>
      <x:c r="M51" s="63"/>
      <x:c r="N51" s="75"/>
      <x:c r="O51" s="55" t="str"/>
      <x:c r="P51" s="40"/>
      <x:c r="Q51" s="40" t="str"/>
    </x:row>
    <x:row r="52" ht="34" customHeight="1">
      <x:c r="A52" s="40" t="str">
        <x:v>matmul (ubm)</x:v>
      </x:c>
      <x:c r="B52" s="40" t="str">
        <x:v>bf16/fp16</x:v>
      </x:c>
      <x:c r="C52" s="40" t="str">
        <x:v>-</x:v>
      </x:c>
      <x:c r="D52" s="40"/>
      <x:c r="E52" s="40" t="str">
        <x:v>[512,128]</x:v>
      </x:c>
      <x:c r="F52" s="40"/>
      <x:c r="G52" s="59"/>
      <x:c r="H52" s="63"/>
      <x:c r="I52" s="67"/>
      <x:c r="J52" s="71"/>
      <x:c r="K52" s="67"/>
      <x:c r="L52" s="67"/>
      <x:c r="M52" s="63"/>
      <x:c r="N52" s="75"/>
      <x:c r="O52" s="55" t="str"/>
      <x:c r="P52" s="40"/>
      <x:c r="Q52" s="40" t="str"/>
    </x:row>
    <x:row r="53" ht="34" customHeight="1">
      <x:c r="A53" s="40" t="str">
        <x:v>matmul (ubm)</x:v>
      </x:c>
      <x:c r="B53" s="40" t="str">
        <x:v>bf16/fp16</x:v>
      </x:c>
      <x:c r="C53" s="40" t="str">
        <x:v>-</x:v>
      </x:c>
      <x:c r="D53" s="40"/>
      <x:c r="E53" s="40" t="str">
        <x:v>[512,256]</x:v>
      </x:c>
      <x:c r="F53" s="40"/>
      <x:c r="G53" s="59"/>
      <x:c r="H53" s="63"/>
      <x:c r="I53" s="67"/>
      <x:c r="J53" s="71"/>
      <x:c r="K53" s="67"/>
      <x:c r="L53" s="67"/>
      <x:c r="M53" s="63"/>
      <x:c r="N53" s="75"/>
      <x:c r="O53" s="55" t="str"/>
      <x:c r="P53" s="40"/>
      <x:c r="Q53" s="40" t="str"/>
    </x:row>
    <x:row r="54" ht="34" customHeight="1">
      <x:c r="A54" s="45" t="str">
        <x:v>matmul (ubm)</x:v>
      </x:c>
      <x:c r="B54" s="45" t="str">
        <x:v>fp8</x:v>
      </x:c>
      <x:c r="C54" s="45" t="str">
        <x:v>-</x:v>
      </x:c>
      <x:c r="D54" s="45"/>
      <x:c r="E54" s="45" t="str">
        <x:v>[64,128]</x:v>
      </x:c>
      <x:c r="F54" s="45"/>
      <x:c r="G54" s="60"/>
      <x:c r="H54" s="64"/>
      <x:c r="I54" s="68"/>
      <x:c r="J54" s="72"/>
      <x:c r="K54" s="68"/>
      <x:c r="L54" s="68"/>
      <x:c r="M54" s="64"/>
      <x:c r="N54" s="76"/>
      <x:c r="O54" s="56" t="str"/>
      <x:c r="P54" s="45"/>
      <x:c r="Q54" s="45" t="str"/>
    </x:row>
    <x:row r="55" ht="34" customHeight="1">
      <x:c r="A55" s="45" t="str">
        <x:v>matmul (ubm)</x:v>
      </x:c>
      <x:c r="B55" s="45" t="str">
        <x:v>fp8</x:v>
      </x:c>
      <x:c r="C55" s="45" t="str">
        <x:v>-</x:v>
      </x:c>
      <x:c r="D55" s="45"/>
      <x:c r="E55" s="45" t="str">
        <x:v>[64,192]</x:v>
      </x:c>
      <x:c r="F55" s="45"/>
      <x:c r="G55" s="60"/>
      <x:c r="H55" s="64"/>
      <x:c r="I55" s="68"/>
      <x:c r="J55" s="72"/>
      <x:c r="K55" s="68"/>
      <x:c r="L55" s="68"/>
      <x:c r="M55" s="64"/>
      <x:c r="N55" s="76"/>
      <x:c r="O55" s="56" t="str"/>
      <x:c r="P55" s="45"/>
      <x:c r="Q55" s="45" t="str"/>
    </x:row>
    <x:row r="56" ht="34" customHeight="1">
      <x:c r="A56" s="45" t="str">
        <x:v>matmul (ubm)</x:v>
      </x:c>
      <x:c r="B56" s="45" t="str">
        <x:v>fp8</x:v>
      </x:c>
      <x:c r="C56" s="45" t="str">
        <x:v>-</x:v>
      </x:c>
      <x:c r="D56" s="45"/>
      <x:c r="E56" s="45" t="str">
        <x:v>[64,256]</x:v>
      </x:c>
      <x:c r="F56" s="45"/>
      <x:c r="G56" s="60"/>
      <x:c r="H56" s="64"/>
      <x:c r="I56" s="68"/>
      <x:c r="J56" s="72"/>
      <x:c r="K56" s="68"/>
      <x:c r="L56" s="68"/>
      <x:c r="M56" s="64"/>
      <x:c r="N56" s="76"/>
      <x:c r="O56" s="56" t="str"/>
      <x:c r="P56" s="45"/>
      <x:c r="Q56" s="45" t="str"/>
    </x:row>
    <x:row r="57" ht="34" customHeight="1">
      <x:c r="A57" s="45" t="str">
        <x:v>matmul (ubm)</x:v>
      </x:c>
      <x:c r="B57" s="45" t="str">
        <x:v>fp8</x:v>
      </x:c>
      <x:c r="C57" s="45" t="str">
        <x:v>-</x:v>
      </x:c>
      <x:c r="D57" s="45"/>
      <x:c r="E57" s="45" t="str">
        <x:v>[64,512]</x:v>
      </x:c>
      <x:c r="F57" s="45"/>
      <x:c r="G57" s="60"/>
      <x:c r="H57" s="64"/>
      <x:c r="I57" s="68"/>
      <x:c r="J57" s="72"/>
      <x:c r="K57" s="68"/>
      <x:c r="L57" s="68"/>
      <x:c r="M57" s="64"/>
      <x:c r="N57" s="76"/>
      <x:c r="O57" s="56" t="str"/>
      <x:c r="P57" s="45"/>
      <x:c r="Q57" s="45" t="str"/>
    </x:row>
    <x:row r="58" ht="34" customHeight="1">
      <x:c r="A58" s="45" t="str">
        <x:v>matmul (ubm)</x:v>
      </x:c>
      <x:c r="B58" s="45" t="str">
        <x:v>fp8</x:v>
      </x:c>
      <x:c r="C58" s="45" t="str">
        <x:v>-</x:v>
      </x:c>
      <x:c r="D58" s="45"/>
      <x:c r="E58" s="45" t="str">
        <x:v>[128,128]</x:v>
      </x:c>
      <x:c r="F58" s="45" t="str">
        <x:v>-</x:v>
      </x:c>
      <x:c r="G58" s="60"/>
      <x:c r="H58" s="64"/>
      <x:c r="I58" s="68"/>
      <x:c r="J58" s="72"/>
      <x:c r="K58" s="68"/>
      <x:c r="L58" s="68"/>
      <x:c r="M58" s="64"/>
      <x:c r="N58" s="76"/>
      <x:c r="O58" s="56" t="str"/>
      <x:c r="P58" s="45"/>
      <x:c r="Q58" s="45" t="str"/>
    </x:row>
    <x:row r="59" ht="34" customHeight="1">
      <x:c r="A59" s="45" t="str">
        <x:v>matmul (ubm)</x:v>
      </x:c>
      <x:c r="B59" s="45" t="str">
        <x:v>fp8</x:v>
      </x:c>
      <x:c r="C59" s="45" t="str">
        <x:v>-</x:v>
      </x:c>
      <x:c r="D59" s="45"/>
      <x:c r="E59" s="45" t="str">
        <x:v>[128,192]</x:v>
      </x:c>
      <x:c r="F59" s="45" t="str">
        <x:v>-</x:v>
      </x:c>
      <x:c r="G59" s="60"/>
      <x:c r="H59" s="64"/>
      <x:c r="I59" s="68"/>
      <x:c r="J59" s="72"/>
      <x:c r="K59" s="68"/>
      <x:c r="L59" s="68"/>
      <x:c r="M59" s="64"/>
      <x:c r="N59" s="76"/>
      <x:c r="O59" s="56" t="str"/>
      <x:c r="P59" s="45"/>
      <x:c r="Q59" s="45" t="str"/>
    </x:row>
    <x:row r="60" ht="34" customHeight="1">
      <x:c r="A60" s="45" t="str">
        <x:v>matmul (ubm)</x:v>
      </x:c>
      <x:c r="B60" s="45" t="str">
        <x:v>fp8</x:v>
      </x:c>
      <x:c r="C60" s="45" t="str">
        <x:v>-</x:v>
      </x:c>
      <x:c r="D60" s="45"/>
      <x:c r="E60" s="45" t="str">
        <x:v>[128,256]</x:v>
      </x:c>
      <x:c r="F60" s="45" t="str">
        <x:v>-</x:v>
      </x:c>
      <x:c r="G60" s="60"/>
      <x:c r="H60" s="64"/>
      <x:c r="I60" s="68"/>
      <x:c r="J60" s="72"/>
      <x:c r="K60" s="68"/>
      <x:c r="L60" s="68"/>
      <x:c r="M60" s="64"/>
      <x:c r="N60" s="76"/>
      <x:c r="O60" s="56" t="str"/>
      <x:c r="P60" s="45"/>
      <x:c r="Q60" s="45" t="str"/>
    </x:row>
    <x:row r="61" ht="34" customHeight="1">
      <x:c r="A61" s="45" t="str">
        <x:v>matmul (ubm)</x:v>
      </x:c>
      <x:c r="B61" s="45" t="str">
        <x:v>fp8</x:v>
      </x:c>
      <x:c r="C61" s="45" t="str">
        <x:v>-</x:v>
      </x:c>
      <x:c r="D61" s="45"/>
      <x:c r="E61" s="45" t="str">
        <x:v>[128,512]</x:v>
      </x:c>
      <x:c r="F61" s="45"/>
      <x:c r="G61" s="60"/>
      <x:c r="H61" s="64"/>
      <x:c r="I61" s="68"/>
      <x:c r="J61" s="72"/>
      <x:c r="K61" s="68"/>
      <x:c r="L61" s="68"/>
      <x:c r="M61" s="64"/>
      <x:c r="N61" s="76"/>
      <x:c r="O61" s="56" t="str"/>
      <x:c r="P61" s="45"/>
      <x:c r="Q61" s="45" t="str"/>
    </x:row>
    <x:row r="62" ht="34" customHeight="1">
      <x:c r="A62" s="45" t="str">
        <x:v>matmul (ubm)</x:v>
      </x:c>
      <x:c r="B62" s="45" t="str">
        <x:v>fp8</x:v>
      </x:c>
      <x:c r="C62" s="45" t="str">
        <x:v>-</x:v>
      </x:c>
      <x:c r="D62" s="45"/>
      <x:c r="E62" s="45" t="str">
        <x:v>[192,128]</x:v>
      </x:c>
      <x:c r="F62" s="45"/>
      <x:c r="G62" s="60"/>
      <x:c r="H62" s="64"/>
      <x:c r="I62" s="68"/>
      <x:c r="J62" s="72"/>
      <x:c r="K62" s="68"/>
      <x:c r="L62" s="68"/>
      <x:c r="M62" s="64"/>
      <x:c r="N62" s="76"/>
      <x:c r="O62" s="56" t="str"/>
      <x:c r="P62" s="45"/>
      <x:c r="Q62" s="45" t="str"/>
    </x:row>
    <x:row r="63" ht="34" customHeight="1">
      <x:c r="A63" s="45" t="str">
        <x:v>matmul (ubm)</x:v>
      </x:c>
      <x:c r="B63" s="45" t="str">
        <x:v>fp8</x:v>
      </x:c>
      <x:c r="C63" s="45" t="str">
        <x:v>-</x:v>
      </x:c>
      <x:c r="D63" s="45"/>
      <x:c r="E63" s="45" t="str">
        <x:v>[256,128]</x:v>
      </x:c>
      <x:c r="F63" s="45"/>
      <x:c r="G63" s="60"/>
      <x:c r="H63" s="64"/>
      <x:c r="I63" s="68"/>
      <x:c r="J63" s="72"/>
      <x:c r="K63" s="68"/>
      <x:c r="L63" s="68"/>
      <x:c r="M63" s="64"/>
      <x:c r="N63" s="76"/>
      <x:c r="O63" s="56" t="str"/>
      <x:c r="P63" s="45"/>
      <x:c r="Q63" s="45" t="str"/>
    </x:row>
    <x:row r="64" ht="34" customHeight="1">
      <x:c r="A64" s="45" t="str">
        <x:v>matmul (ubm)</x:v>
      </x:c>
      <x:c r="B64" s="45" t="str">
        <x:v>fp8</x:v>
      </x:c>
      <x:c r="C64" s="45" t="str">
        <x:v>-</x:v>
      </x:c>
      <x:c r="D64" s="45"/>
      <x:c r="E64" s="45" t="str">
        <x:v>[256,256]</x:v>
      </x:c>
      <x:c r="F64" s="45"/>
      <x:c r="G64" s="60"/>
      <x:c r="H64" s="64"/>
      <x:c r="I64" s="68"/>
      <x:c r="J64" s="72"/>
      <x:c r="K64" s="68"/>
      <x:c r="L64" s="68"/>
      <x:c r="M64" s="64"/>
      <x:c r="N64" s="76"/>
      <x:c r="O64" s="56" t="str"/>
      <x:c r="P64" s="45"/>
      <x:c r="Q64" s="45" t="str"/>
    </x:row>
    <x:row r="65" ht="34" customHeight="1">
      <x:c r="A65" s="45" t="str">
        <x:v>matmul (ubm)</x:v>
      </x:c>
      <x:c r="B65" s="45" t="str">
        <x:v>fp8</x:v>
      </x:c>
      <x:c r="C65" s="45" t="str">
        <x:v>-</x:v>
      </x:c>
      <x:c r="D65" s="45"/>
      <x:c r="E65" s="45" t="str">
        <x:v>[256,512]</x:v>
      </x:c>
      <x:c r="F65" s="45"/>
      <x:c r="G65" s="60"/>
      <x:c r="H65" s="64"/>
      <x:c r="I65" s="68"/>
      <x:c r="J65" s="72"/>
      <x:c r="K65" s="68"/>
      <x:c r="L65" s="68"/>
      <x:c r="M65" s="64"/>
      <x:c r="N65" s="76"/>
      <x:c r="O65" s="56" t="str"/>
      <x:c r="P65" s="45"/>
      <x:c r="Q65" s="45" t="str"/>
    </x:row>
    <x:row r="66" ht="34" customHeight="1">
      <x:c r="A66" s="45" t="str">
        <x:v>matmul (ubm)</x:v>
      </x:c>
      <x:c r="B66" s="45" t="str">
        <x:v>fp8</x:v>
      </x:c>
      <x:c r="C66" s="45" t="str">
        <x:v>-</x:v>
      </x:c>
      <x:c r="D66" s="45"/>
      <x:c r="E66" s="45" t="str">
        <x:v>[512,128]</x:v>
      </x:c>
      <x:c r="F66" s="45"/>
      <x:c r="G66" s="60"/>
      <x:c r="H66" s="64"/>
      <x:c r="I66" s="68"/>
      <x:c r="J66" s="72"/>
      <x:c r="K66" s="68"/>
      <x:c r="L66" s="68"/>
      <x:c r="M66" s="64"/>
      <x:c r="N66" s="76"/>
      <x:c r="O66" s="56" t="str"/>
      <x:c r="P66" s="45"/>
      <x:c r="Q66" s="45" t="str"/>
    </x:row>
    <x:row r="67" ht="34" customHeight="1">
      <x:c r="A67" s="45" t="str">
        <x:v>matmul (ubm)</x:v>
      </x:c>
      <x:c r="B67" s="45" t="str">
        <x:v>fp8</x:v>
      </x:c>
      <x:c r="C67" s="45" t="str">
        <x:v>-</x:v>
      </x:c>
      <x:c r="D67" s="45"/>
      <x:c r="E67" s="45" t="str">
        <x:v>[512,256]</x:v>
      </x:c>
      <x:c r="F67" s="45"/>
      <x:c r="G67" s="60"/>
      <x:c r="H67" s="64"/>
      <x:c r="I67" s="68"/>
      <x:c r="J67" s="72"/>
      <x:c r="K67" s="68"/>
      <x:c r="L67" s="68"/>
      <x:c r="M67" s="64"/>
      <x:c r="N67" s="76"/>
      <x:c r="O67" s="56" t="str"/>
      <x:c r="P67" s="45"/>
      <x:c r="Q67" s="45" t="str"/>
    </x:row>
    <x:row r="68" ht="34" customHeight="1">
      <x:c r="A68" s="51" t="str">
        <x:v>matmul (ubm)</x:v>
      </x:c>
      <x:c r="B68" s="51" t="str">
        <x:v>mxfp8</x:v>
      </x:c>
      <x:c r="C68" s="51" t="str">
        <x:v>-</x:v>
      </x:c>
      <x:c r="D68" s="51"/>
      <x:c r="E68" s="51" t="str">
        <x:v>[64,128]</x:v>
      </x:c>
      <x:c r="F68" s="51"/>
      <x:c r="G68" s="61"/>
      <x:c r="H68" s="65"/>
      <x:c r="I68" s="69"/>
      <x:c r="J68" s="73"/>
      <x:c r="K68" s="69"/>
      <x:c r="L68" s="69"/>
      <x:c r="M68" s="65"/>
      <x:c r="N68" s="77"/>
      <x:c r="O68" s="57" t="str"/>
      <x:c r="P68" s="51"/>
      <x:c r="Q68" s="51" t="str"/>
    </x:row>
    <x:row r="69" ht="34" customHeight="1">
      <x:c r="A69" s="51" t="str">
        <x:v>matmul (ubm)</x:v>
      </x:c>
      <x:c r="B69" s="51" t="str">
        <x:v>mxfp8</x:v>
      </x:c>
      <x:c r="C69" s="51" t="str">
        <x:v>-</x:v>
      </x:c>
      <x:c r="D69" s="51"/>
      <x:c r="E69" s="51" t="str">
        <x:v>[64,192]</x:v>
      </x:c>
      <x:c r="F69" s="51"/>
      <x:c r="G69" s="61"/>
      <x:c r="H69" s="65"/>
      <x:c r="I69" s="69"/>
      <x:c r="J69" s="73"/>
      <x:c r="K69" s="69"/>
      <x:c r="L69" s="69"/>
      <x:c r="M69" s="65"/>
      <x:c r="N69" s="77"/>
      <x:c r="O69" s="57" t="str"/>
      <x:c r="P69" s="51"/>
      <x:c r="Q69" s="51" t="str"/>
    </x:row>
    <x:row r="70" ht="34" customHeight="1">
      <x:c r="A70" s="51" t="str">
        <x:v>matmul (ubm)</x:v>
      </x:c>
      <x:c r="B70" s="51" t="str">
        <x:v>mxfp8</x:v>
      </x:c>
      <x:c r="C70" s="51" t="str">
        <x:v>-</x:v>
      </x:c>
      <x:c r="D70" s="51"/>
      <x:c r="E70" s="51" t="str">
        <x:v>[64,256]</x:v>
      </x:c>
      <x:c r="F70" s="51"/>
      <x:c r="G70" s="61"/>
      <x:c r="H70" s="65"/>
      <x:c r="I70" s="69"/>
      <x:c r="J70" s="73"/>
      <x:c r="K70" s="69"/>
      <x:c r="L70" s="69"/>
      <x:c r="M70" s="65"/>
      <x:c r="N70" s="77"/>
      <x:c r="O70" s="57" t="str"/>
      <x:c r="P70" s="51"/>
      <x:c r="Q70" s="51" t="str"/>
    </x:row>
    <x:row r="71" ht="34" customHeight="1">
      <x:c r="A71" s="51" t="str">
        <x:v>matmul (ubm)</x:v>
      </x:c>
      <x:c r="B71" s="51" t="str">
        <x:v>mxfp8</x:v>
      </x:c>
      <x:c r="C71" s="51" t="str">
        <x:v>-</x:v>
      </x:c>
      <x:c r="D71" s="51"/>
      <x:c r="E71" s="51" t="str">
        <x:v>[64,512]</x:v>
      </x:c>
      <x:c r="F71" s="51"/>
      <x:c r="G71" s="61"/>
      <x:c r="H71" s="65"/>
      <x:c r="I71" s="69"/>
      <x:c r="J71" s="73"/>
      <x:c r="K71" s="69"/>
      <x:c r="L71" s="69"/>
      <x:c r="M71" s="65"/>
      <x:c r="N71" s="77"/>
      <x:c r="O71" s="57" t="str"/>
      <x:c r="P71" s="51"/>
      <x:c r="Q71" s="51" t="str"/>
    </x:row>
    <x:row r="72" ht="34" customHeight="1">
      <x:c r="A72" s="51" t="str">
        <x:v>matmul (ubm)</x:v>
      </x:c>
      <x:c r="B72" s="51" t="str">
        <x:v>mxfp8</x:v>
      </x:c>
      <x:c r="C72" s="51" t="str">
        <x:v>-</x:v>
      </x:c>
      <x:c r="D72" s="51"/>
      <x:c r="E72" s="51" t="str">
        <x:v>[128,128]</x:v>
      </x:c>
      <x:c r="F72" s="51" t="str">
        <x:v>-</x:v>
      </x:c>
      <x:c r="G72" s="61"/>
      <x:c r="H72" s="65"/>
      <x:c r="I72" s="69"/>
      <x:c r="J72" s="73"/>
      <x:c r="K72" s="69"/>
      <x:c r="L72" s="69"/>
      <x:c r="M72" s="65"/>
      <x:c r="N72" s="77"/>
      <x:c r="O72" s="57" t="str"/>
      <x:c r="P72" s="51"/>
      <x:c r="Q72" s="51" t="str"/>
    </x:row>
    <x:row r="73" ht="34" customHeight="1">
      <x:c r="A73" s="51" t="str">
        <x:v>matmul (ubm)</x:v>
      </x:c>
      <x:c r="B73" s="51" t="str">
        <x:v>mxfp8</x:v>
      </x:c>
      <x:c r="C73" s="51" t="str">
        <x:v>-</x:v>
      </x:c>
      <x:c r="D73" s="51"/>
      <x:c r="E73" s="51" t="str">
        <x:v>[128,192]</x:v>
      </x:c>
      <x:c r="F73" s="51" t="str">
        <x:v>-</x:v>
      </x:c>
      <x:c r="G73" s="61"/>
      <x:c r="H73" s="65"/>
      <x:c r="I73" s="69"/>
      <x:c r="J73" s="73"/>
      <x:c r="K73" s="69"/>
      <x:c r="L73" s="69"/>
      <x:c r="M73" s="65"/>
      <x:c r="N73" s="77"/>
      <x:c r="O73" s="57" t="str"/>
      <x:c r="P73" s="51"/>
      <x:c r="Q73" s="51" t="str"/>
    </x:row>
    <x:row r="74" ht="34" customHeight="1">
      <x:c r="A74" s="51" t="str">
        <x:v>matmul (ubm)</x:v>
      </x:c>
      <x:c r="B74" s="51" t="str">
        <x:v>mxfp8</x:v>
      </x:c>
      <x:c r="C74" s="51" t="str">
        <x:v>-</x:v>
      </x:c>
      <x:c r="D74" s="51"/>
      <x:c r="E74" s="51" t="str">
        <x:v>[128,256]</x:v>
      </x:c>
      <x:c r="F74" s="51" t="str">
        <x:v>-</x:v>
      </x:c>
      <x:c r="G74" s="61"/>
      <x:c r="H74" s="65"/>
      <x:c r="I74" s="69"/>
      <x:c r="J74" s="73"/>
      <x:c r="K74" s="69"/>
      <x:c r="L74" s="69"/>
      <x:c r="M74" s="65"/>
      <x:c r="N74" s="77"/>
      <x:c r="O74" s="57" t="str"/>
      <x:c r="P74" s="51"/>
      <x:c r="Q74" s="51" t="str"/>
    </x:row>
    <x:row r="75" ht="34" customHeight="1">
      <x:c r="A75" s="51" t="str">
        <x:v>matmul (ubm)</x:v>
      </x:c>
      <x:c r="B75" s="51" t="str">
        <x:v>mxfp8</x:v>
      </x:c>
      <x:c r="C75" s="51" t="str">
        <x:v>-</x:v>
      </x:c>
      <x:c r="D75" s="51"/>
      <x:c r="E75" s="51" t="str">
        <x:v>[128,512]</x:v>
      </x:c>
      <x:c r="F75" s="51"/>
      <x:c r="G75" s="61"/>
      <x:c r="H75" s="65"/>
      <x:c r="I75" s="69"/>
      <x:c r="J75" s="73"/>
      <x:c r="K75" s="69"/>
      <x:c r="L75" s="69"/>
      <x:c r="M75" s="65"/>
      <x:c r="N75" s="77"/>
      <x:c r="O75" s="57" t="str"/>
      <x:c r="P75" s="51"/>
      <x:c r="Q75" s="51" t="str"/>
    </x:row>
    <x:row r="76" ht="34" customHeight="1">
      <x:c r="A76" s="51" t="str">
        <x:v>matmul (ubm)</x:v>
      </x:c>
      <x:c r="B76" s="51" t="str">
        <x:v>mxfp8</x:v>
      </x:c>
      <x:c r="C76" s="51" t="str">
        <x:v>-</x:v>
      </x:c>
      <x:c r="D76" s="51"/>
      <x:c r="E76" s="51" t="str">
        <x:v>[192,128]</x:v>
      </x:c>
      <x:c r="F76" s="51"/>
      <x:c r="G76" s="61"/>
      <x:c r="H76" s="65"/>
      <x:c r="I76" s="69"/>
      <x:c r="J76" s="73"/>
      <x:c r="K76" s="69"/>
      <x:c r="L76" s="69"/>
      <x:c r="M76" s="65"/>
      <x:c r="N76" s="77"/>
      <x:c r="O76" s="57" t="str"/>
      <x:c r="P76" s="51"/>
      <x:c r="Q76" s="51" t="str"/>
    </x:row>
    <x:row r="77" ht="34" customHeight="1">
      <x:c r="A77" s="51" t="str">
        <x:v>matmul (ubm)</x:v>
      </x:c>
      <x:c r="B77" s="51" t="str">
        <x:v>mxfp8</x:v>
      </x:c>
      <x:c r="C77" s="51" t="str">
        <x:v>-</x:v>
      </x:c>
      <x:c r="D77" s="51"/>
      <x:c r="E77" s="51" t="str">
        <x:v>[256,128]</x:v>
      </x:c>
      <x:c r="F77" s="51"/>
      <x:c r="G77" s="61"/>
      <x:c r="H77" s="65"/>
      <x:c r="I77" s="69"/>
      <x:c r="J77" s="73"/>
      <x:c r="K77" s="69"/>
      <x:c r="L77" s="69"/>
      <x:c r="M77" s="65"/>
      <x:c r="N77" s="77"/>
      <x:c r="O77" s="57" t="str"/>
      <x:c r="P77" s="51"/>
      <x:c r="Q77" s="51" t="str"/>
    </x:row>
    <x:row r="78" ht="34" customHeight="1">
      <x:c r="A78" s="51" t="str">
        <x:v>matmul (ubm)</x:v>
      </x:c>
      <x:c r="B78" s="51" t="str">
        <x:v>mxfp8</x:v>
      </x:c>
      <x:c r="C78" s="51" t="str">
        <x:v>-</x:v>
      </x:c>
      <x:c r="D78" s="51"/>
      <x:c r="E78" s="51" t="str">
        <x:v>[256,256]</x:v>
      </x:c>
      <x:c r="F78" s="51"/>
      <x:c r="G78" s="61"/>
      <x:c r="H78" s="65"/>
      <x:c r="I78" s="69"/>
      <x:c r="J78" s="73"/>
      <x:c r="K78" s="69"/>
      <x:c r="L78" s="69"/>
      <x:c r="M78" s="65"/>
      <x:c r="N78" s="77"/>
      <x:c r="O78" s="57" t="str"/>
      <x:c r="P78" s="51"/>
      <x:c r="Q78" s="51" t="str"/>
    </x:row>
    <x:row r="79" ht="34" customHeight="1">
      <x:c r="A79" s="51" t="str">
        <x:v>matmul (ubm)</x:v>
      </x:c>
      <x:c r="B79" s="51" t="str">
        <x:v>mxfp8</x:v>
      </x:c>
      <x:c r="C79" s="51" t="str">
        <x:v>-</x:v>
      </x:c>
      <x:c r="D79" s="51"/>
      <x:c r="E79" s="51" t="str">
        <x:v>[256,512]</x:v>
      </x:c>
      <x:c r="F79" s="51"/>
      <x:c r="G79" s="61"/>
      <x:c r="H79" s="65"/>
      <x:c r="I79" s="69"/>
      <x:c r="J79" s="73"/>
      <x:c r="K79" s="69"/>
      <x:c r="L79" s="69"/>
      <x:c r="M79" s="65"/>
      <x:c r="N79" s="77"/>
      <x:c r="O79" s="57" t="str"/>
      <x:c r="P79" s="51"/>
      <x:c r="Q79" s="51" t="str"/>
    </x:row>
    <x:row r="80" ht="34" customHeight="1">
      <x:c r="A80" s="51" t="str">
        <x:v>matmul (ubm)</x:v>
      </x:c>
      <x:c r="B80" s="51" t="str">
        <x:v>mxfp8</x:v>
      </x:c>
      <x:c r="C80" s="51" t="str">
        <x:v>-</x:v>
      </x:c>
      <x:c r="D80" s="51"/>
      <x:c r="E80" s="51" t="str">
        <x:v>[512,128]</x:v>
      </x:c>
      <x:c r="F80" s="51"/>
      <x:c r="G80" s="61"/>
      <x:c r="H80" s="65"/>
      <x:c r="I80" s="69"/>
      <x:c r="J80" s="73"/>
      <x:c r="K80" s="69"/>
      <x:c r="L80" s="69"/>
      <x:c r="M80" s="65"/>
      <x:c r="N80" s="77"/>
      <x:c r="O80" s="57" t="str"/>
      <x:c r="P80" s="51"/>
      <x:c r="Q80" s="51" t="str"/>
    </x:row>
    <x:row r="81" ht="34" customHeight="1">
      <x:c r="A81" s="51" t="str">
        <x:v>matmul (ubm)</x:v>
      </x:c>
      <x:c r="B81" s="51" t="str">
        <x:v>mxfp8</x:v>
      </x:c>
      <x:c r="C81" s="51" t="str">
        <x:v>-</x:v>
      </x:c>
      <x:c r="D81" s="51"/>
      <x:c r="E81" s="51" t="str">
        <x:v>[512,256]</x:v>
      </x:c>
      <x:c r="F81" s="51"/>
      <x:c r="G81" s="61"/>
      <x:c r="H81" s="65"/>
      <x:c r="I81" s="69"/>
      <x:c r="J81" s="73"/>
      <x:c r="K81" s="69"/>
      <x:c r="L81" s="69"/>
      <x:c r="M81" s="65"/>
      <x:c r="N81" s="77"/>
      <x:c r="O81" s="57" t="str"/>
      <x:c r="P81" s="51"/>
      <x:c r="Q81" s="51" t="str"/>
    </x:row>
    <x:row r="82" ht="34" customHeight="1">
      <x:c r="A82" s="35" t="str">
        <x:v>matmul (ubm)</x:v>
      </x:c>
      <x:c r="B82" s="35" t="str">
        <x:v>mxfp4</x:v>
      </x:c>
      <x:c r="C82" s="35" t="str">
        <x:v>-</x:v>
      </x:c>
      <x:c r="D82" s="35"/>
      <x:c r="E82" s="35" t="str">
        <x:v>[64,128]</x:v>
      </x:c>
      <x:c r="F82" s="35"/>
      <x:c r="G82" s="58"/>
      <x:c r="H82" s="62"/>
      <x:c r="I82" s="66"/>
      <x:c r="J82" s="70"/>
      <x:c r="K82" s="66"/>
      <x:c r="L82" s="66"/>
      <x:c r="M82" s="62"/>
      <x:c r="N82" s="74"/>
      <x:c r="O82" s="54" t="str"/>
      <x:c r="P82" s="35"/>
      <x:c r="Q82" s="35" t="str"/>
    </x:row>
    <x:row r="83" ht="34" customHeight="1">
      <x:c r="A83" s="35" t="str">
        <x:v>matmul (ubm)</x:v>
      </x:c>
      <x:c r="B83" s="35" t="str">
        <x:v>mxfp4</x:v>
      </x:c>
      <x:c r="C83" s="35" t="str">
        <x:v>-</x:v>
      </x:c>
      <x:c r="D83" s="35"/>
      <x:c r="E83" s="35" t="str">
        <x:v>[64,192]</x:v>
      </x:c>
      <x:c r="F83" s="35"/>
      <x:c r="G83" s="58"/>
      <x:c r="H83" s="62"/>
      <x:c r="I83" s="66"/>
      <x:c r="J83" s="70"/>
      <x:c r="K83" s="66"/>
      <x:c r="L83" s="66"/>
      <x:c r="M83" s="62"/>
      <x:c r="N83" s="74"/>
      <x:c r="O83" s="54" t="str"/>
      <x:c r="P83" s="35"/>
      <x:c r="Q83" s="35" t="str"/>
    </x:row>
    <x:row r="84" ht="34" customHeight="1">
      <x:c r="A84" s="35" t="str">
        <x:v>matmul (ubm)</x:v>
      </x:c>
      <x:c r="B84" s="35" t="str">
        <x:v>mxfp4</x:v>
      </x:c>
      <x:c r="C84" s="35" t="str">
        <x:v>-</x:v>
      </x:c>
      <x:c r="D84" s="35"/>
      <x:c r="E84" s="35" t="str">
        <x:v>[64,256]</x:v>
      </x:c>
      <x:c r="F84" s="35"/>
      <x:c r="G84" s="58"/>
      <x:c r="H84" s="62"/>
      <x:c r="I84" s="66"/>
      <x:c r="J84" s="70"/>
      <x:c r="K84" s="66"/>
      <x:c r="L84" s="66"/>
      <x:c r="M84" s="62"/>
      <x:c r="N84" s="74"/>
      <x:c r="O84" s="54" t="str"/>
      <x:c r="P84" s="35"/>
      <x:c r="Q84" s="35" t="str"/>
    </x:row>
    <x:row r="85" ht="34" customHeight="1">
      <x:c r="A85" s="35" t="str">
        <x:v>matmul (ubm)</x:v>
      </x:c>
      <x:c r="B85" s="35" t="str">
        <x:v>mxfp4</x:v>
      </x:c>
      <x:c r="C85" s="35" t="str">
        <x:v>-</x:v>
      </x:c>
      <x:c r="D85" s="35"/>
      <x:c r="E85" s="35" t="str">
        <x:v>[64,512]</x:v>
      </x:c>
      <x:c r="F85" s="35"/>
      <x:c r="G85" s="58"/>
      <x:c r="H85" s="62"/>
      <x:c r="I85" s="66"/>
      <x:c r="J85" s="70"/>
      <x:c r="K85" s="66"/>
      <x:c r="L85" s="66"/>
      <x:c r="M85" s="62"/>
      <x:c r="N85" s="74"/>
      <x:c r="O85" s="54" t="str"/>
      <x:c r="P85" s="35"/>
      <x:c r="Q85" s="35" t="str"/>
    </x:row>
    <x:row r="86" ht="34" customHeight="1">
      <x:c r="A86" s="35" t="str">
        <x:v>matmul (ubm)</x:v>
      </x:c>
      <x:c r="B86" s="35" t="str">
        <x:v>mxfp4</x:v>
      </x:c>
      <x:c r="C86" s="35" t="str">
        <x:v>-</x:v>
      </x:c>
      <x:c r="D86" s="35"/>
      <x:c r="E86" s="35" t="str">
        <x:v>[128,128]</x:v>
      </x:c>
      <x:c r="F86" s="35" t="str">
        <x:v>-</x:v>
      </x:c>
      <x:c r="G86" s="58"/>
      <x:c r="H86" s="62"/>
      <x:c r="I86" s="66"/>
      <x:c r="J86" s="70"/>
      <x:c r="K86" s="66"/>
      <x:c r="L86" s="66"/>
      <x:c r="M86" s="62"/>
      <x:c r="N86" s="74"/>
      <x:c r="O86" s="54" t="str"/>
      <x:c r="P86" s="35"/>
      <x:c r="Q86" s="35" t="str"/>
    </x:row>
    <x:row r="87" ht="34" customHeight="1">
      <x:c r="A87" s="35" t="str">
        <x:v>matmul (ubm)</x:v>
      </x:c>
      <x:c r="B87" s="35" t="str">
        <x:v>mxfp4</x:v>
      </x:c>
      <x:c r="C87" s="35" t="str">
        <x:v>-</x:v>
      </x:c>
      <x:c r="D87" s="35"/>
      <x:c r="E87" s="35" t="str">
        <x:v>[128,192]</x:v>
      </x:c>
      <x:c r="F87" s="35" t="str">
        <x:v>-</x:v>
      </x:c>
      <x:c r="G87" s="58"/>
      <x:c r="H87" s="62"/>
      <x:c r="I87" s="66"/>
      <x:c r="J87" s="70"/>
      <x:c r="K87" s="66"/>
      <x:c r="L87" s="66"/>
      <x:c r="M87" s="62"/>
      <x:c r="N87" s="74"/>
      <x:c r="O87" s="54" t="str"/>
      <x:c r="P87" s="35"/>
      <x:c r="Q87" s="35" t="str"/>
    </x:row>
    <x:row r="88" ht="34" customHeight="1">
      <x:c r="A88" s="35" t="str">
        <x:v>matmul (ubm)</x:v>
      </x:c>
      <x:c r="B88" s="35" t="str">
        <x:v>mxfp4</x:v>
      </x:c>
      <x:c r="C88" s="35" t="str">
        <x:v>-</x:v>
      </x:c>
      <x:c r="D88" s="35"/>
      <x:c r="E88" s="35" t="str">
        <x:v>[128,256]</x:v>
      </x:c>
      <x:c r="F88" s="35" t="str">
        <x:v>-</x:v>
      </x:c>
      <x:c r="G88" s="58"/>
      <x:c r="H88" s="62"/>
      <x:c r="I88" s="66"/>
      <x:c r="J88" s="70"/>
      <x:c r="K88" s="66"/>
      <x:c r="L88" s="66"/>
      <x:c r="M88" s="62"/>
      <x:c r="N88" s="74"/>
      <x:c r="O88" s="54" t="str"/>
      <x:c r="P88" s="35"/>
      <x:c r="Q88" s="35" t="str"/>
    </x:row>
    <x:row r="89" ht="34" customHeight="1">
      <x:c r="A89" s="35" t="str">
        <x:v>matmul (ubm)</x:v>
      </x:c>
      <x:c r="B89" s="35" t="str">
        <x:v>mxfp4</x:v>
      </x:c>
      <x:c r="C89" s="35" t="str">
        <x:v>-</x:v>
      </x:c>
      <x:c r="D89" s="35"/>
      <x:c r="E89" s="35" t="str">
        <x:v>[128,512]</x:v>
      </x:c>
      <x:c r="F89" s="35"/>
      <x:c r="G89" s="58"/>
      <x:c r="H89" s="62"/>
      <x:c r="I89" s="66"/>
      <x:c r="J89" s="70"/>
      <x:c r="K89" s="66"/>
      <x:c r="L89" s="66"/>
      <x:c r="M89" s="62"/>
      <x:c r="N89" s="74"/>
      <x:c r="O89" s="54" t="str"/>
      <x:c r="P89" s="35"/>
      <x:c r="Q89" s="35" t="str"/>
    </x:row>
    <x:row r="90" ht="34" customHeight="1">
      <x:c r="A90" s="35" t="str">
        <x:v>matmul (ubm)</x:v>
      </x:c>
      <x:c r="B90" s="35" t="str">
        <x:v>mxfp4</x:v>
      </x:c>
      <x:c r="C90" s="35" t="str">
        <x:v>-</x:v>
      </x:c>
      <x:c r="D90" s="35"/>
      <x:c r="E90" s="35" t="str">
        <x:v>[192,128]</x:v>
      </x:c>
      <x:c r="F90" s="35"/>
      <x:c r="G90" s="58"/>
      <x:c r="H90" s="62"/>
      <x:c r="I90" s="66"/>
      <x:c r="J90" s="70"/>
      <x:c r="K90" s="66"/>
      <x:c r="L90" s="66"/>
      <x:c r="M90" s="62"/>
      <x:c r="N90" s="74"/>
      <x:c r="O90" s="54" t="str"/>
      <x:c r="P90" s="35"/>
      <x:c r="Q90" s="35" t="str"/>
    </x:row>
    <x:row r="91" ht="34" customHeight="1">
      <x:c r="A91" s="35" t="str">
        <x:v>matmul (ubm)</x:v>
      </x:c>
      <x:c r="B91" s="35" t="str">
        <x:v>mxfp4</x:v>
      </x:c>
      <x:c r="C91" s="35" t="str">
        <x:v>-</x:v>
      </x:c>
      <x:c r="D91" s="35"/>
      <x:c r="E91" s="35" t="str">
        <x:v>[256,128]</x:v>
      </x:c>
      <x:c r="F91" s="35"/>
      <x:c r="G91" s="58"/>
      <x:c r="H91" s="62"/>
      <x:c r="I91" s="66"/>
      <x:c r="J91" s="70"/>
      <x:c r="K91" s="66"/>
      <x:c r="L91" s="66"/>
      <x:c r="M91" s="62"/>
      <x:c r="N91" s="74"/>
      <x:c r="O91" s="54" t="str"/>
      <x:c r="P91" s="35"/>
      <x:c r="Q91" s="35" t="str"/>
    </x:row>
    <x:row r="92" ht="34" customHeight="1">
      <x:c r="A92" s="35" t="str">
        <x:v>matmul (ubm)</x:v>
      </x:c>
      <x:c r="B92" s="35" t="str">
        <x:v>mxfp4</x:v>
      </x:c>
      <x:c r="C92" s="35" t="str">
        <x:v>-</x:v>
      </x:c>
      <x:c r="D92" s="35"/>
      <x:c r="E92" s="35" t="str">
        <x:v>[256,256]</x:v>
      </x:c>
      <x:c r="F92" s="35"/>
      <x:c r="G92" s="58"/>
      <x:c r="H92" s="62"/>
      <x:c r="I92" s="66"/>
      <x:c r="J92" s="70"/>
      <x:c r="K92" s="66"/>
      <x:c r="L92" s="66"/>
      <x:c r="M92" s="62"/>
      <x:c r="N92" s="74"/>
      <x:c r="O92" s="54" t="str"/>
      <x:c r="P92" s="35"/>
      <x:c r="Q92" s="35" t="str"/>
    </x:row>
    <x:row r="93" ht="34" customHeight="1">
      <x:c r="A93" s="35" t="str">
        <x:v>matmul (ubm)</x:v>
      </x:c>
      <x:c r="B93" s="35" t="str">
        <x:v>mxfp4</x:v>
      </x:c>
      <x:c r="C93" s="35" t="str">
        <x:v>-</x:v>
      </x:c>
      <x:c r="D93" s="35"/>
      <x:c r="E93" s="35" t="str">
        <x:v>[256,512]</x:v>
      </x:c>
      <x:c r="F93" s="35"/>
      <x:c r="G93" s="58"/>
      <x:c r="H93" s="62"/>
      <x:c r="I93" s="66"/>
      <x:c r="J93" s="70"/>
      <x:c r="K93" s="66"/>
      <x:c r="L93" s="66"/>
      <x:c r="M93" s="62"/>
      <x:c r="N93" s="74"/>
      <x:c r="O93" s="54" t="str"/>
      <x:c r="P93" s="35"/>
      <x:c r="Q93" s="35" t="str"/>
    </x:row>
    <x:row r="94" ht="34" customHeight="1">
      <x:c r="A94" s="35" t="str">
        <x:v>matmul (ubm)</x:v>
      </x:c>
      <x:c r="B94" s="35" t="str">
        <x:v>mxfp4</x:v>
      </x:c>
      <x:c r="C94" s="35" t="str">
        <x:v>-</x:v>
      </x:c>
      <x:c r="D94" s="35"/>
      <x:c r="E94" s="35" t="str">
        <x:v>[512,128]</x:v>
      </x:c>
      <x:c r="F94" s="35"/>
      <x:c r="G94" s="58"/>
      <x:c r="H94" s="62"/>
      <x:c r="I94" s="66"/>
      <x:c r="J94" s="70"/>
      <x:c r="K94" s="66"/>
      <x:c r="L94" s="66"/>
      <x:c r="M94" s="62"/>
      <x:c r="N94" s="74"/>
      <x:c r="O94" s="54" t="str"/>
      <x:c r="P94" s="35"/>
      <x:c r="Q94" s="35" t="str"/>
    </x:row>
    <x:row r="95" ht="34" customHeight="1">
      <x:c r="A95" s="35" t="str">
        <x:v>matmul (ubm)</x:v>
      </x:c>
      <x:c r="B95" s="35" t="str">
        <x:v>mxfp4</x:v>
      </x:c>
      <x:c r="C95" s="35" t="str">
        <x:v>-</x:v>
      </x:c>
      <x:c r="D95" s="35"/>
      <x:c r="E95" s="35" t="str">
        <x:v>[512,256]</x:v>
      </x:c>
      <x:c r="F95" s="35"/>
      <x:c r="G95" s="58"/>
      <x:c r="H95" s="62"/>
      <x:c r="I95" s="66"/>
      <x:c r="J95" s="70"/>
      <x:c r="K95" s="66"/>
      <x:c r="L95" s="66"/>
      <x:c r="M95" s="62"/>
      <x:c r="N95" s="74"/>
      <x:c r="O95" s="54" t="str"/>
      <x:c r="P95" s="35"/>
      <x:c r="Q95" s="35" t="str"/>
    </x:row>
    <x:row r="96" ht="34" customHeight="1">
      <x:c r="A96" s="40" t="str">
        <x:v>matmul (ubm)</x:v>
      </x:c>
      <x:c r="B96" s="40" t="str">
        <x:v>hif4 三阶</x:v>
      </x:c>
      <x:c r="C96" s="40" t="str">
        <x:v>-</x:v>
      </x:c>
      <x:c r="D96" s="40"/>
      <x:c r="E96" s="40" t="str">
        <x:v>[64,128]</x:v>
      </x:c>
      <x:c r="F96" s="40"/>
      <x:c r="G96" s="59"/>
      <x:c r="H96" s="63"/>
      <x:c r="I96" s="67"/>
      <x:c r="J96" s="71"/>
      <x:c r="K96" s="67"/>
      <x:c r="L96" s="67"/>
      <x:c r="M96" s="63"/>
      <x:c r="N96" s="75"/>
      <x:c r="O96" s="55" t="str"/>
      <x:c r="P96" s="40"/>
      <x:c r="Q96" s="40" t="str"/>
    </x:row>
    <x:row r="97" ht="34" customHeight="1">
      <x:c r="A97" s="40" t="str">
        <x:v>matmul (ubm)</x:v>
      </x:c>
      <x:c r="B97" s="40" t="str">
        <x:v>hif4 三阶</x:v>
      </x:c>
      <x:c r="C97" s="40" t="str">
        <x:v>-</x:v>
      </x:c>
      <x:c r="D97" s="40"/>
      <x:c r="E97" s="40" t="str">
        <x:v>[64,192]</x:v>
      </x:c>
      <x:c r="F97" s="40"/>
      <x:c r="G97" s="59"/>
      <x:c r="H97" s="63"/>
      <x:c r="I97" s="67"/>
      <x:c r="J97" s="71"/>
      <x:c r="K97" s="67"/>
      <x:c r="L97" s="67"/>
      <x:c r="M97" s="63"/>
      <x:c r="N97" s="75"/>
      <x:c r="O97" s="55" t="str"/>
      <x:c r="P97" s="40"/>
      <x:c r="Q97" s="40" t="str"/>
    </x:row>
    <x:row r="98" ht="34" customHeight="1">
      <x:c r="A98" s="40" t="str">
        <x:v>matmul (ubm)</x:v>
      </x:c>
      <x:c r="B98" s="40" t="str">
        <x:v>hif4 三阶</x:v>
      </x:c>
      <x:c r="C98" s="40" t="str">
        <x:v>-</x:v>
      </x:c>
      <x:c r="D98" s="40"/>
      <x:c r="E98" s="40" t="str">
        <x:v>[64,256]</x:v>
      </x:c>
      <x:c r="F98" s="40"/>
      <x:c r="G98" s="59"/>
      <x:c r="H98" s="63"/>
      <x:c r="I98" s="67"/>
      <x:c r="J98" s="71"/>
      <x:c r="K98" s="67"/>
      <x:c r="L98" s="67"/>
      <x:c r="M98" s="63"/>
      <x:c r="N98" s="75"/>
      <x:c r="O98" s="55" t="str"/>
      <x:c r="P98" s="40"/>
      <x:c r="Q98" s="40" t="str"/>
    </x:row>
    <x:row r="99" ht="34" customHeight="1">
      <x:c r="A99" s="40" t="str">
        <x:v>matmul (ubm)</x:v>
      </x:c>
      <x:c r="B99" s="40" t="str">
        <x:v>hif4 三阶</x:v>
      </x:c>
      <x:c r="C99" s="40" t="str">
        <x:v>-</x:v>
      </x:c>
      <x:c r="D99" s="40"/>
      <x:c r="E99" s="40" t="str">
        <x:v>[64,512]</x:v>
      </x:c>
      <x:c r="F99" s="40"/>
      <x:c r="G99" s="59"/>
      <x:c r="H99" s="63"/>
      <x:c r="I99" s="67"/>
      <x:c r="J99" s="71"/>
      <x:c r="K99" s="67"/>
      <x:c r="L99" s="67"/>
      <x:c r="M99" s="63"/>
      <x:c r="N99" s="75"/>
      <x:c r="O99" s="55" t="str"/>
      <x:c r="P99" s="40"/>
      <x:c r="Q99" s="40" t="str"/>
    </x:row>
    <x:row r="100" ht="34" customHeight="1">
      <x:c r="A100" s="40" t="str">
        <x:v>matmul (ubm)</x:v>
      </x:c>
      <x:c r="B100" s="40" t="str">
        <x:v>hif4 三阶</x:v>
      </x:c>
      <x:c r="C100" s="40" t="str">
        <x:v>-</x:v>
      </x:c>
      <x:c r="D100" s="40"/>
      <x:c r="E100" s="40" t="str">
        <x:v>[128,128]</x:v>
      </x:c>
      <x:c r="F100" s="40" t="str">
        <x:v>-</x:v>
      </x:c>
      <x:c r="G100" s="59"/>
      <x:c r="H100" s="63"/>
      <x:c r="I100" s="67"/>
      <x:c r="J100" s="71"/>
      <x:c r="K100" s="67"/>
      <x:c r="L100" s="67"/>
      <x:c r="M100" s="63"/>
      <x:c r="N100" s="75"/>
      <x:c r="O100" s="55" t="str"/>
      <x:c r="P100" s="40"/>
      <x:c r="Q100" s="40" t="str"/>
    </x:row>
    <x:row r="101" ht="34" customHeight="1">
      <x:c r="A101" s="40" t="str">
        <x:v>matmul (ubm)</x:v>
      </x:c>
      <x:c r="B101" s="40" t="str">
        <x:v>hif4 三阶</x:v>
      </x:c>
      <x:c r="C101" s="40" t="str">
        <x:v>-</x:v>
      </x:c>
      <x:c r="D101" s="40"/>
      <x:c r="E101" s="40" t="str">
        <x:v>[128,192]</x:v>
      </x:c>
      <x:c r="F101" s="40" t="str">
        <x:v>-</x:v>
      </x:c>
      <x:c r="G101" s="59"/>
      <x:c r="H101" s="63"/>
      <x:c r="I101" s="67"/>
      <x:c r="J101" s="71"/>
      <x:c r="K101" s="67"/>
      <x:c r="L101" s="67"/>
      <x:c r="M101" s="63"/>
      <x:c r="N101" s="75"/>
      <x:c r="O101" s="55" t="str"/>
      <x:c r="P101" s="40"/>
      <x:c r="Q101" s="40" t="str"/>
    </x:row>
    <x:row r="102" ht="34" customHeight="1">
      <x:c r="A102" s="40" t="str">
        <x:v>matmul (ubm)</x:v>
      </x:c>
      <x:c r="B102" s="40" t="str">
        <x:v>hif4 三阶</x:v>
      </x:c>
      <x:c r="C102" s="40" t="str">
        <x:v>-</x:v>
      </x:c>
      <x:c r="D102" s="40"/>
      <x:c r="E102" s="40" t="str">
        <x:v>[128,256]</x:v>
      </x:c>
      <x:c r="F102" s="40" t="str">
        <x:v>-</x:v>
      </x:c>
      <x:c r="G102" s="59"/>
      <x:c r="H102" s="63"/>
      <x:c r="I102" s="67"/>
      <x:c r="J102" s="71"/>
      <x:c r="K102" s="67"/>
      <x:c r="L102" s="67"/>
      <x:c r="M102" s="63"/>
      <x:c r="N102" s="75"/>
      <x:c r="O102" s="55" t="str"/>
      <x:c r="P102" s="40"/>
      <x:c r="Q102" s="40" t="str"/>
    </x:row>
    <x:row r="103" ht="34" customHeight="1">
      <x:c r="A103" s="40" t="str">
        <x:v>matmul (ubm)</x:v>
      </x:c>
      <x:c r="B103" s="40" t="str">
        <x:v>hif4 三阶</x:v>
      </x:c>
      <x:c r="C103" s="40" t="str">
        <x:v>-</x:v>
      </x:c>
      <x:c r="D103" s="40"/>
      <x:c r="E103" s="40" t="str">
        <x:v>[128,512]</x:v>
      </x:c>
      <x:c r="F103" s="40"/>
      <x:c r="G103" s="59"/>
      <x:c r="H103" s="63"/>
      <x:c r="I103" s="67"/>
      <x:c r="J103" s="71"/>
      <x:c r="K103" s="67"/>
      <x:c r="L103" s="67"/>
      <x:c r="M103" s="63"/>
      <x:c r="N103" s="75"/>
      <x:c r="O103" s="55" t="str"/>
      <x:c r="P103" s="40"/>
      <x:c r="Q103" s="40" t="str"/>
    </x:row>
    <x:row r="104" ht="34" customHeight="1">
      <x:c r="A104" s="40" t="str">
        <x:v>matmul (ubm)</x:v>
      </x:c>
      <x:c r="B104" s="40" t="str">
        <x:v>hif4 三阶</x:v>
      </x:c>
      <x:c r="C104" s="40" t="str">
        <x:v>-</x:v>
      </x:c>
      <x:c r="D104" s="40"/>
      <x:c r="E104" s="40" t="str">
        <x:v>[192,128]</x:v>
      </x:c>
      <x:c r="F104" s="40"/>
      <x:c r="G104" s="59"/>
      <x:c r="H104" s="63"/>
      <x:c r="I104" s="67"/>
      <x:c r="J104" s="71"/>
      <x:c r="K104" s="67"/>
      <x:c r="L104" s="67"/>
      <x:c r="M104" s="63"/>
      <x:c r="N104" s="75"/>
      <x:c r="O104" s="55" t="str"/>
      <x:c r="P104" s="40"/>
      <x:c r="Q104" s="40" t="str"/>
    </x:row>
    <x:row r="105" ht="34" customHeight="1">
      <x:c r="A105" s="40" t="str">
        <x:v>matmul (ubm)</x:v>
      </x:c>
      <x:c r="B105" s="40" t="str">
        <x:v>hif4 三阶</x:v>
      </x:c>
      <x:c r="C105" s="40" t="str">
        <x:v>-</x:v>
      </x:c>
      <x:c r="D105" s="40"/>
      <x:c r="E105" s="40" t="str">
        <x:v>[256,128]</x:v>
      </x:c>
      <x:c r="F105" s="40"/>
      <x:c r="G105" s="59"/>
      <x:c r="H105" s="63"/>
      <x:c r="I105" s="67"/>
      <x:c r="J105" s="71"/>
      <x:c r="K105" s="67"/>
      <x:c r="L105" s="67"/>
      <x:c r="M105" s="63"/>
      <x:c r="N105" s="75"/>
      <x:c r="O105" s="55" t="str"/>
      <x:c r="P105" s="40"/>
      <x:c r="Q105" s="40" t="str"/>
    </x:row>
    <x:row r="106" ht="34" customHeight="1">
      <x:c r="A106" s="40" t="str">
        <x:v>matmul (ubm)</x:v>
      </x:c>
      <x:c r="B106" s="40" t="str">
        <x:v>hif4 三阶</x:v>
      </x:c>
      <x:c r="C106" s="40" t="str">
        <x:v>-</x:v>
      </x:c>
      <x:c r="D106" s="40"/>
      <x:c r="E106" s="40" t="str">
        <x:v>[256,256]</x:v>
      </x:c>
      <x:c r="F106" s="40"/>
      <x:c r="G106" s="59"/>
      <x:c r="H106" s="63"/>
      <x:c r="I106" s="67"/>
      <x:c r="J106" s="71"/>
      <x:c r="K106" s="67"/>
      <x:c r="L106" s="67"/>
      <x:c r="M106" s="63"/>
      <x:c r="N106" s="75"/>
      <x:c r="O106" s="55" t="str"/>
      <x:c r="P106" s="40"/>
      <x:c r="Q106" s="40" t="str"/>
    </x:row>
    <x:row r="107" ht="34" customHeight="1">
      <x:c r="A107" s="40" t="str">
        <x:v>matmul (ubm)</x:v>
      </x:c>
      <x:c r="B107" s="40" t="str">
        <x:v>hif4 三阶</x:v>
      </x:c>
      <x:c r="C107" s="40" t="str">
        <x:v>-</x:v>
      </x:c>
      <x:c r="D107" s="40"/>
      <x:c r="E107" s="40" t="str">
        <x:v>[256,512]</x:v>
      </x:c>
      <x:c r="F107" s="40"/>
      <x:c r="G107" s="59"/>
      <x:c r="H107" s="63"/>
      <x:c r="I107" s="67"/>
      <x:c r="J107" s="71"/>
      <x:c r="K107" s="67"/>
      <x:c r="L107" s="67"/>
      <x:c r="M107" s="63"/>
      <x:c r="N107" s="75"/>
      <x:c r="O107" s="55" t="str"/>
      <x:c r="P107" s="40"/>
      <x:c r="Q107" s="40" t="str"/>
    </x:row>
    <x:row r="108" ht="34" customHeight="1">
      <x:c r="A108" s="40" t="str">
        <x:v>matmul (ubm)</x:v>
      </x:c>
      <x:c r="B108" s="40" t="str">
        <x:v>hif4 三阶</x:v>
      </x:c>
      <x:c r="C108" s="40" t="str">
        <x:v>-</x:v>
      </x:c>
      <x:c r="D108" s="40"/>
      <x:c r="E108" s="40" t="str">
        <x:v>[512,128]</x:v>
      </x:c>
      <x:c r="F108" s="40"/>
      <x:c r="G108" s="59"/>
      <x:c r="H108" s="63"/>
      <x:c r="I108" s="67"/>
      <x:c r="J108" s="71"/>
      <x:c r="K108" s="67"/>
      <x:c r="L108" s="67"/>
      <x:c r="M108" s="63"/>
      <x:c r="N108" s="75"/>
      <x:c r="O108" s="55" t="str"/>
      <x:c r="P108" s="40"/>
      <x:c r="Q108" s="40" t="str"/>
    </x:row>
    <x:row r="109" ht="34" customHeight="1">
      <x:c r="A109" s="40" t="str">
        <x:v>matmul (ubm)</x:v>
      </x:c>
      <x:c r="B109" s="40" t="str">
        <x:v>hif4 三阶</x:v>
      </x:c>
      <x:c r="C109" s="40" t="str">
        <x:v>-</x:v>
      </x:c>
      <x:c r="D109" s="40"/>
      <x:c r="E109" s="40" t="str">
        <x:v>[512,256]</x:v>
      </x:c>
      <x:c r="F109" s="40"/>
      <x:c r="G109" s="59"/>
      <x:c r="H109" s="63"/>
      <x:c r="I109" s="67"/>
      <x:c r="J109" s="71"/>
      <x:c r="K109" s="67"/>
      <x:c r="L109" s="67"/>
      <x:c r="M109" s="63"/>
      <x:c r="N109" s="75"/>
      <x:c r="O109" s="55" t="str"/>
      <x:c r="P109" s="40"/>
      <x:c r="Q109" s="40" t="str"/>
    </x:row>
    <x:row r="110" ht="34" customHeight="1">
      <x:c r="A110" s="45" t="str">
        <x:v>vector</x:v>
      </x:c>
      <x:c r="B110" s="45" t="str">
        <x:v>rms-norm</x:v>
      </x:c>
      <x:c r="C110" s="45"/>
      <x:c r="D110" s="45"/>
      <x:c r="E110" s="45"/>
      <x:c r="F110" s="45"/>
      <x:c r="G110" s="60"/>
      <x:c r="H110" s="64"/>
      <x:c r="I110" s="68"/>
      <x:c r="J110" s="72"/>
      <x:c r="K110" s="68"/>
      <x:c r="L110" s="68"/>
      <x:c r="M110" s="64"/>
      <x:c r="N110" s="76"/>
      <x:c r="O110" s="56" t="str"/>
      <x:c r="P110" s="45"/>
      <x:c r="Q110" s="45" t="str"/>
    </x:row>
    <x:row r="111" ht="34" customHeight="1">
      <x:c r="A111" s="51" t="str">
        <x:v>vector</x:v>
      </x:c>
      <x:c r="B111" s="51" t="str">
        <x:v>mxquant</x:v>
      </x:c>
      <x:c r="C111" s="51"/>
      <x:c r="D111" s="51"/>
      <x:c r="E111" s="51"/>
      <x:c r="F111" s="51"/>
      <x:c r="G111" s="61"/>
      <x:c r="H111" s="65"/>
      <x:c r="I111" s="69"/>
      <x:c r="J111" s="73"/>
      <x:c r="K111" s="69"/>
      <x:c r="L111" s="69"/>
      <x:c r="M111" s="65"/>
      <x:c r="N111" s="77"/>
      <x:c r="O111" s="57" t="str"/>
      <x:c r="P111" s="51"/>
      <x:c r="Q111" s="51" t="str"/>
    </x:row>
    <x:row r="112" ht="34" customHeight="1">
      <x:c r="A112" s="35" t="str">
        <x:v>待定</x:v>
      </x:c>
      <x:c r="B112" s="35"/>
      <x:c r="C112" s="35"/>
      <x:c r="D112" s="35"/>
      <x:c r="E112" s="35"/>
      <x:c r="F112" s="35"/>
      <x:c r="G112" s="58"/>
      <x:c r="H112" s="62"/>
      <x:c r="I112" s="66"/>
      <x:c r="J112" s="70"/>
      <x:c r="K112" s="66"/>
      <x:c r="L112" s="66"/>
      <x:c r="M112" s="62"/>
      <x:c r="N112" s="74"/>
      <x:c r="O112" s="54" t="str"/>
      <x:c r="P112" s="35"/>
      <x:c r="Q112" s="35" t="str"/>
    </x:row>
  </x:sheetData>
  <x:mergeCells>
    <x:mergeCell ref="G4:Q4"/>
    <x:mergeCell ref="G5:Q6"/>
    <x:mergeCell ref="A8:F8"/>
    <x:mergeCell ref="G8:H8"/>
    <x:mergeCell ref="I8:M8"/>
    <x:mergeCell ref="O8:Q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21" hidden="0" customWidth="1"/>
    <x:col min="5" max="5" width="21" hidden="0" customWidth="1"/>
    <x:col min="6" max="6" width="14" hidden="0" customWidth="1"/>
    <x:col min="7" max="7" width="14" hidden="0" customWidth="1"/>
    <x:col min="8" max="8" width="13" hidden="0" customWidth="1"/>
    <x:col min="9" max="9" width="17" hidden="0" customWidth="1"/>
    <x:col min="10" max="10" width="20" hidden="0" customWidth="1"/>
    <x:col min="11" max="11" width="54" hidden="0" customWidth="1"/>
    <x:col min="12" max="12" width="78" hidden="0" customWidth="1"/>
  </x:cols>
  <x:sheetData>
    <x:row r="2">
      <x:c r="A2" s="2" t="str">
        <x:v>FA fa_2d_unroll_gmma FP8 / FP32 D=256 历史 TileK 对比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4" ht="30" customHeight="1">
      <x:c r="A4" s="4" t="str">
        <x:v>配置</x:v>
      </x:c>
      <x:c r="B4" s="13" t="str">
        <x:v>[1,8192,8,256] BSND</x:v>
      </x:c>
      <x:c r="C4" s="13" t="str"/>
      <x:c r="D4" s="80" t="str">
        <x:v>数据类型</x:v>
      </x:c>
      <x:c r="E4" s="13" t="str">
        <x:v>FP8 Cube / FP32 Vector</x:v>
      </x:c>
      <x:c r="F4" s="13" t="str"/>
    </x:row>
    <x:row r="5" ht="30" customHeight="1">
      <x:c r="A5" s="4" t="str">
        <x:v>固定参数</x:v>
      </x:c>
      <x:c r="B5" s="13" t="str">
        <x:v>Sq=128; Skv=8192; HeadDim=256; Tm=128</x:v>
      </x:c>
      <x:c r="C5" s="13" t="str"/>
      <x:c r="D5" s="80" t="str">
        <x:v>频率</x:v>
      </x:c>
      <x:c r="E5" s="13" t="n">
        <x:v>1.6</x:v>
      </x:c>
      <x:c r="F5" s="13" t="str">
        <x:v>GHz</x:v>
      </x:c>
    </x:row>
    <x:row r="6" ht="30" customHeight="1">
      <x:c r="A6" s="4" t="str">
        <x:v>MFU 公式</x:v>
      </x:c>
      <x:c r="B6" s="13" t="str">
        <x:v>= [2 × 128 × 8192 × 256 / 8192] / cycles</x:v>
      </x:c>
      <x:c r="C6" s="13" t="str"/>
      <x:c r="D6" s="80" t="str">
        <x:v>历史最佳</x:v>
      </x:c>
      <x:c r="E6" s="13" t="str">
        <x:v>Tm=128, Tk=128</x:v>
      </x:c>
      <x:c r="F6" s="13" t="str"/>
    </x:row>
    <x:row r="8" ht="28" customHeight="1">
      <x:c r="A8" s="18" t="str">
        <x:v>Tile 配置与容量</x:v>
      </x:c>
      <x:c r="B8" s="18"/>
      <x:c r="C8" s="18"/>
      <x:c r="D8" s="18"/>
      <x:c r="E8" s="18"/>
      <x:c r="F8" s="18" t="str">
        <x:v>性能</x:v>
      </x:c>
      <x:c r="G8" s="18"/>
      <x:c r="H8" s="18"/>
      <x:c r="I8" s="18"/>
      <x:c r="J8" s="18" t="str">
        <x:v>状态与证据</x:v>
      </x:c>
      <x:c r="K8" s="18"/>
      <x:c r="L8" s="18"/>
    </x:row>
    <x:row r="9" ht="28" customHeight="1">
      <x:c r="A9" s="30" t="str">
        <x:v>Tm</x:v>
      </x:c>
      <x:c r="B9" s="31" t="str">
        <x:v>Tk</x:v>
      </x:c>
      <x:c r="C9" s="31" t="str">
        <x:v>KV blocks</x:v>
      </x:c>
      <x:c r="D9" s="31" t="str">
        <x:v>QK SharedTile (KiB)</x:v>
      </x:c>
      <x:c r="E9" s="31" t="str">
        <x:v>PV SharedTile (KiB)</x:v>
      </x:c>
      <x:c r="F9" s="31" t="str">
        <x:v>cycles</x:v>
      </x:c>
      <x:c r="G9" s="31" t="str">
        <x:v>time (us)</x:v>
      </x:c>
      <x:c r="H9" s="31" t="str">
        <x:v>MFU</x:v>
      </x:c>
      <x:c r="I9" s="31" t="str">
        <x:v>cycles vs best</x:v>
      </x:c>
      <x:c r="J9" s="31" t="str">
        <x:v>状态</x:v>
      </x:c>
      <x:c r="K9" s="31" t="str">
        <x:v>说明</x:v>
      </x:c>
      <x:c r="L9" s="32" t="str">
        <x:v>gfsim 日志</x:v>
      </x:c>
    </x:row>
    <x:row r="10" ht="38" customHeight="1">
      <x:c r="A10" s="66" t="n">
        <x:v>128</x:v>
      </x:c>
      <x:c r="B10" s="66" t="n">
        <x:v>32</x:v>
      </x:c>
      <x:c r="C10" s="66" t="n">
        <x:v>256</x:v>
      </x:c>
      <x:c r="D10" s="93" t="n">
        <x:v>40</x:v>
      </x:c>
      <x:c r="E10" s="93" t="n">
        <x:v>8</x:v>
      </x:c>
      <x:c r="F10" s="66" t="n">
        <x:v>120790</x:v>
      </x:c>
      <x:c r="G10" s="70" t="n">
        <x:f>IF(F10="","",F10/1600)</x:f>
        <x:v>75.49375</x:v>
      </x:c>
      <x:c r="H10" s="62" t="n">
        <x:f>IF(F10="","",65536/F10)</x:f>
        <x:v>0.5425614703203908</x:v>
      </x:c>
      <x:c r="I10" s="62" t="n">
        <x:f>IF(F10="","",F10/MIN($F$10:$F$15)-1)</x:f>
        <x:v>0.4792906654909741</x:v>
      </x:c>
      <x:c r="J10" s="36" t="str">
        <x:v>PASS</x:v>
      </x:c>
      <x:c r="K10" s="35" t="str"/>
      <x:c r="L10" s="35" t="str">
        <x:v>/Users/blacktraker/Programming/gitproj/DV4/SuperNPUBench/outputs/fa_fp8_fp32_d256_tk_sweep_20261009/cases/tm128_tk32/gfsim.log</x:v>
      </x:c>
    </x:row>
    <x:row r="11" ht="38" customHeight="1">
      <x:c r="A11" s="91" t="n">
        <x:v>128</x:v>
      </x:c>
      <x:c r="B11" s="91" t="n">
        <x:v>64</x:v>
      </x:c>
      <x:c r="C11" s="91" t="n">
        <x:v>128</x:v>
      </x:c>
      <x:c r="D11" s="94" t="n">
        <x:v>48</x:v>
      </x:c>
      <x:c r="E11" s="94" t="n">
        <x:v>16</x:v>
      </x:c>
      <x:c r="F11" s="91" t="n">
        <x:v>95100</x:v>
      </x:c>
      <x:c r="G11" s="95" t="n">
        <x:f>IF(F11="","",F11/1600)</x:f>
        <x:v>59.4375</x:v>
      </x:c>
      <x:c r="H11" s="96" t="n">
        <x:f>IF(F11="","",65536/F11)</x:f>
        <x:v>0.6891272344900106</x:v>
      </x:c>
      <x:c r="I11" s="96" t="n">
        <x:f>IF(F11="","",F11/MIN($F$10:$F$15)-1)</x:f>
        <x:v>0.16467043868028508</x:v>
      </x:c>
      <x:c r="J11" s="85" t="str">
        <x:v>PASS</x:v>
      </x:c>
      <x:c r="K11" s="84" t="str"/>
      <x:c r="L11" s="84" t="str">
        <x:v>/Users/blacktraker/Programming/gitproj/DV4/SuperNPUBench/outputs/fa_fp8_fp32_d256_tk_sweep_20261009/cases/tm128_tk64/gfsim.log</x:v>
      </x:c>
    </x:row>
    <x:row r="12" ht="38" customHeight="1">
      <x:c r="A12" s="92" t="n">
        <x:v>128</x:v>
      </x:c>
      <x:c r="B12" s="92" t="n">
        <x:v>128</x:v>
      </x:c>
      <x:c r="C12" s="66" t="n">
        <x:v>64</x:v>
      </x:c>
      <x:c r="D12" s="93" t="n">
        <x:v>64</x:v>
      </x:c>
      <x:c r="E12" s="93" t="n">
        <x:v>32</x:v>
      </x:c>
      <x:c r="F12" s="66" t="n">
        <x:v>81654</x:v>
      </x:c>
      <x:c r="G12" s="70" t="n">
        <x:f>IF(F12="","",F12/1600)</x:f>
        <x:v>51.03375</x:v>
      </x:c>
      <x:c r="H12" s="89" t="n">
        <x:f>IF(F12="","",65536/F12)</x:f>
        <x:v>0.8026061185000123</x:v>
      </x:c>
      <x:c r="I12" s="62" t="n">
        <x:f>IF(F12="","",F12/MIN($F$10:$F$15)-1)</x:f>
        <x:v>0</x:v>
      </x:c>
      <x:c r="J12" s="36" t="str">
        <x:v>PASS</x:v>
      </x:c>
      <x:c r="K12" s="35" t="str"/>
      <x:c r="L12" s="35" t="str">
        <x:v>/Users/blacktraker/Programming/gitproj/DV4/SuperNPUBench/outputs/fa_fp8_fp32_d256_tk_sweep_20261009/cases/tm128_tk128/gfsim.log</x:v>
      </x:c>
    </x:row>
    <x:row r="13" ht="38" customHeight="1">
      <x:c r="A13" s="91" t="n">
        <x:v>128</x:v>
      </x:c>
      <x:c r="B13" s="91" t="n">
        <x:v>256</x:v>
      </x:c>
      <x:c r="C13" s="91" t="n">
        <x:v>32</x:v>
      </x:c>
      <x:c r="D13" s="94" t="n">
        <x:v>96</x:v>
      </x:c>
      <x:c r="E13" s="94" t="n">
        <x:v>64</x:v>
      </x:c>
      <x:c r="F13" s="91" t="n">
        <x:v>104322</x:v>
      </x:c>
      <x:c r="G13" s="95" t="n">
        <x:f>IF(F13="","",F13/1600)</x:f>
        <x:v>65.20125</x:v>
      </x:c>
      <x:c r="H13" s="96" t="n">
        <x:f>IF(F13="","",65536/F13)</x:f>
        <x:v>0.6282088150150495</x:v>
      </x:c>
      <x:c r="I13" s="96" t="n">
        <x:f>IF(F13="","",F13/MIN($F$10:$F$15)-1)</x:f>
        <x:v>0.27761040487912414</x:v>
      </x:c>
      <x:c r="J13" s="85" t="str">
        <x:v>PASS</x:v>
      </x:c>
      <x:c r="K13" s="84" t="str"/>
      <x:c r="L13" s="84" t="str">
        <x:v>/Users/blacktraker/Programming/gitproj/DV4/SuperNPUBench/outputs/fa_fp8_fp32_d256_tk_sweep_20261009/cases/tm128_tk256/gfsim.log</x:v>
      </x:c>
    </x:row>
    <x:row r="14" ht="38" customHeight="1">
      <x:c r="A14" s="66" t="n">
        <x:v>128</x:v>
      </x:c>
      <x:c r="B14" s="66" t="n">
        <x:v>512</x:v>
      </x:c>
      <x:c r="C14" s="66" t="n">
        <x:v>16</x:v>
      </x:c>
      <x:c r="D14" s="93" t="n">
        <x:v>160</x:v>
      </x:c>
      <x:c r="E14" s="93" t="n">
        <x:v>128</x:v>
      </x:c>
      <x:c r="F14" s="66"/>
      <x:c r="G14" s="70"/>
      <x:c r="H14" s="62"/>
      <x:c r="I14" s="62"/>
      <x:c r="J14" s="37" t="str">
        <x:v>DEADLOCK</x:v>
      </x:c>
      <x:c r="K14" s="35" t="str">
        <x:v>首个 128×512×256 GMMA 块停滞，未产生有效 cycle。</x:v>
      </x:c>
      <x:c r="L14" s="35" t="str">
        <x:v>/Users/blacktraker/Programming/gitproj/DV4/SuperNPUBench/outputs/fa_fp8_fp32_d256_tk_sweep_20261009/cases/tm128_tk512/gfsim.log</x:v>
      </x:c>
    </x:row>
    <x:row r="15" ht="38" customHeight="1">
      <x:c r="A15" s="91" t="n">
        <x:v>128</x:v>
      </x:c>
      <x:c r="B15" s="91" t="n">
        <x:v>1024</x:v>
      </x:c>
      <x:c r="C15" s="91" t="n">
        <x:v>8</x:v>
      </x:c>
      <x:c r="D15" s="94" t="n">
        <x:v>288</x:v>
      </x:c>
      <x:c r="E15" s="94" t="n">
        <x:v>256</x:v>
      </x:c>
      <x:c r="F15" s="91"/>
      <x:c r="G15" s="95"/>
      <x:c r="H15" s="96"/>
      <x:c r="I15" s="96"/>
      <x:c r="J15" s="90" t="str">
        <x:v>SKIPPED_CAPACITY</x:v>
      </x:c>
      <x:c r="K15" s="84" t="str">
        <x:v>QK 阶段 288 KiB，超过 256 KiB SharedTReg 容量，未编译/未运行。</x:v>
      </x:c>
      <x:c r="L15" s="84"/>
    </x:row>
  </x:sheetData>
  <x:mergeCells>
    <x:mergeCell ref="B4:C4"/>
    <x:mergeCell ref="E4:F4"/>
    <x:mergeCell ref="B5:C5"/>
    <x:mergeCell ref="B6:C6"/>
    <x:mergeCell ref="E6:F6"/>
    <x:mergeCell ref="A8:E8"/>
    <x:mergeCell ref="F8:I8"/>
    <x:mergeCell ref="J8:L8"/>
  </x:mergeCells>
  <x:pageMargins left="0.7" right="0.7" top="0.75" bottom="0.75" header="0.3" footer="0.3"/>
</x:worksheet>
</file>