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f970fff0e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对比表" sheetId="1" r:id="R977ce41a300840a7"/>
    <x:sheet xmlns:r="http://schemas.openxmlformats.org/officeDocument/2006/relationships" name="附：最优配置" sheetId="2" r:id="R73c457d96514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"/>
    <x:numFmt numFmtId="203" formatCode="0.00x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9"/>
      <x:color rgb="FF222222"/>
      <x:name val="Arial"/>
    </x:font>
    <x:font>
      <x:b/>
      <x:sz val="9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0B050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5">
    <x:border/>
    <x:border>
      <x:bottom style="medium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3" borderId="0" xfId="0" applyNumberFormat="1" applyFont="1" applyFill="1" applyBorder="1"/>
    <x:xf numFmtId="0" fontId="5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200" fontId="4" fillId="3" borderId="0" xfId="0" applyNumberFormat="1" applyFont="1" applyFill="1" applyBorder="1"/>
    <x:xf numFmtId="200" fontId="4" fillId="5" borderId="0" xfId="0" applyNumberFormat="1" applyFont="1" applyFill="1" applyBorder="1"/>
    <x:xf numFmtId="200" fontId="4" fillId="6" borderId="0" xfId="0" applyNumberFormat="1" applyFont="1" applyFill="1" applyBorder="1"/>
    <x:xf numFmtId="201" fontId="4" fillId="3" borderId="0" xfId="0" applyNumberFormat="1" applyFont="1" applyFill="1" applyBorder="1"/>
    <x:xf numFmtId="201" fontId="4" fillId="5" borderId="0" xfId="0" applyNumberFormat="1" applyFont="1" applyFill="1" applyBorder="1"/>
    <x:xf numFmtId="201" fontId="4" fillId="6" borderId="0" xfId="0" applyNumberFormat="1" applyFont="1" applyFill="1" applyBorder="1"/>
    <x:xf numFmtId="201" fontId="5" fillId="4" borderId="0" xfId="0" applyNumberFormat="1" applyFont="1" applyFill="1" applyBorder="1"/>
    <x:xf numFmtId="202" fontId="4" fillId="3" borderId="0" xfId="0" applyNumberFormat="1" applyFont="1" applyFill="1" applyBorder="1"/>
    <x:xf numFmtId="202" fontId="4" fillId="5" borderId="0" xfId="0" applyNumberFormat="1" applyFont="1" applyFill="1" applyBorder="1"/>
    <x:xf numFmtId="202" fontId="4" fillId="6" borderId="0" xfId="0" applyNumberFormat="1" applyFont="1" applyFill="1" applyBorder="1"/>
    <x:xf numFmtId="203" fontId="4" fillId="3" borderId="0" xfId="0" applyNumberFormat="1" applyFont="1" applyFill="1" applyBorder="1"/>
    <x:xf numFmtId="203" fontId="4" fillId="5" borderId="0" xfId="0" applyNumberFormat="1" applyFont="1" applyFill="1" applyBorder="1"/>
    <x:xf numFmtId="203" fontId="4" fillId="6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201" fontId="4" fillId="6" borderId="0" xfId="0" applyNumberFormat="1" applyFont="1" applyFill="1" applyBorder="1" applyAlignment="1">
      <x:alignment vertical="center"/>
    </x:xf>
    <x:xf numFmtId="202" fontId="4" fillId="6" borderId="0" xfId="0" applyNumberFormat="1" applyFont="1" applyFill="1" applyBorder="1" applyAlignment="1">
      <x:alignment vertical="center"/>
    </x:xf>
    <x:xf numFmtId="203" fontId="4" fillId="6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left" vertical="center"/>
    </x:xf>
    <x:xf numFmtId="0" fontId="4" fillId="6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7" fillId="4" borderId="0" xfId="0" applyNumberFormat="1" applyFont="1" applyFill="1" applyBorder="1"/>
    <x:xf numFmtId="0" fontId="6" fillId="5" borderId="0" xfId="0" applyNumberFormat="1" applyFont="1" applyFill="1" applyBorder="1"/>
    <x:xf numFmtId="0" fontId="6" fillId="6" borderId="0" xfId="0" applyNumberFormat="1" applyFont="1" applyFill="1" applyBorder="1"/>
    <x:xf numFmtId="200" fontId="6" fillId="3" borderId="0" xfId="0" applyNumberFormat="1" applyFont="1" applyFill="1" applyBorder="1"/>
    <x:xf numFmtId="200" fontId="6" fillId="5" borderId="0" xfId="0" applyNumberFormat="1" applyFont="1" applyFill="1" applyBorder="1"/>
    <x:xf numFmtId="200" fontId="6" fillId="6" borderId="0" xfId="0" applyNumberFormat="1" applyFont="1" applyFill="1" applyBorder="1"/>
    <x:xf numFmtId="201" fontId="6" fillId="3" borderId="0" xfId="0" applyNumberFormat="1" applyFont="1" applyFill="1" applyBorder="1"/>
    <x:xf numFmtId="201" fontId="6" fillId="5" borderId="0" xfId="0" applyNumberFormat="1" applyFont="1" applyFill="1" applyBorder="1"/>
    <x:xf numFmtId="201" fontId="6" fillId="6" borderId="0" xfId="0" applyNumberFormat="1" applyFont="1" applyFill="1" applyBorder="1"/>
    <x:xf numFmtId="201" fontId="7" fillId="4" borderId="0" xfId="0" applyNumberFormat="1" applyFont="1" applyFill="1" applyBorder="1"/>
    <x:xf numFmtId="202" fontId="6" fillId="3" borderId="0" xfId="0" applyNumberFormat="1" applyFont="1" applyFill="1" applyBorder="1"/>
    <x:xf numFmtId="202" fontId="6" fillId="5" borderId="0" xfId="0" applyNumberFormat="1" applyFont="1" applyFill="1" applyBorder="1"/>
    <x:xf numFmtId="202" fontId="6" fillId="6" borderId="0" xfId="0" applyNumberFormat="1" applyFont="1" applyFill="1" applyBorder="1"/>
    <x:xf numFmtId="203" fontId="6" fillId="3" borderId="0" xfId="0" applyNumberFormat="1" applyFont="1" applyFill="1" applyBorder="1"/>
    <x:xf numFmtId="203" fontId="6" fillId="5" borderId="0" xfId="0" applyNumberFormat="1" applyFont="1" applyFill="1" applyBorder="1"/>
    <x:xf numFmtId="203" fontId="6" fillId="6" borderId="0" xfId="0" applyNumberFormat="1" applyFont="1" applyFill="1" applyBorder="1"/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C6EFC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C6EFC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dbe698cfb43e0" /><Relationship Type="http://schemas.openxmlformats.org/officeDocument/2006/relationships/theme" Target="/xl/theme/theme1.xml" Id="R5a02fdfe25cf49d9" /><Relationship Type="http://schemas.openxmlformats.org/officeDocument/2006/relationships/sharedStrings" Target="/xl/sharedStrings.xml" Id="Re996851adbce4190" /><Relationship Type="http://schemas.openxmlformats.org/officeDocument/2006/relationships/worksheet" Target="/xl/worksheets/sheet1.xml" Id="R977ce41a300840a7" /><Relationship Type="http://schemas.openxmlformats.org/officeDocument/2006/relationships/worksheet" Target="/xl/worksheets/sheet2.xml" Id="R73c457d96514443f" /></Relationships>
</file>

<file path=xl/tables/table1.xml><?xml version="1.0" encoding="utf-8"?>
<x:table xmlns:x="http://schemas.openxmlformats.org/spreadsheetml/2006/main" id="2" name="FullPmuComparison" displayName="FullPmuComparison" ref="A5:O99" headerRowCount="1" totalsRowCount="0" totalsRowShown="0">
  <x:tableColumns count="15">
    <x:tableColumn id="1" name="MNK shape"/>
    <x:tableColumn id="2" name="dtype"/>
    <x:tableColumn id="3" name="M"/>
    <x:tableColumn id="4" name="N"/>
    <x:tableColumn id="5" name="K"/>
    <x:tableColumn id="6" name="tN"/>
    <x:tableColumn id="7" name="tK"/>
    <x:tableColumn id="8" name="原始 cycles"/>
    <x:tableColumn id="9" name="原始 PMU"/>
    <x:tableColumn id="10" name="原始状态"/>
    <x:tableColumn id="11" name="blockM=2 cycles"/>
    <x:tableColumn id="12" name="blockM=2 PMU"/>
    <x:tableColumn id="13" name="blockM=2 状态"/>
    <x:tableColumn id="14" name="PMU Δ (pp)"/>
    <x:tableColumn id="15" name="Cycle speedup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1" name="BestPmuComparison" displayName="BestPmuComparison" ref="A5:K17" headerRowCount="1" totalsRowCount="0" totalsRowShown="0">
  <x:tableColumns count="11">
    <x:tableColumn id="1" name="MNK shape"/>
    <x:tableColumn id="2" name="dtype"/>
    <x:tableColumn id="3" name="原始最优 tile"/>
    <x:tableColumn id="4" name="原始 cycles"/>
    <x:tableColumn id="5" name="原始 PMU"/>
    <x:tableColumn id="6" name="blockM=2 最优 tile"/>
    <x:tableColumn id="7" name="blockM=2 cycles"/>
    <x:tableColumn id="8" name="blockM=2 PMU"/>
    <x:tableColumn id="9" name="PMU Δ (pp)"/>
    <x:tableColumn id="10" name="Cycle speedup"/>
    <x:tableColumn id="11" name="结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bf152a835c44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a239e0baa341e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7" hidden="0" customWidth="1"/>
    <x:col min="13" max="13" width="19" hidden="0" customWidth="1"/>
    <x:col min="14" max="14" width="16" hidden="0" customWidth="1"/>
    <x:col min="15" max="15" width="16" hidden="0" customWidth="1"/>
  </x:cols>
  <x:sheetData>
    <x:row r="2">
      <x:c r="A2" s="2" t="str">
        <x:v>Matmul 全配置 PMU 对比</x:v>
      </x:c>
    </x:row>
    <x:row r="3">
      <x:c r="A3" s="3" t="str">
        <x:v>不同 MNK shape 使用不同底色；绿色 PMU 单元格表示该 shape 跨 dtype、tile 和实现策略的最高值。</x:v>
      </x:c>
    </x:row>
    <x:row r="5" ht="34" customHeight="1">
      <x:c r="A5" s="15" t="str">
        <x:v>MNK shape</x:v>
      </x:c>
      <x:c r="B5" s="16" t="str">
        <x:v>dtype</x:v>
      </x:c>
      <x:c r="C5" s="16" t="str">
        <x:v>M</x:v>
      </x:c>
      <x:c r="D5" s="16" t="str">
        <x:v>N</x:v>
      </x:c>
      <x:c r="E5" s="16" t="str">
        <x:v>K</x:v>
      </x:c>
      <x:c r="F5" s="16" t="str">
        <x:v>tN</x:v>
      </x:c>
      <x:c r="G5" s="16" t="str">
        <x:v>tK</x:v>
      </x:c>
      <x:c r="H5" s="16" t="str">
        <x:v>原始 cycles</x:v>
      </x:c>
      <x:c r="I5" s="16" t="str">
        <x:v>原始 PMU</x:v>
      </x:c>
      <x:c r="J5" s="16" t="str">
        <x:v>原始状态</x:v>
      </x:c>
      <x:c r="K5" s="16" t="str">
        <x:v>blockM=2 cycles</x:v>
      </x:c>
      <x:c r="L5" s="16" t="str">
        <x:v>blockM=2 PMU</x:v>
      </x:c>
      <x:c r="M5" s="16" t="str">
        <x:v>blockM=2 状态</x:v>
      </x:c>
      <x:c r="N5" s="16" t="str">
        <x:v>PMU Δ (pp)</x:v>
      </x:c>
      <x:c r="O5" s="17" t="str">
        <x:v>Cycle speedup</x:v>
      </x:c>
    </x:row>
    <x:row r="6" ht="20" customHeight="1">
      <x:c r="A6" s="65" t="str">
        <x:v>2048×256×2048</x:v>
      </x:c>
      <x:c r="B6" s="65" t="str">
        <x:v>FP32</x:v>
      </x:c>
      <x:c r="C6" s="69" t="n">
        <x:v>2048</x:v>
      </x:c>
      <x:c r="D6" s="69" t="n">
        <x:v>256</x:v>
      </x:c>
      <x:c r="E6" s="69" t="n">
        <x:v>2048</x:v>
      </x:c>
      <x:c r="F6" s="69" t="n">
        <x:v>64</x:v>
      </x:c>
      <x:c r="G6" s="69" t="n">
        <x:v>64</x:v>
      </x:c>
      <x:c r="H6" s="69" t="n">
        <x:v>957336</x:v>
      </x:c>
      <x:c r="I6" s="72" t="n">
        <x:v>0.5479999999999999</x:v>
      </x:c>
      <x:c r="J6" s="65" t="str">
        <x:v>PASS</x:v>
      </x:c>
      <x:c r="K6" s="69" t="n">
        <x:v>794392</x:v>
      </x:c>
      <x:c r="L6" s="72" t="n">
        <x:v>0.66</x:v>
      </x:c>
      <x:c r="M6" s="65" t="str">
        <x:v>PASS</x:v>
      </x:c>
      <x:c r="N6" s="76" t="n">
        <x:f>IF(AND(ISNUMBER(I6),ISNUMBER(L6)),(L6-I6)*100,"")</x:f>
        <x:v>11.20000000000001</x:v>
      </x:c>
      <x:c r="O6" s="79" t="n">
        <x:f>IF(AND(ISNUMBER(H6),ISNUMBER(K6)),H6/K6,"")</x:f>
        <x:v>1.2051178763129538</x:v>
      </x:c>
    </x:row>
    <x:row r="7" ht="20" customHeight="1">
      <x:c r="A7" s="65" t="str">
        <x:v>2048×256×2048</x:v>
      </x:c>
      <x:c r="B7" s="65" t="str">
        <x:v>FP32</x:v>
      </x:c>
      <x:c r="C7" s="69" t="n">
        <x:v>2048</x:v>
      </x:c>
      <x:c r="D7" s="69" t="n">
        <x:v>256</x:v>
      </x:c>
      <x:c r="E7" s="69" t="n">
        <x:v>2048</x:v>
      </x:c>
      <x:c r="F7" s="69" t="n">
        <x:v>64</x:v>
      </x:c>
      <x:c r="G7" s="69" t="n">
        <x:v>128</x:v>
      </x:c>
      <x:c r="H7" s="69" t="n">
        <x:v>909763</x:v>
      </x:c>
      <x:c r="I7" s="72" t="n">
        <x:v>0.5760000000000001</x:v>
      </x:c>
      <x:c r="J7" s="65" t="str">
        <x:v>PASS</x:v>
      </x:c>
      <x:c r="K7" s="69" t="n">
        <x:v>796262</x:v>
      </x:c>
      <x:c r="L7" s="72" t="n">
        <x:v>0.6579999999999999</x:v>
      </x:c>
      <x:c r="M7" s="65" t="str">
        <x:v>PASS</x:v>
      </x:c>
      <x:c r="N7" s="76" t="n">
        <x:f>IF(AND(ISNUMBER(I7),ISNUMBER(L7)),(L7-I7)*100,"")</x:f>
        <x:v>8.199999999999985</x:v>
      </x:c>
      <x:c r="O7" s="79" t="n">
        <x:f>IF(AND(ISNUMBER(H7),ISNUMBER(K7)),H7/K7,"")</x:f>
        <x:v>1.1425422787976822</x:v>
      </x:c>
    </x:row>
    <x:row r="8" ht="20" customHeight="1">
      <x:c r="A8" s="65" t="str">
        <x:v>2048×256×2048</x:v>
      </x:c>
      <x:c r="B8" s="65" t="str">
        <x:v>FP32</x:v>
      </x:c>
      <x:c r="C8" s="69" t="n">
        <x:v>2048</x:v>
      </x:c>
      <x:c r="D8" s="69" t="n">
        <x:v>256</x:v>
      </x:c>
      <x:c r="E8" s="69" t="n">
        <x:v>2048</x:v>
      </x:c>
      <x:c r="F8" s="69" t="n">
        <x:v>64</x:v>
      </x:c>
      <x:c r="G8" s="69" t="n">
        <x:v>256</x:v>
      </x:c>
      <x:c r="H8" s="69" t="n">
        <x:v>818396</x:v>
      </x:c>
      <x:c r="I8" s="72" t="n">
        <x:v>0.6409999999999999</x:v>
      </x:c>
      <x:c r="J8" s="65" t="str">
        <x:v>PASS</x:v>
      </x:c>
      <x:c r="K8" s="69"/>
      <x:c r="L8" s="72"/>
      <x:c r="M8" s="65" t="str">
        <x:v>COMPILE_FAIL</x:v>
      </x:c>
      <x:c r="N8" s="76" t="str">
        <x:f>IF(AND(ISNUMBER(I8),ISNUMBER(L8)),(L8-I8)*100,"")</x:f>
      </x:c>
      <x:c r="O8" s="79" t="str">
        <x:f>IF(AND(ISNUMBER(H8),ISNUMBER(K8)),H8/K8,"")</x:f>
      </x:c>
    </x:row>
    <x:row r="9" ht="20" customHeight="1">
      <x:c r="A9" s="65" t="str">
        <x:v>2048×256×2048</x:v>
      </x:c>
      <x:c r="B9" s="65" t="str">
        <x:v>FP32</x:v>
      </x:c>
      <x:c r="C9" s="69" t="n">
        <x:v>2048</x:v>
      </x:c>
      <x:c r="D9" s="69" t="n">
        <x:v>256</x:v>
      </x:c>
      <x:c r="E9" s="69" t="n">
        <x:v>2048</x:v>
      </x:c>
      <x:c r="F9" s="69" t="n">
        <x:v>128</x:v>
      </x:c>
      <x:c r="G9" s="69" t="n">
        <x:v>64</x:v>
      </x:c>
      <x:c r="H9" s="69" t="n">
        <x:v>711211</x:v>
      </x:c>
      <x:c r="I9" s="72" t="n">
        <x:v>0.737</x:v>
      </x:c>
      <x:c r="J9" s="65" t="str">
        <x:v>PASS</x:v>
      </x:c>
      <x:c r="K9" s="69" t="n">
        <x:v>532918</x:v>
      </x:c>
      <x:c r="L9" s="72" t="n">
        <x:v>0.9840000000000001</x:v>
      </x:c>
      <x:c r="M9" s="65" t="str">
        <x:v>PASS</x:v>
      </x:c>
      <x:c r="N9" s="76" t="n">
        <x:f>IF(AND(ISNUMBER(I9),ISNUMBER(L9)),(L9-I9)*100,"")</x:f>
        <x:v>24.70000000000001</x:v>
      </x:c>
      <x:c r="O9" s="79" t="n">
        <x:f>IF(AND(ISNUMBER(H9),ISNUMBER(K9)),H9/K9,"")</x:f>
        <x:v>1.3345599135326636</x:v>
      </x:c>
    </x:row>
    <x:row r="10" ht="20" customHeight="1">
      <x:c r="A10" s="65" t="str">
        <x:v>2048×256×2048</x:v>
      </x:c>
      <x:c r="B10" s="65" t="str">
        <x:v>FP32</x:v>
      </x:c>
      <x:c r="C10" s="69" t="n">
        <x:v>2048</x:v>
      </x:c>
      <x:c r="D10" s="69" t="n">
        <x:v>256</x:v>
      </x:c>
      <x:c r="E10" s="69" t="n">
        <x:v>2048</x:v>
      </x:c>
      <x:c r="F10" s="69" t="n">
        <x:v>128</x:v>
      </x:c>
      <x:c r="G10" s="69" t="n">
        <x:v>128</x:v>
      </x:c>
      <x:c r="H10" s="69" t="n">
        <x:v>680164</x:v>
      </x:c>
      <x:c r="I10" s="72" t="n">
        <x:v>0.7709999999999999</x:v>
      </x:c>
      <x:c r="J10" s="65" t="str">
        <x:v>PASS</x:v>
      </x:c>
      <x:c r="K10" s="69" t="n">
        <x:v>540506</x:v>
      </x:c>
      <x:c r="L10" s="72" t="n">
        <x:v>0.97</x:v>
      </x:c>
      <x:c r="M10" s="65" t="str">
        <x:v>PASS</x:v>
      </x:c>
      <x:c r="N10" s="76" t="n">
        <x:f>IF(AND(ISNUMBER(I10),ISNUMBER(L10)),(L10-I10)*100,"")</x:f>
        <x:v>19.900000000000006</x:v>
      </x:c>
      <x:c r="O10" s="79" t="n">
        <x:f>IF(AND(ISNUMBER(H10),ISNUMBER(K10)),H10/K10,"")</x:f>
        <x:v>1.2583838107255054</x:v>
      </x:c>
    </x:row>
    <x:row r="11" ht="20" customHeight="1">
      <x:c r="A11" s="65" t="str">
        <x:v>2048×256×2048</x:v>
      </x:c>
      <x:c r="B11" s="65" t="str">
        <x:v>FP32</x:v>
      </x:c>
      <x:c r="C11" s="69" t="n">
        <x:v>2048</x:v>
      </x:c>
      <x:c r="D11" s="69" t="n">
        <x:v>256</x:v>
      </x:c>
      <x:c r="E11" s="69" t="n">
        <x:v>2048</x:v>
      </x:c>
      <x:c r="F11" s="69" t="n">
        <x:v>128</x:v>
      </x:c>
      <x:c r="G11" s="69" t="n">
        <x:v>256</x:v>
      </x:c>
      <x:c r="H11" s="69" t="n">
        <x:v>736641</x:v>
      </x:c>
      <x:c r="I11" s="72" t="n">
        <x:v>0.7120000000000001</x:v>
      </x:c>
      <x:c r="J11" s="65" t="str">
        <x:v>PASS</x:v>
      </x:c>
      <x:c r="K11" s="69"/>
      <x:c r="L11" s="72"/>
      <x:c r="M11" s="65" t="str">
        <x:v>COMPILE_FAIL</x:v>
      </x:c>
      <x:c r="N11" s="76" t="str">
        <x:f>IF(AND(ISNUMBER(I11),ISNUMBER(L11)),(L11-I11)*100,"")</x:f>
      </x:c>
      <x:c r="O11" s="79" t="str">
        <x:f>IF(AND(ISNUMBER(H11),ISNUMBER(K11)),H11/K11,"")</x:f>
      </x:c>
    </x:row>
    <x:row r="12" ht="20" customHeight="1">
      <x:c r="A12" s="65" t="str">
        <x:v>2048×256×2048</x:v>
      </x:c>
      <x:c r="B12" s="65" t="str">
        <x:v>FP32</x:v>
      </x:c>
      <x:c r="C12" s="69" t="n">
        <x:v>2048</x:v>
      </x:c>
      <x:c r="D12" s="69" t="n">
        <x:v>256</x:v>
      </x:c>
      <x:c r="E12" s="69" t="n">
        <x:v>2048</x:v>
      </x:c>
      <x:c r="F12" s="69" t="n">
        <x:v>256</x:v>
      </x:c>
      <x:c r="G12" s="69" t="n">
        <x:v>64</x:v>
      </x:c>
      <x:c r="H12" s="69" t="n">
        <x:v>606399</x:v>
      </x:c>
      <x:c r="I12" s="72" t="n">
        <x:v>0.865</x:v>
      </x:c>
      <x:c r="J12" s="65" t="str">
        <x:v>PASS</x:v>
      </x:c>
      <x:c r="K12" s="69" t="n">
        <x:v>526590</x:v>
      </x:c>
      <x:c r="L12" s="75" t="n">
        <x:v>0.996</x:v>
      </x:c>
      <x:c r="M12" s="65" t="str">
        <x:v>PASS</x:v>
      </x:c>
      <x:c r="N12" s="76" t="n">
        <x:f>IF(AND(ISNUMBER(I12),ISNUMBER(L12)),(L12-I12)*100,"")</x:f>
        <x:v>13.100000000000001</x:v>
      </x:c>
      <x:c r="O12" s="79" t="n">
        <x:f>IF(AND(ISNUMBER(H12),ISNUMBER(K12)),H12/K12,"")</x:f>
        <x:v>1.1515581382099926</x:v>
      </x:c>
    </x:row>
    <x:row r="13" ht="20" customHeight="1">
      <x:c r="A13" s="65" t="str">
        <x:v>2048×256×2048</x:v>
      </x:c>
      <x:c r="B13" s="65" t="str">
        <x:v>FP32</x:v>
      </x:c>
      <x:c r="C13" s="69" t="n">
        <x:v>2048</x:v>
      </x:c>
      <x:c r="D13" s="69" t="n">
        <x:v>256</x:v>
      </x:c>
      <x:c r="E13" s="69" t="n">
        <x:v>2048</x:v>
      </x:c>
      <x:c r="F13" s="69" t="n">
        <x:v>256</x:v>
      </x:c>
      <x:c r="G13" s="69" t="n">
        <x:v>128</x:v>
      </x:c>
      <x:c r="H13" s="69" t="n">
        <x:v>641334</x:v>
      </x:c>
      <x:c r="I13" s="72" t="n">
        <x:v>0.8170000000000001</x:v>
      </x:c>
      <x:c r="J13" s="65" t="str">
        <x:v>PASS</x:v>
      </x:c>
      <x:c r="K13" s="69" t="n">
        <x:v>637757</x:v>
      </x:c>
      <x:c r="L13" s="72" t="n">
        <x:v>0.8220000000000001</x:v>
      </x:c>
      <x:c r="M13" s="65" t="str">
        <x:v>PASS</x:v>
      </x:c>
      <x:c r="N13" s="76" t="n">
        <x:f>IF(AND(ISNUMBER(I13),ISNUMBER(L13)),(L13-I13)*100,"")</x:f>
        <x:v>0.5000000000000004</x:v>
      </x:c>
      <x:c r="O13" s="79" t="n">
        <x:f>IF(AND(ISNUMBER(H13),ISNUMBER(K13)),H13/K13,"")</x:f>
        <x:v>1.0056087193084513</x:v>
      </x:c>
    </x:row>
    <x:row r="14" ht="20" customHeight="1">
      <x:c r="A14" s="65" t="str">
        <x:v>2048×256×2048</x:v>
      </x:c>
      <x:c r="B14" s="65" t="str">
        <x:v>BF16</x:v>
      </x:c>
      <x:c r="C14" s="69" t="n">
        <x:v>2048</x:v>
      </x:c>
      <x:c r="D14" s="69" t="n">
        <x:v>256</x:v>
      </x:c>
      <x:c r="E14" s="69" t="n">
        <x:v>2048</x:v>
      </x:c>
      <x:c r="F14" s="69" t="n">
        <x:v>64</x:v>
      </x:c>
      <x:c r="G14" s="69" t="n">
        <x:v>64</x:v>
      </x:c>
      <x:c r="H14" s="69"/>
      <x:c r="I14" s="72"/>
      <x:c r="J14" s="65" t="str">
        <x:v>DEADLOCK</x:v>
      </x:c>
      <x:c r="K14" s="69" t="n">
        <x:v>399506</x:v>
      </x:c>
      <x:c r="L14" s="72" t="n">
        <x:v>0.6559999999999999</x:v>
      </x:c>
      <x:c r="M14" s="65" t="str">
        <x:v>PASS</x:v>
      </x:c>
      <x:c r="N14" s="76" t="str">
        <x:f>IF(AND(ISNUMBER(I14),ISNUMBER(L14)),(L14-I14)*100,"")</x:f>
      </x:c>
      <x:c r="O14" s="79" t="str">
        <x:f>IF(AND(ISNUMBER(H14),ISNUMBER(K14)),H14/K14,"")</x:f>
      </x:c>
    </x:row>
    <x:row r="15" ht="20" customHeight="1">
      <x:c r="A15" s="65" t="str">
        <x:v>2048×256×2048</x:v>
      </x:c>
      <x:c r="B15" s="65" t="str">
        <x:v>BF16</x:v>
      </x:c>
      <x:c r="C15" s="69" t="n">
        <x:v>2048</x:v>
      </x:c>
      <x:c r="D15" s="69" t="n">
        <x:v>256</x:v>
      </x:c>
      <x:c r="E15" s="69" t="n">
        <x:v>2048</x:v>
      </x:c>
      <x:c r="F15" s="69" t="n">
        <x:v>64</x:v>
      </x:c>
      <x:c r="G15" s="69" t="n">
        <x:v>128</x:v>
      </x:c>
      <x:c r="H15" s="69" t="n">
        <x:v>472623</x:v>
      </x:c>
      <x:c r="I15" s="72" t="n">
        <x:v>0.555</x:v>
      </x:c>
      <x:c r="J15" s="65" t="str">
        <x:v>PASS</x:v>
      </x:c>
      <x:c r="K15" s="69" t="n">
        <x:v>401434</x:v>
      </x:c>
      <x:c r="L15" s="72" t="n">
        <x:v>0.653</x:v>
      </x:c>
      <x:c r="M15" s="65" t="str">
        <x:v>PASS</x:v>
      </x:c>
      <x:c r="N15" s="76" t="n">
        <x:f>IF(AND(ISNUMBER(I15),ISNUMBER(L15)),(L15-I15)*100,"")</x:f>
        <x:v>9.799999999999997</x:v>
      </x:c>
      <x:c r="O15" s="79" t="n">
        <x:f>IF(AND(ISNUMBER(H15),ISNUMBER(K15)),H15/K15,"")</x:f>
        <x:v>1.1773367477592829</x:v>
      </x:c>
    </x:row>
    <x:row r="16" ht="20" customHeight="1">
      <x:c r="A16" s="65" t="str">
        <x:v>2048×256×2048</x:v>
      </x:c>
      <x:c r="B16" s="65" t="str">
        <x:v>BF16</x:v>
      </x:c>
      <x:c r="C16" s="69" t="n">
        <x:v>2048</x:v>
      </x:c>
      <x:c r="D16" s="69" t="n">
        <x:v>256</x:v>
      </x:c>
      <x:c r="E16" s="69" t="n">
        <x:v>2048</x:v>
      </x:c>
      <x:c r="F16" s="69" t="n">
        <x:v>64</x:v>
      </x:c>
      <x:c r="G16" s="69" t="n">
        <x:v>256</x:v>
      </x:c>
      <x:c r="H16" s="69" t="n">
        <x:v>421157</x:v>
      </x:c>
      <x:c r="I16" s="72" t="n">
        <x:v>0.622</x:v>
      </x:c>
      <x:c r="J16" s="65" t="str">
        <x:v>PASS</x:v>
      </x:c>
      <x:c r="K16" s="69" t="n">
        <x:v>396057</x:v>
      </x:c>
      <x:c r="L16" s="72" t="n">
        <x:v>0.662</x:v>
      </x:c>
      <x:c r="M16" s="65" t="str">
        <x:v>PASS</x:v>
      </x:c>
      <x:c r="N16" s="76" t="n">
        <x:f>IF(AND(ISNUMBER(I16),ISNUMBER(L16)),(L16-I16)*100,"")</x:f>
        <x:v>4.0000000000000036</x:v>
      </x:c>
      <x:c r="O16" s="79" t="n">
        <x:f>IF(AND(ISNUMBER(H16),ISNUMBER(K16)),H16/K16,"")</x:f>
        <x:v>1.063374716265588</x:v>
      </x:c>
    </x:row>
    <x:row r="17" ht="20" customHeight="1">
      <x:c r="A17" s="65" t="str">
        <x:v>2048×256×2048</x:v>
      </x:c>
      <x:c r="B17" s="65" t="str">
        <x:v>BF16</x:v>
      </x:c>
      <x:c r="C17" s="69" t="n">
        <x:v>2048</x:v>
      </x:c>
      <x:c r="D17" s="69" t="n">
        <x:v>256</x:v>
      </x:c>
      <x:c r="E17" s="69" t="n">
        <x:v>2048</x:v>
      </x:c>
      <x:c r="F17" s="69" t="n">
        <x:v>128</x:v>
      </x:c>
      <x:c r="G17" s="69" t="n">
        <x:v>64</x:v>
      </x:c>
      <x:c r="H17" s="69"/>
      <x:c r="I17" s="72"/>
      <x:c r="J17" s="65" t="str">
        <x:v>DEADLOCK</x:v>
      </x:c>
      <x:c r="K17" s="69" t="n">
        <x:v>395304</x:v>
      </x:c>
      <x:c r="L17" s="72" t="n">
        <x:v>0.6629999999999999</x:v>
      </x:c>
      <x:c r="M17" s="65" t="str">
        <x:v>PASS</x:v>
      </x:c>
      <x:c r="N17" s="76" t="str">
        <x:f>IF(AND(ISNUMBER(I17),ISNUMBER(L17)),(L17-I17)*100,"")</x:f>
      </x:c>
      <x:c r="O17" s="79" t="str">
        <x:f>IF(AND(ISNUMBER(H17),ISNUMBER(K17)),H17/K17,"")</x:f>
      </x:c>
    </x:row>
    <x:row r="18" ht="20" customHeight="1">
      <x:c r="A18" s="65" t="str">
        <x:v>2048×256×2048</x:v>
      </x:c>
      <x:c r="B18" s="65" t="str">
        <x:v>BF16</x:v>
      </x:c>
      <x:c r="C18" s="69" t="n">
        <x:v>2048</x:v>
      </x:c>
      <x:c r="D18" s="69" t="n">
        <x:v>256</x:v>
      </x:c>
      <x:c r="E18" s="69" t="n">
        <x:v>2048</x:v>
      </x:c>
      <x:c r="F18" s="69" t="n">
        <x:v>128</x:v>
      </x:c>
      <x:c r="G18" s="69" t="n">
        <x:v>128</x:v>
      </x:c>
      <x:c r="H18" s="69" t="n">
        <x:v>351289</x:v>
      </x:c>
      <x:c r="I18" s="72" t="n">
        <x:v>0.746</x:v>
      </x:c>
      <x:c r="J18" s="65" t="str">
        <x:v>PASS</x:v>
      </x:c>
      <x:c r="K18" s="69" t="n">
        <x:v>273746</x:v>
      </x:c>
      <x:c r="L18" s="72" t="n">
        <x:v>0.958</x:v>
      </x:c>
      <x:c r="M18" s="65" t="str">
        <x:v>PASS</x:v>
      </x:c>
      <x:c r="N18" s="76" t="n">
        <x:f>IF(AND(ISNUMBER(I18),ISNUMBER(L18)),(L18-I18)*100,"")</x:f>
        <x:v>21.199999999999996</x:v>
      </x:c>
      <x:c r="O18" s="79" t="n">
        <x:f>IF(AND(ISNUMBER(H18),ISNUMBER(K18)),H18/K18,"")</x:f>
        <x:v>1.283266239506696</x:v>
      </x:c>
    </x:row>
    <x:row r="19" ht="20" customHeight="1">
      <x:c r="A19" s="65" t="str">
        <x:v>2048×256×2048</x:v>
      </x:c>
      <x:c r="B19" s="65" t="str">
        <x:v>BF16</x:v>
      </x:c>
      <x:c r="C19" s="69" t="n">
        <x:v>2048</x:v>
      </x:c>
      <x:c r="D19" s="69" t="n">
        <x:v>256</x:v>
      </x:c>
      <x:c r="E19" s="69" t="n">
        <x:v>2048</x:v>
      </x:c>
      <x:c r="F19" s="69" t="n">
        <x:v>128</x:v>
      </x:c>
      <x:c r="G19" s="69" t="n">
        <x:v>256</x:v>
      </x:c>
      <x:c r="H19" s="69" t="n">
        <x:v>285039</x:v>
      </x:c>
      <x:c r="I19" s="72" t="n">
        <x:v>0.92</x:v>
      </x:c>
      <x:c r="J19" s="65" t="str">
        <x:v>PASS</x:v>
      </x:c>
      <x:c r="K19" s="69" t="n">
        <x:v>266210</x:v>
      </x:c>
      <x:c r="L19" s="72" t="n">
        <x:v>0.985</x:v>
      </x:c>
      <x:c r="M19" s="65" t="str">
        <x:v>PASS</x:v>
      </x:c>
      <x:c r="N19" s="76" t="n">
        <x:f>IF(AND(ISNUMBER(I19),ISNUMBER(L19)),(L19-I19)*100,"")</x:f>
        <x:v>6.499999999999995</x:v>
      </x:c>
      <x:c r="O19" s="79" t="n">
        <x:f>IF(AND(ISNUMBER(H19),ISNUMBER(K19)),H19/K19,"")</x:f>
        <x:v>1.0707298749107848</x:v>
      </x:c>
    </x:row>
    <x:row r="20" ht="20" customHeight="1">
      <x:c r="A20" s="65" t="str">
        <x:v>2048×256×2048</x:v>
      </x:c>
      <x:c r="B20" s="65" t="str">
        <x:v>BF16</x:v>
      </x:c>
      <x:c r="C20" s="69" t="n">
        <x:v>2048</x:v>
      </x:c>
      <x:c r="D20" s="69" t="n">
        <x:v>256</x:v>
      </x:c>
      <x:c r="E20" s="69" t="n">
        <x:v>2048</x:v>
      </x:c>
      <x:c r="F20" s="69" t="n">
        <x:v>256</x:v>
      </x:c>
      <x:c r="G20" s="69" t="n">
        <x:v>64</x:v>
      </x:c>
      <x:c r="H20" s="69" t="n">
        <x:v>442015</x:v>
      </x:c>
      <x:c r="I20" s="72" t="n">
        <x:v>0.593</x:v>
      </x:c>
      <x:c r="J20" s="65" t="str">
        <x:v>PASS</x:v>
      </x:c>
      <x:c r="K20" s="69" t="n">
        <x:v>392130</x:v>
      </x:c>
      <x:c r="L20" s="72" t="n">
        <x:v>0.669</x:v>
      </x:c>
      <x:c r="M20" s="65" t="str">
        <x:v>PASS</x:v>
      </x:c>
      <x:c r="N20" s="76" t="n">
        <x:f>IF(AND(ISNUMBER(I20),ISNUMBER(L20)),(L20-I20)*100,"")</x:f>
        <x:v>7.600000000000007</x:v>
      </x:c>
      <x:c r="O20" s="79" t="n">
        <x:f>IF(AND(ISNUMBER(H20),ISNUMBER(K20)),H20/K20,"")</x:f>
        <x:v>1.1272154642593017</x:v>
      </x:c>
    </x:row>
    <x:row r="21" ht="20" customHeight="1">
      <x:c r="A21" s="65" t="str">
        <x:v>2048×256×2048</x:v>
      </x:c>
      <x:c r="B21" s="65" t="str">
        <x:v>BF16</x:v>
      </x:c>
      <x:c r="C21" s="69" t="n">
        <x:v>2048</x:v>
      </x:c>
      <x:c r="D21" s="69" t="n">
        <x:v>256</x:v>
      </x:c>
      <x:c r="E21" s="69" t="n">
        <x:v>2048</x:v>
      </x:c>
      <x:c r="F21" s="69" t="n">
        <x:v>256</x:v>
      </x:c>
      <x:c r="G21" s="69" t="n">
        <x:v>128</x:v>
      </x:c>
      <x:c r="H21" s="69" t="n">
        <x:v>273135</x:v>
      </x:c>
      <x:c r="I21" s="72" t="n">
        <x:v>0.96</x:v>
      </x:c>
      <x:c r="J21" s="65" t="str">
        <x:v>PASS</x:v>
      </x:c>
      <x:c r="K21" s="69" t="n">
        <x:v>264446</x:v>
      </x:c>
      <x:c r="L21" s="72" t="n">
        <x:v>0.991</x:v>
      </x:c>
      <x:c r="M21" s="65" t="str">
        <x:v>PASS</x:v>
      </x:c>
      <x:c r="N21" s="76" t="n">
        <x:f>IF(AND(ISNUMBER(I21),ISNUMBER(L21)),(L21-I21)*100,"")</x:f>
        <x:v>3.1000000000000028</x:v>
      </x:c>
      <x:c r="O21" s="79" t="n">
        <x:f>IF(AND(ISNUMBER(H21),ISNUMBER(K21)),H21/K21,"")</x:f>
        <x:v>1.0328573697465646</x:v>
      </x:c>
    </x:row>
    <x:row r="22" ht="20" customHeight="1">
      <x:c r="A22" s="65" t="str">
        <x:v>2048×256×2048</x:v>
      </x:c>
      <x:c r="B22" s="65" t="str">
        <x:v>BF16</x:v>
      </x:c>
      <x:c r="C22" s="69" t="n">
        <x:v>2048</x:v>
      </x:c>
      <x:c r="D22" s="69" t="n">
        <x:v>256</x:v>
      </x:c>
      <x:c r="E22" s="69" t="n">
        <x:v>2048</x:v>
      </x:c>
      <x:c r="F22" s="69" t="n">
        <x:v>256</x:v>
      </x:c>
      <x:c r="G22" s="69" t="n">
        <x:v>256</x:v>
      </x:c>
      <x:c r="H22" s="69" t="n">
        <x:v>319417</x:v>
      </x:c>
      <x:c r="I22" s="72" t="n">
        <x:v>0.821</x:v>
      </x:c>
      <x:c r="J22" s="65" t="str">
        <x:v>PASS</x:v>
      </x:c>
      <x:c r="K22" s="69" t="n">
        <x:v>320124</x:v>
      </x:c>
      <x:c r="L22" s="72" t="n">
        <x:v>0.8190000000000001</x:v>
      </x:c>
      <x:c r="M22" s="65" t="str">
        <x:v>PASS</x:v>
      </x:c>
      <x:c r="N22" s="76" t="n">
        <x:f>IF(AND(ISNUMBER(I22),ISNUMBER(L22)),(L22-I22)*100,"")</x:f>
        <x:v>-0.19999999999998908</x:v>
      </x:c>
      <x:c r="O22" s="79" t="n">
        <x:f>IF(AND(ISNUMBER(H22),ISNUMBER(K22)),H22/K22,"")</x:f>
        <x:v>0.9977914808011895</x:v>
      </x:c>
    </x:row>
    <x:row r="23" ht="20" customHeight="1">
      <x:c r="A23" s="65" t="str">
        <x:v>2048×256×2048</x:v>
      </x:c>
      <x:c r="B23" s="65" t="str">
        <x:v>FP8</x:v>
      </x:c>
      <x:c r="C23" s="69" t="n">
        <x:v>2048</x:v>
      </x:c>
      <x:c r="D23" s="69" t="n">
        <x:v>256</x:v>
      </x:c>
      <x:c r="E23" s="69" t="n">
        <x:v>2048</x:v>
      </x:c>
      <x:c r="F23" s="69" t="n">
        <x:v>64</x:v>
      </x:c>
      <x:c r="G23" s="69" t="n">
        <x:v>64</x:v>
      </x:c>
      <x:c r="H23" s="69"/>
      <x:c r="I23" s="72"/>
      <x:c r="J23" s="65" t="str">
        <x:v>DEADLOCK</x:v>
      </x:c>
      <x:c r="K23" s="69" t="n">
        <x:v>407348</x:v>
      </x:c>
      <x:c r="L23" s="72" t="n">
        <x:v>0.322</x:v>
      </x:c>
      <x:c r="M23" s="65" t="str">
        <x:v>PASS</x:v>
      </x:c>
      <x:c r="N23" s="76" t="str">
        <x:f>IF(AND(ISNUMBER(I23),ISNUMBER(L23)),(L23-I23)*100,"")</x:f>
      </x:c>
      <x:c r="O23" s="79" t="str">
        <x:f>IF(AND(ISNUMBER(H23),ISNUMBER(K23)),H23/K23,"")</x:f>
      </x:c>
    </x:row>
    <x:row r="24" ht="20" customHeight="1">
      <x:c r="A24" s="65" t="str">
        <x:v>2048×256×2048</x:v>
      </x:c>
      <x:c r="B24" s="65" t="str">
        <x:v>FP8</x:v>
      </x:c>
      <x:c r="C24" s="69" t="n">
        <x:v>2048</x:v>
      </x:c>
      <x:c r="D24" s="69" t="n">
        <x:v>256</x:v>
      </x:c>
      <x:c r="E24" s="69" t="n">
        <x:v>2048</x:v>
      </x:c>
      <x:c r="F24" s="69" t="n">
        <x:v>64</x:v>
      </x:c>
      <x:c r="G24" s="69" t="n">
        <x:v>128</x:v>
      </x:c>
      <x:c r="H24" s="69" t="n">
        <x:v>288342</x:v>
      </x:c>
      <x:c r="I24" s="72" t="n">
        <x:v>0.455</x:v>
      </x:c>
      <x:c r="J24" s="65" t="str">
        <x:v>PASS</x:v>
      </x:c>
      <x:c r="K24" s="69" t="n">
        <x:v>220926</x:v>
      </x:c>
      <x:c r="L24" s="72" t="n">
        <x:v>0.593</x:v>
      </x:c>
      <x:c r="M24" s="65" t="str">
        <x:v>PASS</x:v>
      </x:c>
      <x:c r="N24" s="76" t="n">
        <x:f>IF(AND(ISNUMBER(I24),ISNUMBER(L24)),(L24-I24)*100,"")</x:f>
        <x:v>13.799999999999995</x:v>
      </x:c>
      <x:c r="O24" s="79" t="n">
        <x:f>IF(AND(ISNUMBER(H24),ISNUMBER(K24)),H24/K24,"")</x:f>
        <x:v>1.3051519513321204</x:v>
      </x:c>
    </x:row>
    <x:row r="25" ht="20" customHeight="1">
      <x:c r="A25" s="65" t="str">
        <x:v>2048×256×2048</x:v>
      </x:c>
      <x:c r="B25" s="65" t="str">
        <x:v>FP8</x:v>
      </x:c>
      <x:c r="C25" s="69" t="n">
        <x:v>2048</x:v>
      </x:c>
      <x:c r="D25" s="69" t="n">
        <x:v>256</x:v>
      </x:c>
      <x:c r="E25" s="69" t="n">
        <x:v>2048</x:v>
      </x:c>
      <x:c r="F25" s="69" t="n">
        <x:v>64</x:v>
      </x:c>
      <x:c r="G25" s="69" t="n">
        <x:v>256</x:v>
      </x:c>
      <x:c r="H25" s="69" t="n">
        <x:v>284904</x:v>
      </x:c>
      <x:c r="I25" s="72" t="n">
        <x:v>0.46</x:v>
      </x:c>
      <x:c r="J25" s="65" t="str">
        <x:v>PASS</x:v>
      </x:c>
      <x:c r="K25" s="69" t="n">
        <x:v>218952</x:v>
      </x:c>
      <x:c r="L25" s="72" t="n">
        <x:v>0.599</x:v>
      </x:c>
      <x:c r="M25" s="65" t="str">
        <x:v>PASS</x:v>
      </x:c>
      <x:c r="N25" s="76" t="n">
        <x:f>IF(AND(ISNUMBER(I25),ISNUMBER(L25)),(L25-I25)*100,"")</x:f>
        <x:v>13.899999999999995</x:v>
      </x:c>
      <x:c r="O25" s="79" t="n">
        <x:f>IF(AND(ISNUMBER(H25),ISNUMBER(K25)),H25/K25,"")</x:f>
        <x:v>1.3012167050312398</x:v>
      </x:c>
    </x:row>
    <x:row r="26" ht="20" customHeight="1">
      <x:c r="A26" s="65" t="str">
        <x:v>2048×256×2048</x:v>
      </x:c>
      <x:c r="B26" s="65" t="str">
        <x:v>FP8</x:v>
      </x:c>
      <x:c r="C26" s="69" t="n">
        <x:v>2048</x:v>
      </x:c>
      <x:c r="D26" s="69" t="n">
        <x:v>256</x:v>
      </x:c>
      <x:c r="E26" s="69" t="n">
        <x:v>2048</x:v>
      </x:c>
      <x:c r="F26" s="69" t="n">
        <x:v>128</x:v>
      </x:c>
      <x:c r="G26" s="69" t="n">
        <x:v>64</x:v>
      </x:c>
      <x:c r="H26" s="69"/>
      <x:c r="I26" s="72"/>
      <x:c r="J26" s="65" t="str">
        <x:v>DEADLOCK</x:v>
      </x:c>
      <x:c r="K26" s="69" t="n">
        <x:v>407403</x:v>
      </x:c>
      <x:c r="L26" s="72" t="n">
        <x:v>0.322</x:v>
      </x:c>
      <x:c r="M26" s="65" t="str">
        <x:v>PASS</x:v>
      </x:c>
      <x:c r="N26" s="76" t="str">
        <x:f>IF(AND(ISNUMBER(I26),ISNUMBER(L26)),(L26-I26)*100,"")</x:f>
      </x:c>
      <x:c r="O26" s="79" t="str">
        <x:f>IF(AND(ISNUMBER(H26),ISNUMBER(K26)),H26/K26,"")</x:f>
      </x:c>
    </x:row>
    <x:row r="27" ht="20" customHeight="1">
      <x:c r="A27" s="65" t="str">
        <x:v>2048×256×2048</x:v>
      </x:c>
      <x:c r="B27" s="65" t="str">
        <x:v>FP8</x:v>
      </x:c>
      <x:c r="C27" s="69" t="n">
        <x:v>2048</x:v>
      </x:c>
      <x:c r="D27" s="69" t="n">
        <x:v>256</x:v>
      </x:c>
      <x:c r="E27" s="69" t="n">
        <x:v>2048</x:v>
      </x:c>
      <x:c r="F27" s="69" t="n">
        <x:v>128</x:v>
      </x:c>
      <x:c r="G27" s="69" t="n">
        <x:v>128</x:v>
      </x:c>
      <x:c r="H27" s="69" t="n">
        <x:v>235247</x:v>
      </x:c>
      <x:c r="I27" s="72" t="n">
        <x:v>0.557</x:v>
      </x:c>
      <x:c r="J27" s="65" t="str">
        <x:v>PASS</x:v>
      </x:c>
      <x:c r="K27" s="69" t="n">
        <x:v>200726</x:v>
      </x:c>
      <x:c r="L27" s="72" t="n">
        <x:v>0.653</x:v>
      </x:c>
      <x:c r="M27" s="65" t="str">
        <x:v>PASS</x:v>
      </x:c>
      <x:c r="N27" s="76" t="n">
        <x:f>IF(AND(ISNUMBER(I27),ISNUMBER(L27)),(L27-I27)*100,"")</x:f>
        <x:v>9.599999999999998</x:v>
      </x:c>
      <x:c r="O27" s="79" t="n">
        <x:f>IF(AND(ISNUMBER(H27),ISNUMBER(K27)),H27/K27,"")</x:f>
        <x:v>1.1719807100226178</x:v>
      </x:c>
    </x:row>
    <x:row r="28" ht="20" customHeight="1">
      <x:c r="A28" s="65" t="str">
        <x:v>2048×256×2048</x:v>
      </x:c>
      <x:c r="B28" s="65" t="str">
        <x:v>FP8</x:v>
      </x:c>
      <x:c r="C28" s="69" t="n">
        <x:v>2048</x:v>
      </x:c>
      <x:c r="D28" s="69" t="n">
        <x:v>256</x:v>
      </x:c>
      <x:c r="E28" s="69" t="n">
        <x:v>2048</x:v>
      </x:c>
      <x:c r="F28" s="69" t="n">
        <x:v>128</x:v>
      </x:c>
      <x:c r="G28" s="69" t="n">
        <x:v>256</x:v>
      </x:c>
      <x:c r="H28" s="69" t="n">
        <x:v>150188</x:v>
      </x:c>
      <x:c r="I28" s="72" t="n">
        <x:v>0.873</x:v>
      </x:c>
      <x:c r="J28" s="65" t="str">
        <x:v>PASS</x:v>
      </x:c>
      <x:c r="K28" s="69" t="n">
        <x:v>135937</x:v>
      </x:c>
      <x:c r="L28" s="72" t="n">
        <x:v>0.9640000000000001</x:v>
      </x:c>
      <x:c r="M28" s="65" t="str">
        <x:v>PASS</x:v>
      </x:c>
      <x:c r="N28" s="76" t="n">
        <x:f>IF(AND(ISNUMBER(I28),ISNUMBER(L28)),(L28-I28)*100,"")</x:f>
        <x:v>9.100000000000009</x:v>
      </x:c>
      <x:c r="O28" s="79" t="n">
        <x:f>IF(AND(ISNUMBER(H28),ISNUMBER(K28)),H28/K28,"")</x:f>
        <x:v>1.1048353281299426</x:v>
      </x:c>
    </x:row>
    <x:row r="29" ht="20" customHeight="1">
      <x:c r="A29" s="65" t="str">
        <x:v>2048×256×2048</x:v>
      </x:c>
      <x:c r="B29" s="65" t="str">
        <x:v>FP8</x:v>
      </x:c>
      <x:c r="C29" s="69" t="n">
        <x:v>2048</x:v>
      </x:c>
      <x:c r="D29" s="69" t="n">
        <x:v>256</x:v>
      </x:c>
      <x:c r="E29" s="69" t="n">
        <x:v>2048</x:v>
      </x:c>
      <x:c r="F29" s="69" t="n">
        <x:v>256</x:v>
      </x:c>
      <x:c r="G29" s="69" t="n">
        <x:v>64</x:v>
      </x:c>
      <x:c r="H29" s="69" t="n">
        <x:v>453535</x:v>
      </x:c>
      <x:c r="I29" s="72" t="n">
        <x:v>0.289</x:v>
      </x:c>
      <x:c r="J29" s="65" t="str">
        <x:v>PASS</x:v>
      </x:c>
      <x:c r="K29" s="69" t="n">
        <x:v>409962</x:v>
      </x:c>
      <x:c r="L29" s="72" t="n">
        <x:v>0.32</x:v>
      </x:c>
      <x:c r="M29" s="65" t="str">
        <x:v>PASS</x:v>
      </x:c>
      <x:c r="N29" s="76" t="n">
        <x:f>IF(AND(ISNUMBER(I29),ISNUMBER(L29)),(L29-I29)*100,"")</x:f>
        <x:v>3.1000000000000028</x:v>
      </x:c>
      <x:c r="O29" s="79" t="n">
        <x:f>IF(AND(ISNUMBER(H29),ISNUMBER(K29)),H29/K29,"")</x:f>
        <x:v>1.1062854606036656</x:v>
      </x:c>
    </x:row>
    <x:row r="30" ht="20" customHeight="1">
      <x:c r="A30" s="65" t="str">
        <x:v>2048×256×2048</x:v>
      </x:c>
      <x:c r="B30" s="65" t="str">
        <x:v>FP8</x:v>
      </x:c>
      <x:c r="C30" s="69" t="n">
        <x:v>2048</x:v>
      </x:c>
      <x:c r="D30" s="69" t="n">
        <x:v>256</x:v>
      </x:c>
      <x:c r="E30" s="69" t="n">
        <x:v>2048</x:v>
      </x:c>
      <x:c r="F30" s="69" t="n">
        <x:v>256</x:v>
      </x:c>
      <x:c r="G30" s="69" t="n">
        <x:v>128</x:v>
      </x:c>
      <x:c r="H30" s="69" t="n">
        <x:v>199343</x:v>
      </x:c>
      <x:c r="I30" s="72" t="n">
        <x:v>0.6579999999999999</x:v>
      </x:c>
      <x:c r="J30" s="65" t="str">
        <x:v>PASS</x:v>
      </x:c>
      <x:c r="K30" s="69" t="n">
        <x:v>194139</x:v>
      </x:c>
      <x:c r="L30" s="72" t="n">
        <x:v>0.675</x:v>
      </x:c>
      <x:c r="M30" s="65" t="str">
        <x:v>PASS</x:v>
      </x:c>
      <x:c r="N30" s="76" t="n">
        <x:f>IF(AND(ISNUMBER(I30),ISNUMBER(L30)),(L30-I30)*100,"")</x:f>
        <x:v>1.7000000000000126</x:v>
      </x:c>
      <x:c r="O30" s="79" t="n">
        <x:f>IF(AND(ISNUMBER(H30),ISNUMBER(K30)),H30/K30,"")</x:f>
        <x:v>1.0268055362394986</x:v>
      </x:c>
    </x:row>
    <x:row r="31" ht="20" customHeight="1">
      <x:c r="A31" s="65" t="str">
        <x:v>2048×256×2048</x:v>
      </x:c>
      <x:c r="B31" s="65" t="str">
        <x:v>FP8</x:v>
      </x:c>
      <x:c r="C31" s="69" t="n">
        <x:v>2048</x:v>
      </x:c>
      <x:c r="D31" s="69" t="n">
        <x:v>256</x:v>
      </x:c>
      <x:c r="E31" s="69" t="n">
        <x:v>2048</x:v>
      </x:c>
      <x:c r="F31" s="69" t="n">
        <x:v>256</x:v>
      </x:c>
      <x:c r="G31" s="69" t="n">
        <x:v>256</x:v>
      </x:c>
      <x:c r="H31" s="69" t="n">
        <x:v>134790</x:v>
      </x:c>
      <x:c r="I31" s="72" t="n">
        <x:v>0.972</x:v>
      </x:c>
      <x:c r="J31" s="65" t="str">
        <x:v>PASS</x:v>
      </x:c>
      <x:c r="K31" s="69" t="n">
        <x:v>133382</x:v>
      </x:c>
      <x:c r="L31" s="72" t="n">
        <x:v>0.983</x:v>
      </x:c>
      <x:c r="M31" s="65" t="str">
        <x:v>PASS</x:v>
      </x:c>
      <x:c r="N31" s="76" t="n">
        <x:f>IF(AND(ISNUMBER(I31),ISNUMBER(L31)),(L31-I31)*100,"")</x:f>
        <x:v>1.100000000000001</x:v>
      </x:c>
      <x:c r="O31" s="79" t="n">
        <x:f>IF(AND(ISNUMBER(H31),ISNUMBER(K31)),H31/K31,"")</x:f>
        <x:v>1.0105561470063427</x:v>
      </x:c>
    </x:row>
    <x:row r="32" ht="20" customHeight="1">
      <x:c r="A32" s="65" t="str">
        <x:v>2048×256×2048</x:v>
      </x:c>
      <x:c r="B32" s="65" t="str">
        <x:v>MXFP4</x:v>
      </x:c>
      <x:c r="C32" s="69" t="n">
        <x:v>2048</x:v>
      </x:c>
      <x:c r="D32" s="69" t="n">
        <x:v>256</x:v>
      </x:c>
      <x:c r="E32" s="69" t="n">
        <x:v>2048</x:v>
      </x:c>
      <x:c r="F32" s="69" t="n">
        <x:v>64</x:v>
      </x:c>
      <x:c r="G32" s="69" t="n">
        <x:v>64</x:v>
      </x:c>
      <x:c r="H32" s="69"/>
      <x:c r="I32" s="72"/>
      <x:c r="J32" s="65" t="str">
        <x:v>DEADLOCK</x:v>
      </x:c>
      <x:c r="K32" s="69"/>
      <x:c r="L32" s="72"/>
      <x:c r="M32" s="65" t="str">
        <x:v>DEADLOCK</x:v>
      </x:c>
      <x:c r="N32" s="76" t="str">
        <x:f>IF(AND(ISNUMBER(I32),ISNUMBER(L32)),(L32-I32)*100,"")</x:f>
      </x:c>
      <x:c r="O32" s="79" t="str">
        <x:f>IF(AND(ISNUMBER(H32),ISNUMBER(K32)),H32/K32,"")</x:f>
      </x:c>
    </x:row>
    <x:row r="33" ht="20" customHeight="1">
      <x:c r="A33" s="65" t="str">
        <x:v>2048×256×2048</x:v>
      </x:c>
      <x:c r="B33" s="65" t="str">
        <x:v>MXFP4</x:v>
      </x:c>
      <x:c r="C33" s="69" t="n">
        <x:v>2048</x:v>
      </x:c>
      <x:c r="D33" s="69" t="n">
        <x:v>256</x:v>
      </x:c>
      <x:c r="E33" s="69" t="n">
        <x:v>2048</x:v>
      </x:c>
      <x:c r="F33" s="69" t="n">
        <x:v>64</x:v>
      </x:c>
      <x:c r="G33" s="69" t="n">
        <x:v>128</x:v>
      </x:c>
      <x:c r="H33" s="69"/>
      <x:c r="I33" s="72"/>
      <x:c r="J33" s="65" t="str">
        <x:v>DEADLOCK</x:v>
      </x:c>
      <x:c r="K33" s="69" t="n">
        <x:v>317829</x:v>
      </x:c>
      <x:c r="L33" s="72" t="n">
        <x:v>0.20600000000000002</x:v>
      </x:c>
      <x:c r="M33" s="65" t="str">
        <x:v>PASS</x:v>
      </x:c>
      <x:c r="N33" s="76" t="str">
        <x:f>IF(AND(ISNUMBER(I33),ISNUMBER(L33)),(L33-I33)*100,"")</x:f>
      </x:c>
      <x:c r="O33" s="79" t="str">
        <x:f>IF(AND(ISNUMBER(H33),ISNUMBER(K33)),H33/K33,"")</x:f>
      </x:c>
    </x:row>
    <x:row r="34" ht="20" customHeight="1">
      <x:c r="A34" s="65" t="str">
        <x:v>2048×256×2048</x:v>
      </x:c>
      <x:c r="B34" s="65" t="str">
        <x:v>MXFP4</x:v>
      </x:c>
      <x:c r="C34" s="69" t="n">
        <x:v>2048</x:v>
      </x:c>
      <x:c r="D34" s="69" t="n">
        <x:v>256</x:v>
      </x:c>
      <x:c r="E34" s="69" t="n">
        <x:v>2048</x:v>
      </x:c>
      <x:c r="F34" s="69" t="n">
        <x:v>64</x:v>
      </x:c>
      <x:c r="G34" s="69" t="n">
        <x:v>256</x:v>
      </x:c>
      <x:c r="H34" s="69"/>
      <x:c r="I34" s="72"/>
      <x:c r="J34" s="65" t="str">
        <x:v>DEADLOCK</x:v>
      </x:c>
      <x:c r="K34" s="69" t="n">
        <x:v>252043</x:v>
      </x:c>
      <x:c r="L34" s="72" t="n">
        <x:v>0.26</x:v>
      </x:c>
      <x:c r="M34" s="65" t="str">
        <x:v>PASS</x:v>
      </x:c>
      <x:c r="N34" s="76" t="str">
        <x:f>IF(AND(ISNUMBER(I34),ISNUMBER(L34)),(L34-I34)*100,"")</x:f>
      </x:c>
      <x:c r="O34" s="79" t="str">
        <x:f>IF(AND(ISNUMBER(H34),ISNUMBER(K34)),H34/K34,"")</x:f>
      </x:c>
    </x:row>
    <x:row r="35" ht="20" customHeight="1">
      <x:c r="A35" s="65" t="str">
        <x:v>2048×256×2048</x:v>
      </x:c>
      <x:c r="B35" s="65" t="str">
        <x:v>MXFP4</x:v>
      </x:c>
      <x:c r="C35" s="69" t="n">
        <x:v>2048</x:v>
      </x:c>
      <x:c r="D35" s="69" t="n">
        <x:v>256</x:v>
      </x:c>
      <x:c r="E35" s="69" t="n">
        <x:v>2048</x:v>
      </x:c>
      <x:c r="F35" s="69" t="n">
        <x:v>128</x:v>
      </x:c>
      <x:c r="G35" s="69" t="n">
        <x:v>64</x:v>
      </x:c>
      <x:c r="H35" s="69"/>
      <x:c r="I35" s="72"/>
      <x:c r="J35" s="65" t="str">
        <x:v>DEADLOCK</x:v>
      </x:c>
      <x:c r="K35" s="69" t="n">
        <x:v>402951</x:v>
      </x:c>
      <x:c r="L35" s="72" t="n">
        <x:v>0.163</x:v>
      </x:c>
      <x:c r="M35" s="65" t="str">
        <x:v>PASS</x:v>
      </x:c>
      <x:c r="N35" s="76" t="str">
        <x:f>IF(AND(ISNUMBER(I35),ISNUMBER(L35)),(L35-I35)*100,"")</x:f>
      </x:c>
      <x:c r="O35" s="79" t="str">
        <x:f>IF(AND(ISNUMBER(H35),ISNUMBER(K35)),H35/K35,"")</x:f>
      </x:c>
    </x:row>
    <x:row r="36" ht="20" customHeight="1">
      <x:c r="A36" s="65" t="str">
        <x:v>2048×256×2048</x:v>
      </x:c>
      <x:c r="B36" s="65" t="str">
        <x:v>MXFP4</x:v>
      </x:c>
      <x:c r="C36" s="69" t="n">
        <x:v>2048</x:v>
      </x:c>
      <x:c r="D36" s="69" t="n">
        <x:v>256</x:v>
      </x:c>
      <x:c r="E36" s="69" t="n">
        <x:v>2048</x:v>
      </x:c>
      <x:c r="F36" s="69" t="n">
        <x:v>128</x:v>
      </x:c>
      <x:c r="G36" s="69" t="n">
        <x:v>128</x:v>
      </x:c>
      <x:c r="H36" s="69"/>
      <x:c r="I36" s="72"/>
      <x:c r="J36" s="65" t="str">
        <x:v>DEADLOCK</x:v>
      </x:c>
      <x:c r="K36" s="69" t="n">
        <x:v>201155</x:v>
      </x:c>
      <x:c r="L36" s="72" t="n">
        <x:v>0.326</x:v>
      </x:c>
      <x:c r="M36" s="65" t="str">
        <x:v>PASS</x:v>
      </x:c>
      <x:c r="N36" s="76" t="str">
        <x:f>IF(AND(ISNUMBER(I36),ISNUMBER(L36)),(L36-I36)*100,"")</x:f>
      </x:c>
      <x:c r="O36" s="79" t="str">
        <x:f>IF(AND(ISNUMBER(H36),ISNUMBER(K36)),H36/K36,"")</x:f>
      </x:c>
    </x:row>
    <x:row r="37" ht="20" customHeight="1">
      <x:c r="A37" s="65" t="str">
        <x:v>2048×256×2048</x:v>
      </x:c>
      <x:c r="B37" s="65" t="str">
        <x:v>MXFP4</x:v>
      </x:c>
      <x:c r="C37" s="69" t="n">
        <x:v>2048</x:v>
      </x:c>
      <x:c r="D37" s="69" t="n">
        <x:v>256</x:v>
      </x:c>
      <x:c r="E37" s="69" t="n">
        <x:v>2048</x:v>
      </x:c>
      <x:c r="F37" s="69" t="n">
        <x:v>128</x:v>
      </x:c>
      <x:c r="G37" s="69" t="n">
        <x:v>256</x:v>
      </x:c>
      <x:c r="H37" s="69"/>
      <x:c r="I37" s="72"/>
      <x:c r="J37" s="65" t="str">
        <x:v>DEADLOCK</x:v>
      </x:c>
      <x:c r="K37" s="69"/>
      <x:c r="L37" s="72"/>
      <x:c r="M37" s="65" t="str">
        <x:v>DEADLOCK</x:v>
      </x:c>
      <x:c r="N37" s="76" t="str">
        <x:f>IF(AND(ISNUMBER(I37),ISNUMBER(L37)),(L37-I37)*100,"")</x:f>
      </x:c>
      <x:c r="O37" s="79" t="str">
        <x:f>IF(AND(ISNUMBER(H37),ISNUMBER(K37)),H37/K37,"")</x:f>
      </x:c>
    </x:row>
    <x:row r="38" ht="20" customHeight="1">
      <x:c r="A38" s="65" t="str">
        <x:v>2048×256×2048</x:v>
      </x:c>
      <x:c r="B38" s="65" t="str">
        <x:v>MXFP4</x:v>
      </x:c>
      <x:c r="C38" s="69" t="n">
        <x:v>2048</x:v>
      </x:c>
      <x:c r="D38" s="69" t="n">
        <x:v>256</x:v>
      </x:c>
      <x:c r="E38" s="69" t="n">
        <x:v>2048</x:v>
      </x:c>
      <x:c r="F38" s="69" t="n">
        <x:v>256</x:v>
      </x:c>
      <x:c r="G38" s="69" t="n">
        <x:v>64</x:v>
      </x:c>
      <x:c r="H38" s="69"/>
      <x:c r="I38" s="72"/>
      <x:c r="J38" s="65" t="str">
        <x:v>DEADLOCK</x:v>
      </x:c>
      <x:c r="K38" s="69"/>
      <x:c r="L38" s="72"/>
      <x:c r="M38" s="65" t="str">
        <x:v>DEADLOCK</x:v>
      </x:c>
      <x:c r="N38" s="76" t="str">
        <x:f>IF(AND(ISNUMBER(I38),ISNUMBER(L38)),(L38-I38)*100,"")</x:f>
      </x:c>
      <x:c r="O38" s="79" t="str">
        <x:f>IF(AND(ISNUMBER(H38),ISNUMBER(K38)),H38/K38,"")</x:f>
      </x:c>
    </x:row>
    <x:row r="39" ht="20" customHeight="1">
      <x:c r="A39" s="65" t="str">
        <x:v>2048×256×2048</x:v>
      </x:c>
      <x:c r="B39" s="65" t="str">
        <x:v>MXFP4</x:v>
      </x:c>
      <x:c r="C39" s="69" t="n">
        <x:v>2048</x:v>
      </x:c>
      <x:c r="D39" s="69" t="n">
        <x:v>256</x:v>
      </x:c>
      <x:c r="E39" s="69" t="n">
        <x:v>2048</x:v>
      </x:c>
      <x:c r="F39" s="69" t="n">
        <x:v>256</x:v>
      </x:c>
      <x:c r="G39" s="69" t="n">
        <x:v>128</x:v>
      </x:c>
      <x:c r="H39" s="69"/>
      <x:c r="I39" s="72"/>
      <x:c r="J39" s="65" t="str">
        <x:v>DEADLOCK</x:v>
      </x:c>
      <x:c r="K39" s="69" t="n">
        <x:v>322056</x:v>
      </x:c>
      <x:c r="L39" s="72" t="n">
        <x:v>0.203</x:v>
      </x:c>
      <x:c r="M39" s="65" t="str">
        <x:v>PASS</x:v>
      </x:c>
      <x:c r="N39" s="76" t="str">
        <x:f>IF(AND(ISNUMBER(I39),ISNUMBER(L39)),(L39-I39)*100,"")</x:f>
      </x:c>
      <x:c r="O39" s="79" t="str">
        <x:f>IF(AND(ISNUMBER(H39),ISNUMBER(K39)),H39/K39,"")</x:f>
      </x:c>
    </x:row>
    <x:row r="40" ht="20" customHeight="1">
      <x:c r="A40" s="65" t="str">
        <x:v>2048×256×2048</x:v>
      </x:c>
      <x:c r="B40" s="65" t="str">
        <x:v>MXFP4</x:v>
      </x:c>
      <x:c r="C40" s="69" t="n">
        <x:v>2048</x:v>
      </x:c>
      <x:c r="D40" s="69" t="n">
        <x:v>256</x:v>
      </x:c>
      <x:c r="E40" s="69" t="n">
        <x:v>2048</x:v>
      </x:c>
      <x:c r="F40" s="69" t="n">
        <x:v>256</x:v>
      </x:c>
      <x:c r="G40" s="69" t="n">
        <x:v>256</x:v>
      </x:c>
      <x:c r="H40" s="69"/>
      <x:c r="I40" s="72"/>
      <x:c r="J40" s="65" t="str">
        <x:v>DEADLOCK</x:v>
      </x:c>
      <x:c r="K40" s="69" t="n">
        <x:v>356674</x:v>
      </x:c>
      <x:c r="L40" s="72" t="n">
        <x:v>0.184</x:v>
      </x:c>
      <x:c r="M40" s="65" t="str">
        <x:v>PASS</x:v>
      </x:c>
      <x:c r="N40" s="76" t="str">
        <x:f>IF(AND(ISNUMBER(I40),ISNUMBER(L40)),(L40-I40)*100,"")</x:f>
      </x:c>
      <x:c r="O40" s="79" t="str">
        <x:f>IF(AND(ISNUMBER(H40),ISNUMBER(K40)),H40/K40,"")</x:f>
      </x:c>
    </x:row>
    <x:row r="41" ht="20" customHeight="1">
      <x:c r="A41" s="67" t="str">
        <x:v>2048×128×1024</x:v>
      </x:c>
      <x:c r="B41" s="67" t="str">
        <x:v>FP32</x:v>
      </x:c>
      <x:c r="C41" s="70" t="n">
        <x:v>2048</x:v>
      </x:c>
      <x:c r="D41" s="70" t="n">
        <x:v>128</x:v>
      </x:c>
      <x:c r="E41" s="70" t="n">
        <x:v>1024</x:v>
      </x:c>
      <x:c r="F41" s="70" t="n">
        <x:v>64</x:v>
      </x:c>
      <x:c r="G41" s="70" t="n">
        <x:v>64</x:v>
      </x:c>
      <x:c r="H41" s="70" t="n">
        <x:v>249312</x:v>
      </x:c>
      <x:c r="I41" s="73" t="n">
        <x:v>0.526</x:v>
      </x:c>
      <x:c r="J41" s="67" t="str">
        <x:v>PASS</x:v>
      </x:c>
      <x:c r="K41" s="70" t="n">
        <x:v>203101</x:v>
      </x:c>
      <x:c r="L41" s="73" t="n">
        <x:v>0.645</x:v>
      </x:c>
      <x:c r="M41" s="67" t="str">
        <x:v>PASS</x:v>
      </x:c>
      <x:c r="N41" s="77" t="n">
        <x:f>IF(AND(ISNUMBER(I41),ISNUMBER(L41)),(L41-I41)*100,"")</x:f>
        <x:v>11.899999999999999</x:v>
      </x:c>
      <x:c r="O41" s="80" t="n">
        <x:f>IF(AND(ISNUMBER(H41),ISNUMBER(K41)),H41/K41,"")</x:f>
        <x:v>1.2275271909050176</x:v>
      </x:c>
    </x:row>
    <x:row r="42" ht="20" customHeight="1">
      <x:c r="A42" s="67" t="str">
        <x:v>2048×128×1024</x:v>
      </x:c>
      <x:c r="B42" s="67" t="str">
        <x:v>FP32</x:v>
      </x:c>
      <x:c r="C42" s="70" t="n">
        <x:v>2048</x:v>
      </x:c>
      <x:c r="D42" s="70" t="n">
        <x:v>128</x:v>
      </x:c>
      <x:c r="E42" s="70" t="n">
        <x:v>1024</x:v>
      </x:c>
      <x:c r="F42" s="70" t="n">
        <x:v>64</x:v>
      </x:c>
      <x:c r="G42" s="70" t="n">
        <x:v>128</x:v>
      </x:c>
      <x:c r="H42" s="70" t="n">
        <x:v>211384</x:v>
      </x:c>
      <x:c r="I42" s="73" t="n">
        <x:v>0.62</x:v>
      </x:c>
      <x:c r="J42" s="67" t="str">
        <x:v>PASS</x:v>
      </x:c>
      <x:c r="K42" s="70"/>
      <x:c r="L42" s="73"/>
      <x:c r="M42" s="67" t="str">
        <x:v>DEADLOCK</x:v>
      </x:c>
      <x:c r="N42" s="77" t="str">
        <x:f>IF(AND(ISNUMBER(I42),ISNUMBER(L42)),(L42-I42)*100,"")</x:f>
      </x:c>
      <x:c r="O42" s="80" t="str">
        <x:f>IF(AND(ISNUMBER(H42),ISNUMBER(K42)),H42/K42,"")</x:f>
      </x:c>
    </x:row>
    <x:row r="43" ht="20" customHeight="1">
      <x:c r="A43" s="67" t="str">
        <x:v>2048×128×1024</x:v>
      </x:c>
      <x:c r="B43" s="67" t="str">
        <x:v>FP32</x:v>
      </x:c>
      <x:c r="C43" s="70" t="n">
        <x:v>2048</x:v>
      </x:c>
      <x:c r="D43" s="70" t="n">
        <x:v>128</x:v>
      </x:c>
      <x:c r="E43" s="70" t="n">
        <x:v>1024</x:v>
      </x:c>
      <x:c r="F43" s="70" t="n">
        <x:v>64</x:v>
      </x:c>
      <x:c r="G43" s="70" t="n">
        <x:v>256</x:v>
      </x:c>
      <x:c r="H43" s="70" t="n">
        <x:v>210890</x:v>
      </x:c>
      <x:c r="I43" s="73" t="n">
        <x:v>0.622</x:v>
      </x:c>
      <x:c r="J43" s="67" t="str">
        <x:v>PASS</x:v>
      </x:c>
      <x:c r="K43" s="70"/>
      <x:c r="L43" s="73"/>
      <x:c r="M43" s="67" t="str">
        <x:v>COMPILE_FAIL</x:v>
      </x:c>
      <x:c r="N43" s="77" t="str">
        <x:f>IF(AND(ISNUMBER(I43),ISNUMBER(L43)),(L43-I43)*100,"")</x:f>
      </x:c>
      <x:c r="O43" s="80" t="str">
        <x:f>IF(AND(ISNUMBER(H43),ISNUMBER(K43)),H43/K43,"")</x:f>
      </x:c>
    </x:row>
    <x:row r="44" ht="20" customHeight="1">
      <x:c r="A44" s="67" t="str">
        <x:v>2048×128×1024</x:v>
      </x:c>
      <x:c r="B44" s="67" t="str">
        <x:v>FP32</x:v>
      </x:c>
      <x:c r="C44" s="70" t="n">
        <x:v>2048</x:v>
      </x:c>
      <x:c r="D44" s="70" t="n">
        <x:v>128</x:v>
      </x:c>
      <x:c r="E44" s="70" t="n">
        <x:v>1024</x:v>
      </x:c>
      <x:c r="F44" s="70" t="n">
        <x:v>128</x:v>
      </x:c>
      <x:c r="G44" s="70" t="n">
        <x:v>64</x:v>
      </x:c>
      <x:c r="H44" s="70" t="n">
        <x:v>145304</x:v>
      </x:c>
      <x:c r="I44" s="73" t="n">
        <x:v>0.902</x:v>
      </x:c>
      <x:c r="J44" s="67" t="str">
        <x:v>PASS</x:v>
      </x:c>
      <x:c r="K44" s="70" t="n">
        <x:v>132734</x:v>
      </x:c>
      <x:c r="L44" s="75" t="n">
        <x:v>0.987</x:v>
      </x:c>
      <x:c r="M44" s="67" t="str">
        <x:v>PASS</x:v>
      </x:c>
      <x:c r="N44" s="77" t="n">
        <x:f>IF(AND(ISNUMBER(I44),ISNUMBER(L44)),(L44-I44)*100,"")</x:f>
        <x:v>8.499999999999996</x:v>
      </x:c>
      <x:c r="O44" s="80" t="n">
        <x:f>IF(AND(ISNUMBER(H44),ISNUMBER(K44)),H44/K44,"")</x:f>
        <x:v>1.094700679554598</x:v>
      </x:c>
    </x:row>
    <x:row r="45" ht="20" customHeight="1">
      <x:c r="A45" s="67" t="str">
        <x:v>2048×128×1024</x:v>
      </x:c>
      <x:c r="B45" s="67" t="str">
        <x:v>FP32</x:v>
      </x:c>
      <x:c r="C45" s="70" t="n">
        <x:v>2048</x:v>
      </x:c>
      <x:c r="D45" s="70" t="n">
        <x:v>128</x:v>
      </x:c>
      <x:c r="E45" s="70" t="n">
        <x:v>1024</x:v>
      </x:c>
      <x:c r="F45" s="70" t="n">
        <x:v>128</x:v>
      </x:c>
      <x:c r="G45" s="70" t="n">
        <x:v>128</x:v>
      </x:c>
      <x:c r="H45" s="70" t="n">
        <x:v>144407</x:v>
      </x:c>
      <x:c r="I45" s="73" t="n">
        <x:v>0.9079999999999999</x:v>
      </x:c>
      <x:c r="J45" s="67" t="str">
        <x:v>PASS</x:v>
      </x:c>
      <x:c r="K45" s="70" t="n">
        <x:v>133694</x:v>
      </x:c>
      <x:c r="L45" s="73" t="n">
        <x:v>0.98</x:v>
      </x:c>
      <x:c r="M45" s="67" t="str">
        <x:v>PASS</x:v>
      </x:c>
      <x:c r="N45" s="77" t="n">
        <x:f>IF(AND(ISNUMBER(I45),ISNUMBER(L45)),(L45-I45)*100,"")</x:f>
        <x:v>7.200000000000006</x:v>
      </x:c>
      <x:c r="O45" s="80" t="n">
        <x:f>IF(AND(ISNUMBER(H45),ISNUMBER(K45)),H45/K45,"")</x:f>
        <x:v>1.0801307463311742</x:v>
      </x:c>
    </x:row>
    <x:row r="46" ht="20" customHeight="1">
      <x:c r="A46" s="67" t="str">
        <x:v>2048×128×1024</x:v>
      </x:c>
      <x:c r="B46" s="67" t="str">
        <x:v>FP32</x:v>
      </x:c>
      <x:c r="C46" s="70" t="n">
        <x:v>2048</x:v>
      </x:c>
      <x:c r="D46" s="70" t="n">
        <x:v>128</x:v>
      </x:c>
      <x:c r="E46" s="70" t="n">
        <x:v>1024</x:v>
      </x:c>
      <x:c r="F46" s="70" t="n">
        <x:v>128</x:v>
      </x:c>
      <x:c r="G46" s="70" t="n">
        <x:v>256</x:v>
      </x:c>
      <x:c r="H46" s="70" t="n">
        <x:v>185065</x:v>
      </x:c>
      <x:c r="I46" s="73" t="n">
        <x:v>0.708</x:v>
      </x:c>
      <x:c r="J46" s="67" t="str">
        <x:v>PASS</x:v>
      </x:c>
      <x:c r="K46" s="70"/>
      <x:c r="L46" s="73"/>
      <x:c r="M46" s="67" t="str">
        <x:v>COMPILE_FAIL</x:v>
      </x:c>
      <x:c r="N46" s="77" t="str">
        <x:f>IF(AND(ISNUMBER(I46),ISNUMBER(L46)),(L46-I46)*100,"")</x:f>
      </x:c>
      <x:c r="O46" s="80" t="str">
        <x:f>IF(AND(ISNUMBER(H46),ISNUMBER(K46)),H46/K46,"")</x:f>
      </x:c>
    </x:row>
    <x:row r="47" ht="20" customHeight="1">
      <x:c r="A47" s="67" t="str">
        <x:v>2048×128×1024</x:v>
      </x:c>
      <x:c r="B47" s="67" t="str">
        <x:v>BF16</x:v>
      </x:c>
      <x:c r="C47" s="70" t="n">
        <x:v>2048</x:v>
      </x:c>
      <x:c r="D47" s="70" t="n">
        <x:v>128</x:v>
      </x:c>
      <x:c r="E47" s="70" t="n">
        <x:v>1024</x:v>
      </x:c>
      <x:c r="F47" s="70" t="n">
        <x:v>64</x:v>
      </x:c>
      <x:c r="G47" s="70" t="n">
        <x:v>64</x:v>
      </x:c>
      <x:c r="H47" s="70" t="n">
        <x:v>135949</x:v>
      </x:c>
      <x:c r="I47" s="73" t="n">
        <x:v>0.48200000000000004</x:v>
      </x:c>
      <x:c r="J47" s="67" t="str">
        <x:v>PASS</x:v>
      </x:c>
      <x:c r="K47" s="70" t="n">
        <x:v>103780</x:v>
      </x:c>
      <x:c r="L47" s="73" t="n">
        <x:v>0.631</x:v>
      </x:c>
      <x:c r="M47" s="67" t="str">
        <x:v>PASS</x:v>
      </x:c>
      <x:c r="N47" s="77" t="n">
        <x:f>IF(AND(ISNUMBER(I47),ISNUMBER(L47)),(L47-I47)*100,"")</x:f>
        <x:v>14.899999999999997</x:v>
      </x:c>
      <x:c r="O47" s="80" t="n">
        <x:f>IF(AND(ISNUMBER(H47),ISNUMBER(K47)),H47/K47,"")</x:f>
        <x:v>1.309973019849682</x:v>
      </x:c>
    </x:row>
    <x:row r="48" ht="20" customHeight="1">
      <x:c r="A48" s="67" t="str">
        <x:v>2048×128×1024</x:v>
      </x:c>
      <x:c r="B48" s="67" t="str">
        <x:v>BF16</x:v>
      </x:c>
      <x:c r="C48" s="70" t="n">
        <x:v>2048</x:v>
      </x:c>
      <x:c r="D48" s="70" t="n">
        <x:v>128</x:v>
      </x:c>
      <x:c r="E48" s="70" t="n">
        <x:v>1024</x:v>
      </x:c>
      <x:c r="F48" s="70" t="n">
        <x:v>64</x:v>
      </x:c>
      <x:c r="G48" s="70" t="n">
        <x:v>128</x:v>
      </x:c>
      <x:c r="H48" s="70" t="n">
        <x:v>111792</x:v>
      </x:c>
      <x:c r="I48" s="73" t="n">
        <x:v>0.586</x:v>
      </x:c>
      <x:c r="J48" s="67" t="str">
        <x:v>PASS</x:v>
      </x:c>
      <x:c r="K48" s="70" t="n">
        <x:v>99883</x:v>
      </x:c>
      <x:c r="L48" s="73" t="n">
        <x:v>0.6559999999999999</x:v>
      </x:c>
      <x:c r="M48" s="67" t="str">
        <x:v>PASS</x:v>
      </x:c>
      <x:c r="N48" s="77" t="n">
        <x:f>IF(AND(ISNUMBER(I48),ISNUMBER(L48)),(L48-I48)*100,"")</x:f>
        <x:v>6.999999999999995</x:v>
      </x:c>
      <x:c r="O48" s="80" t="n">
        <x:f>IF(AND(ISNUMBER(H48),ISNUMBER(K48)),H48/K48,"")</x:f>
        <x:v>1.1192294985132605</x:v>
      </x:c>
    </x:row>
    <x:row r="49" ht="20" customHeight="1">
      <x:c r="A49" s="67" t="str">
        <x:v>2048×128×1024</x:v>
      </x:c>
      <x:c r="B49" s="67" t="str">
        <x:v>BF16</x:v>
      </x:c>
      <x:c r="C49" s="70" t="n">
        <x:v>2048</x:v>
      </x:c>
      <x:c r="D49" s="70" t="n">
        <x:v>128</x:v>
      </x:c>
      <x:c r="E49" s="70" t="n">
        <x:v>1024</x:v>
      </x:c>
      <x:c r="F49" s="70" t="n">
        <x:v>64</x:v>
      </x:c>
      <x:c r="G49" s="70" t="n">
        <x:v>256</x:v>
      </x:c>
      <x:c r="H49" s="70" t="n">
        <x:v>110219</x:v>
      </x:c>
      <x:c r="I49" s="73" t="n">
        <x:v>0.595</x:v>
      </x:c>
      <x:c r="J49" s="67" t="str">
        <x:v>PASS</x:v>
      </x:c>
      <x:c r="K49" s="70" t="n">
        <x:v>100290</x:v>
      </x:c>
      <x:c r="L49" s="73" t="n">
        <x:v>0.653</x:v>
      </x:c>
      <x:c r="M49" s="67" t="str">
        <x:v>PASS</x:v>
      </x:c>
      <x:c r="N49" s="77" t="n">
        <x:f>IF(AND(ISNUMBER(I49),ISNUMBER(L49)),(L49-I49)*100,"")</x:f>
        <x:v>5.800000000000005</x:v>
      </x:c>
      <x:c r="O49" s="80" t="n">
        <x:f>IF(AND(ISNUMBER(H49),ISNUMBER(K49)),H49/K49,"")</x:f>
        <x:v>1.0990028916143184</x:v>
      </x:c>
    </x:row>
    <x:row r="50" ht="20" customHeight="1">
      <x:c r="A50" s="67" t="str">
        <x:v>2048×128×1024</x:v>
      </x:c>
      <x:c r="B50" s="67" t="str">
        <x:v>BF16</x:v>
      </x:c>
      <x:c r="C50" s="70" t="n">
        <x:v>2048</x:v>
      </x:c>
      <x:c r="D50" s="70" t="n">
        <x:v>128</x:v>
      </x:c>
      <x:c r="E50" s="70" t="n">
        <x:v>1024</x:v>
      </x:c>
      <x:c r="F50" s="70" t="n">
        <x:v>128</x:v>
      </x:c>
      <x:c r="G50" s="70" t="n">
        <x:v>64</x:v>
      </x:c>
      <x:c r="H50" s="70" t="n">
        <x:v>102559</x:v>
      </x:c>
      <x:c r="I50" s="73" t="n">
        <x:v>0.639</x:v>
      </x:c>
      <x:c r="J50" s="67" t="str">
        <x:v>PASS</x:v>
      </x:c>
      <x:c r="K50" s="70" t="n">
        <x:v>97391</x:v>
      </x:c>
      <x:c r="L50" s="73" t="n">
        <x:v>0.6729999999999999</x:v>
      </x:c>
      <x:c r="M50" s="67" t="str">
        <x:v>PASS</x:v>
      </x:c>
      <x:c r="N50" s="77" t="n">
        <x:f>IF(AND(ISNUMBER(I50),ISNUMBER(L50)),(L50-I50)*100,"")</x:f>
        <x:v>3.399999999999992</x:v>
      </x:c>
      <x:c r="O50" s="80" t="n">
        <x:f>IF(AND(ISNUMBER(H50),ISNUMBER(K50)),H50/K50,"")</x:f>
        <x:v>1.0530644515406968</x:v>
      </x:c>
    </x:row>
    <x:row r="51" ht="20" customHeight="1">
      <x:c r="A51" s="67" t="str">
        <x:v>2048×128×1024</x:v>
      </x:c>
      <x:c r="B51" s="67" t="str">
        <x:v>BF16</x:v>
      </x:c>
      <x:c r="C51" s="70" t="n">
        <x:v>2048</x:v>
      </x:c>
      <x:c r="D51" s="70" t="n">
        <x:v>128</x:v>
      </x:c>
      <x:c r="E51" s="70" t="n">
        <x:v>1024</x:v>
      </x:c>
      <x:c r="F51" s="70" t="n">
        <x:v>128</x:v>
      </x:c>
      <x:c r="G51" s="70" t="n">
        <x:v>128</x:v>
      </x:c>
      <x:c r="H51" s="70" t="n">
        <x:v>75881</x:v>
      </x:c>
      <x:c r="I51" s="73" t="n">
        <x:v>0.8640000000000001</x:v>
      </x:c>
      <x:c r="J51" s="67" t="str">
        <x:v>PASS</x:v>
      </x:c>
      <x:c r="K51" s="70" t="n">
        <x:v>67198</x:v>
      </x:c>
      <x:c r="L51" s="73" t="n">
        <x:v>0.975</x:v>
      </x:c>
      <x:c r="M51" s="67" t="str">
        <x:v>PASS</x:v>
      </x:c>
      <x:c r="N51" s="77" t="n">
        <x:f>IF(AND(ISNUMBER(I51),ISNUMBER(L51)),(L51-I51)*100,"")</x:f>
        <x:v>11.099999999999987</x:v>
      </x:c>
      <x:c r="O51" s="80" t="n">
        <x:f>IF(AND(ISNUMBER(H51),ISNUMBER(K51)),H51/K51,"")</x:f>
        <x:v>1.1292151552129528</x:v>
      </x:c>
    </x:row>
    <x:row r="52" ht="20" customHeight="1">
      <x:c r="A52" s="67" t="str">
        <x:v>2048×128×1024</x:v>
      </x:c>
      <x:c r="B52" s="67" t="str">
        <x:v>BF16</x:v>
      </x:c>
      <x:c r="C52" s="70" t="n">
        <x:v>2048</x:v>
      </x:c>
      <x:c r="D52" s="70" t="n">
        <x:v>128</x:v>
      </x:c>
      <x:c r="E52" s="70" t="n">
        <x:v>1024</x:v>
      </x:c>
      <x:c r="F52" s="70" t="n">
        <x:v>128</x:v>
      </x:c>
      <x:c r="G52" s="70" t="n">
        <x:v>256</x:v>
      </x:c>
      <x:c r="H52" s="70" t="n">
        <x:v>75706</x:v>
      </x:c>
      <x:c r="I52" s="73" t="n">
        <x:v>0.866</x:v>
      </x:c>
      <x:c r="J52" s="67" t="str">
        <x:v>PASS</x:v>
      </x:c>
      <x:c r="K52" s="70" t="n">
        <x:v>68159</x:v>
      </x:c>
      <x:c r="L52" s="73" t="n">
        <x:v>0.9620000000000001</x:v>
      </x:c>
      <x:c r="M52" s="67" t="str">
        <x:v>PASS</x:v>
      </x:c>
      <x:c r="N52" s="77" t="n">
        <x:f>IF(AND(ISNUMBER(I52),ISNUMBER(L52)),(L52-I52)*100,"")</x:f>
        <x:v>9.600000000000009</x:v>
      </x:c>
      <x:c r="O52" s="80" t="n">
        <x:f>IF(AND(ISNUMBER(H52),ISNUMBER(K52)),H52/K52,"")</x:f>
        <x:v>1.110726389765108</x:v>
      </x:c>
    </x:row>
    <x:row r="53" ht="20" customHeight="1">
      <x:c r="A53" s="67" t="str">
        <x:v>2048×128×1024</x:v>
      </x:c>
      <x:c r="B53" s="67" t="str">
        <x:v>FP8</x:v>
      </x:c>
      <x:c r="C53" s="70" t="n">
        <x:v>2048</x:v>
      </x:c>
      <x:c r="D53" s="70" t="n">
        <x:v>128</x:v>
      </x:c>
      <x:c r="E53" s="70" t="n">
        <x:v>1024</x:v>
      </x:c>
      <x:c r="F53" s="70" t="n">
        <x:v>64</x:v>
      </x:c>
      <x:c r="G53" s="70" t="n">
        <x:v>64</x:v>
      </x:c>
      <x:c r="H53" s="70" t="n">
        <x:v>125371</x:v>
      </x:c>
      <x:c r="I53" s="73" t="n">
        <x:v>0.261</x:v>
      </x:c>
      <x:c r="J53" s="67" t="str">
        <x:v>PASS</x:v>
      </x:c>
      <x:c r="K53" s="70" t="n">
        <x:v>103667</x:v>
      </x:c>
      <x:c r="L53" s="73" t="n">
        <x:v>0.316</x:v>
      </x:c>
      <x:c r="M53" s="67" t="str">
        <x:v>PASS</x:v>
      </x:c>
      <x:c r="N53" s="77" t="n">
        <x:f>IF(AND(ISNUMBER(I53),ISNUMBER(L53)),(L53-I53)*100,"")</x:f>
        <x:v>5.499999999999999</x:v>
      </x:c>
      <x:c r="O53" s="80" t="n">
        <x:f>IF(AND(ISNUMBER(H53),ISNUMBER(K53)),H53/K53,"")</x:f>
        <x:v>1.2093626708595793</x:v>
      </x:c>
    </x:row>
    <x:row r="54" ht="20" customHeight="1">
      <x:c r="A54" s="67" t="str">
        <x:v>2048×128×1024</x:v>
      </x:c>
      <x:c r="B54" s="67" t="str">
        <x:v>FP8</x:v>
      </x:c>
      <x:c r="C54" s="70" t="n">
        <x:v>2048</x:v>
      </x:c>
      <x:c r="D54" s="70" t="n">
        <x:v>128</x:v>
      </x:c>
      <x:c r="E54" s="70" t="n">
        <x:v>1024</x:v>
      </x:c>
      <x:c r="F54" s="70" t="n">
        <x:v>64</x:v>
      </x:c>
      <x:c r="G54" s="70" t="n">
        <x:v>128</x:v>
      </x:c>
      <x:c r="H54" s="70" t="n">
        <x:v>61506</x:v>
      </x:c>
      <x:c r="I54" s="73" t="n">
        <x:v>0.5329999999999999</x:v>
      </x:c>
      <x:c r="J54" s="67" t="str">
        <x:v>PASS</x:v>
      </x:c>
      <x:c r="K54" s="70" t="n">
        <x:v>52702</x:v>
      </x:c>
      <x:c r="L54" s="73" t="n">
        <x:v>0.622</x:v>
      </x:c>
      <x:c r="M54" s="67" t="str">
        <x:v>PASS</x:v>
      </x:c>
      <x:c r="N54" s="77" t="n">
        <x:f>IF(AND(ISNUMBER(I54),ISNUMBER(L54)),(L54-I54)*100,"")</x:f>
        <x:v>8.900000000000007</x:v>
      </x:c>
      <x:c r="O54" s="80" t="n">
        <x:f>IF(AND(ISNUMBER(H54),ISNUMBER(K54)),H54/K54,"")</x:f>
        <x:v>1.1670524837767067</x:v>
      </x:c>
    </x:row>
    <x:row r="55" ht="20" customHeight="1">
      <x:c r="A55" s="67" t="str">
        <x:v>2048×128×1024</x:v>
      </x:c>
      <x:c r="B55" s="67" t="str">
        <x:v>FP8</x:v>
      </x:c>
      <x:c r="C55" s="70" t="n">
        <x:v>2048</x:v>
      </x:c>
      <x:c r="D55" s="70" t="n">
        <x:v>128</x:v>
      </x:c>
      <x:c r="E55" s="70" t="n">
        <x:v>1024</x:v>
      </x:c>
      <x:c r="F55" s="70" t="n">
        <x:v>64</x:v>
      </x:c>
      <x:c r="G55" s="70" t="n">
        <x:v>256</x:v>
      </x:c>
      <x:c r="H55" s="70" t="n">
        <x:v>59912</x:v>
      </x:c>
      <x:c r="I55" s="73" t="n">
        <x:v>0.547</x:v>
      </x:c>
      <x:c r="J55" s="67" t="str">
        <x:v>PASS</x:v>
      </x:c>
      <x:c r="K55" s="70" t="n">
        <x:v>51481</x:v>
      </x:c>
      <x:c r="L55" s="73" t="n">
        <x:v>0.637</x:v>
      </x:c>
      <x:c r="M55" s="67" t="str">
        <x:v>PASS</x:v>
      </x:c>
      <x:c r="N55" s="77" t="n">
        <x:f>IF(AND(ISNUMBER(I55),ISNUMBER(L55)),(L55-I55)*100,"")</x:f>
        <x:v>8.999999999999996</x:v>
      </x:c>
      <x:c r="O55" s="80" t="n">
        <x:f>IF(AND(ISNUMBER(H55),ISNUMBER(K55)),H55/K55,"")</x:f>
        <x:v>1.163769157553272</x:v>
      </x:c>
    </x:row>
    <x:row r="56" ht="20" customHeight="1">
      <x:c r="A56" s="67" t="str">
        <x:v>2048×128×1024</x:v>
      </x:c>
      <x:c r="B56" s="67" t="str">
        <x:v>FP8</x:v>
      </x:c>
      <x:c r="C56" s="70" t="n">
        <x:v>2048</x:v>
      </x:c>
      <x:c r="D56" s="70" t="n">
        <x:v>128</x:v>
      </x:c>
      <x:c r="E56" s="70" t="n">
        <x:v>1024</x:v>
      </x:c>
      <x:c r="F56" s="70" t="n">
        <x:v>128</x:v>
      </x:c>
      <x:c r="G56" s="70" t="n">
        <x:v>64</x:v>
      </x:c>
      <x:c r="H56" s="70" t="n">
        <x:v>103695</x:v>
      </x:c>
      <x:c r="I56" s="73" t="n">
        <x:v>0.316</x:v>
      </x:c>
      <x:c r="J56" s="67" t="str">
        <x:v>PASS</x:v>
      </x:c>
      <x:c r="K56" s="70" t="n">
        <x:v>100475</x:v>
      </x:c>
      <x:c r="L56" s="73" t="n">
        <x:v>0.326</x:v>
      </x:c>
      <x:c r="M56" s="67" t="str">
        <x:v>PASS</x:v>
      </x:c>
      <x:c r="N56" s="77" t="n">
        <x:f>IF(AND(ISNUMBER(I56),ISNUMBER(L56)),(L56-I56)*100,"")</x:f>
        <x:v>1.0000000000000009</x:v>
      </x:c>
      <x:c r="O56" s="80" t="n">
        <x:f>IF(AND(ISNUMBER(H56),ISNUMBER(K56)),H56/K56,"")</x:f>
        <x:v>1.03204777307788</x:v>
      </x:c>
    </x:row>
    <x:row r="57" ht="20" customHeight="1">
      <x:c r="A57" s="67" t="str">
        <x:v>2048×128×1024</x:v>
      </x:c>
      <x:c r="B57" s="67" t="str">
        <x:v>FP8</x:v>
      </x:c>
      <x:c r="C57" s="70" t="n">
        <x:v>2048</x:v>
      </x:c>
      <x:c r="D57" s="70" t="n">
        <x:v>128</x:v>
      </x:c>
      <x:c r="E57" s="70" t="n">
        <x:v>1024</x:v>
      </x:c>
      <x:c r="F57" s="70" t="n">
        <x:v>128</x:v>
      </x:c>
      <x:c r="G57" s="70" t="n">
        <x:v>128</x:v>
      </x:c>
      <x:c r="H57" s="70" t="n">
        <x:v>49199</x:v>
      </x:c>
      <x:c r="I57" s="73" t="n">
        <x:v>0.6659999999999999</x:v>
      </x:c>
      <x:c r="J57" s="67" t="str">
        <x:v>PASS</x:v>
      </x:c>
      <x:c r="K57" s="70" t="n">
        <x:v>48247</x:v>
      </x:c>
      <x:c r="L57" s="73" t="n">
        <x:v>0.679</x:v>
      </x:c>
      <x:c r="M57" s="67" t="str">
        <x:v>PASS</x:v>
      </x:c>
      <x:c r="N57" s="77" t="n">
        <x:f>IF(AND(ISNUMBER(I57),ISNUMBER(L57)),(L57-I57)*100,"")</x:f>
        <x:v>1.3000000000000123</x:v>
      </x:c>
      <x:c r="O57" s="80" t="n">
        <x:f>IF(AND(ISNUMBER(H57),ISNUMBER(K57)),H57/K57,"")</x:f>
        <x:v>1.0197317967956556</x:v>
      </x:c>
    </x:row>
    <x:row r="58" ht="20" customHeight="1">
      <x:c r="A58" s="67" t="str">
        <x:v>2048×128×1024</x:v>
      </x:c>
      <x:c r="B58" s="67" t="str">
        <x:v>FP8</x:v>
      </x:c>
      <x:c r="C58" s="70" t="n">
        <x:v>2048</x:v>
      </x:c>
      <x:c r="D58" s="70" t="n">
        <x:v>128</x:v>
      </x:c>
      <x:c r="E58" s="70" t="n">
        <x:v>1024</x:v>
      </x:c>
      <x:c r="F58" s="70" t="n">
        <x:v>128</x:v>
      </x:c>
      <x:c r="G58" s="70" t="n">
        <x:v>256</x:v>
      </x:c>
      <x:c r="H58" s="70" t="n">
        <x:v>40751</x:v>
      </x:c>
      <x:c r="I58" s="73" t="n">
        <x:v>0.804</x:v>
      </x:c>
      <x:c r="J58" s="67" t="str">
        <x:v>PASS</x:v>
      </x:c>
      <x:c r="K58" s="70" t="n">
        <x:v>34439</x:v>
      </x:c>
      <x:c r="L58" s="73" t="n">
        <x:v>0.951</x:v>
      </x:c>
      <x:c r="M58" s="67" t="str">
        <x:v>PASS</x:v>
      </x:c>
      <x:c r="N58" s="77" t="n">
        <x:f>IF(AND(ISNUMBER(I58),ISNUMBER(L58)),(L58-I58)*100,"")</x:f>
        <x:v>14.69999999999999</x:v>
      </x:c>
      <x:c r="O58" s="80" t="n">
        <x:f>IF(AND(ISNUMBER(H58),ISNUMBER(K58)),H58/K58,"")</x:f>
        <x:v>1.183280583059903</x:v>
      </x:c>
    </x:row>
    <x:row r="59" ht="20" customHeight="1">
      <x:c r="A59" s="67" t="str">
        <x:v>2048×128×1024</x:v>
      </x:c>
      <x:c r="B59" s="67" t="str">
        <x:v>MXFP4</x:v>
      </x:c>
      <x:c r="C59" s="70" t="n">
        <x:v>2048</x:v>
      </x:c>
      <x:c r="D59" s="70" t="n">
        <x:v>128</x:v>
      </x:c>
      <x:c r="E59" s="70" t="n">
        <x:v>1024</x:v>
      </x:c>
      <x:c r="F59" s="70" t="n">
        <x:v>64</x:v>
      </x:c>
      <x:c r="G59" s="70" t="n">
        <x:v>64</x:v>
      </x:c>
      <x:c r="H59" s="70"/>
      <x:c r="I59" s="73"/>
      <x:c r="J59" s="67" t="str">
        <x:v>DEADLOCK</x:v>
      </x:c>
      <x:c r="K59" s="70" t="n">
        <x:v>119344</x:v>
      </x:c>
      <x:c r="L59" s="73" t="n">
        <x:v>0.13699999999999998</x:v>
      </x:c>
      <x:c r="M59" s="67" t="str">
        <x:v>PASS</x:v>
      </x:c>
      <x:c r="N59" s="77" t="str">
        <x:f>IF(AND(ISNUMBER(I59),ISNUMBER(L59)),(L59-I59)*100,"")</x:f>
      </x:c>
      <x:c r="O59" s="80" t="str">
        <x:f>IF(AND(ISNUMBER(H59),ISNUMBER(K59)),H59/K59,"")</x:f>
      </x:c>
    </x:row>
    <x:row r="60" ht="20" customHeight="1">
      <x:c r="A60" s="67" t="str">
        <x:v>2048×128×1024</x:v>
      </x:c>
      <x:c r="B60" s="67" t="str">
        <x:v>MXFP4</x:v>
      </x:c>
      <x:c r="C60" s="70" t="n">
        <x:v>2048</x:v>
      </x:c>
      <x:c r="D60" s="70" t="n">
        <x:v>128</x:v>
      </x:c>
      <x:c r="E60" s="70" t="n">
        <x:v>1024</x:v>
      </x:c>
      <x:c r="F60" s="70" t="n">
        <x:v>64</x:v>
      </x:c>
      <x:c r="G60" s="70" t="n">
        <x:v>128</x:v>
      </x:c>
      <x:c r="H60" s="70" t="n">
        <x:v>94606</x:v>
      </x:c>
      <x:c r="I60" s="73" t="n">
        <x:v>0.17300000000000001</x:v>
      </x:c>
      <x:c r="J60" s="67" t="str">
        <x:v>PASS</x:v>
      </x:c>
      <x:c r="K60" s="70"/>
      <x:c r="L60" s="73"/>
      <x:c r="M60" s="67" t="str">
        <x:v>DEADLOCK</x:v>
      </x:c>
      <x:c r="N60" s="77" t="str">
        <x:f>IF(AND(ISNUMBER(I60),ISNUMBER(L60)),(L60-I60)*100,"")</x:f>
      </x:c>
      <x:c r="O60" s="80" t="str">
        <x:f>IF(AND(ISNUMBER(H60),ISNUMBER(K60)),H60/K60,"")</x:f>
      </x:c>
    </x:row>
    <x:row r="61" ht="20" customHeight="1">
      <x:c r="A61" s="67" t="str">
        <x:v>2048×128×1024</x:v>
      </x:c>
      <x:c r="B61" s="67" t="str">
        <x:v>MXFP4</x:v>
      </x:c>
      <x:c r="C61" s="70" t="n">
        <x:v>2048</x:v>
      </x:c>
      <x:c r="D61" s="70" t="n">
        <x:v>128</x:v>
      </x:c>
      <x:c r="E61" s="70" t="n">
        <x:v>1024</x:v>
      </x:c>
      <x:c r="F61" s="70" t="n">
        <x:v>64</x:v>
      </x:c>
      <x:c r="G61" s="70" t="n">
        <x:v>256</x:v>
      </x:c>
      <x:c r="H61" s="70" t="n">
        <x:v>82094</x:v>
      </x:c>
      <x:c r="I61" s="73" t="n">
        <x:v>0.2</x:v>
      </x:c>
      <x:c r="J61" s="67" t="str">
        <x:v>PASS</x:v>
      </x:c>
      <x:c r="K61" s="70"/>
      <x:c r="L61" s="73"/>
      <x:c r="M61" s="67" t="str">
        <x:v>DEADLOCK</x:v>
      </x:c>
      <x:c r="N61" s="77" t="str">
        <x:f>IF(AND(ISNUMBER(I61),ISNUMBER(L61)),(L61-I61)*100,"")</x:f>
      </x:c>
      <x:c r="O61" s="80" t="str">
        <x:f>IF(AND(ISNUMBER(H61),ISNUMBER(K61)),H61/K61,"")</x:f>
      </x:c>
    </x:row>
    <x:row r="62" ht="20" customHeight="1">
      <x:c r="A62" s="67" t="str">
        <x:v>2048×128×1024</x:v>
      </x:c>
      <x:c r="B62" s="67" t="str">
        <x:v>MXFP4</x:v>
      </x:c>
      <x:c r="C62" s="70" t="n">
        <x:v>2048</x:v>
      </x:c>
      <x:c r="D62" s="70" t="n">
        <x:v>128</x:v>
      </x:c>
      <x:c r="E62" s="70" t="n">
        <x:v>1024</x:v>
      </x:c>
      <x:c r="F62" s="70" t="n">
        <x:v>128</x:v>
      </x:c>
      <x:c r="G62" s="70" t="n">
        <x:v>64</x:v>
      </x:c>
      <x:c r="H62" s="70"/>
      <x:c r="I62" s="73"/>
      <x:c r="J62" s="67" t="str">
        <x:v>DEADLOCK</x:v>
      </x:c>
      <x:c r="K62" s="70" t="n">
        <x:v>99471</x:v>
      </x:c>
      <x:c r="L62" s="73" t="n">
        <x:v>0.165</x:v>
      </x:c>
      <x:c r="M62" s="67" t="str">
        <x:v>PASS</x:v>
      </x:c>
      <x:c r="N62" s="77" t="str">
        <x:f>IF(AND(ISNUMBER(I62),ISNUMBER(L62)),(L62-I62)*100,"")</x:f>
      </x:c>
      <x:c r="O62" s="80" t="str">
        <x:f>IF(AND(ISNUMBER(H62),ISNUMBER(K62)),H62/K62,"")</x:f>
      </x:c>
    </x:row>
    <x:row r="63" ht="20" customHeight="1">
      <x:c r="A63" s="67" t="str">
        <x:v>2048×128×1024</x:v>
      </x:c>
      <x:c r="B63" s="67" t="str">
        <x:v>MXFP4</x:v>
      </x:c>
      <x:c r="C63" s="70" t="n">
        <x:v>2048</x:v>
      </x:c>
      <x:c r="D63" s="70" t="n">
        <x:v>128</x:v>
      </x:c>
      <x:c r="E63" s="70" t="n">
        <x:v>1024</x:v>
      </x:c>
      <x:c r="F63" s="70" t="n">
        <x:v>128</x:v>
      </x:c>
      <x:c r="G63" s="70" t="n">
        <x:v>128</x:v>
      </x:c>
      <x:c r="H63" s="70" t="n">
        <x:v>55511</x:v>
      </x:c>
      <x:c r="I63" s="73" t="n">
        <x:v>0.295</x:v>
      </x:c>
      <x:c r="J63" s="67" t="str">
        <x:v>PASS</x:v>
      </x:c>
      <x:c r="K63" s="70" t="n">
        <x:v>64463</x:v>
      </x:c>
      <x:c r="L63" s="73" t="n">
        <x:v>0.254</x:v>
      </x:c>
      <x:c r="M63" s="67" t="str">
        <x:v>PASS</x:v>
      </x:c>
      <x:c r="N63" s="77" t="n">
        <x:f>IF(AND(ISNUMBER(I63),ISNUMBER(L63)),(L63-I63)*100,"")</x:f>
        <x:v>-4.099999999999998</x:v>
      </x:c>
      <x:c r="O63" s="80" t="n">
        <x:f>IF(AND(ISNUMBER(H63),ISNUMBER(K63)),H63/K63,"")</x:f>
        <x:v>0.861129640258753</x:v>
      </x:c>
    </x:row>
    <x:row r="64" ht="20" customHeight="1">
      <x:c r="A64" s="67" t="str">
        <x:v>2048×128×1024</x:v>
      </x:c>
      <x:c r="B64" s="67" t="str">
        <x:v>MXFP4</x:v>
      </x:c>
      <x:c r="C64" s="70" t="n">
        <x:v>2048</x:v>
      </x:c>
      <x:c r="D64" s="70" t="n">
        <x:v>128</x:v>
      </x:c>
      <x:c r="E64" s="70" t="n">
        <x:v>1024</x:v>
      </x:c>
      <x:c r="F64" s="70" t="n">
        <x:v>128</x:v>
      </x:c>
      <x:c r="G64" s="70" t="n">
        <x:v>256</x:v>
      </x:c>
      <x:c r="H64" s="70"/>
      <x:c r="I64" s="73"/>
      <x:c r="J64" s="67" t="str">
        <x:v>DEADLOCK</x:v>
      </x:c>
      <x:c r="K64" s="70" t="n">
        <x:v>47315</x:v>
      </x:c>
      <x:c r="L64" s="73" t="n">
        <x:v>0.34600000000000003</x:v>
      </x:c>
      <x:c r="M64" s="67" t="str">
        <x:v>PASS</x:v>
      </x:c>
      <x:c r="N64" s="77" t="str">
        <x:f>IF(AND(ISNUMBER(I64),ISNUMBER(L64)),(L64-I64)*100,"")</x:f>
      </x:c>
      <x:c r="O64" s="80" t="str">
        <x:f>IF(AND(ISNUMBER(H64),ISNUMBER(K64)),H64/K64,"")</x:f>
      </x:c>
    </x:row>
    <x:row r="65" ht="20" customHeight="1">
      <x:c r="A65" s="68" t="str">
        <x:v>256×512×7168</x:v>
      </x:c>
      <x:c r="B65" s="68" t="str">
        <x:v>FP32</x:v>
      </x:c>
      <x:c r="C65" s="71" t="n">
        <x:v>256</x:v>
      </x:c>
      <x:c r="D65" s="71" t="n">
        <x:v>512</x:v>
      </x:c>
      <x:c r="E65" s="71" t="n">
        <x:v>7168</x:v>
      </x:c>
      <x:c r="F65" s="71" t="n">
        <x:v>64</x:v>
      </x:c>
      <x:c r="G65" s="71" t="n">
        <x:v>64</x:v>
      </x:c>
      <x:c r="H65" s="71" t="n">
        <x:v>913327</x:v>
      </x:c>
      <x:c r="I65" s="74" t="n">
        <x:v>0.502</x:v>
      </x:c>
      <x:c r="J65" s="68" t="str">
        <x:v>PASS</x:v>
      </x:c>
      <x:c r="K65" s="71" t="n">
        <x:v>689410</x:v>
      </x:c>
      <x:c r="L65" s="74" t="n">
        <x:v>0.665</x:v>
      </x:c>
      <x:c r="M65" s="68" t="str">
        <x:v>PASS</x:v>
      </x:c>
      <x:c r="N65" s="78" t="n">
        <x:f>IF(AND(ISNUMBER(I65),ISNUMBER(L65)),(L65-I65)*100,"")</x:f>
        <x:v>16.300000000000004</x:v>
      </x:c>
      <x:c r="O65" s="81" t="n">
        <x:f>IF(AND(ISNUMBER(H65),ISNUMBER(K65)),H65/K65,"")</x:f>
        <x:v>1.3247951146632628</x:v>
      </x:c>
    </x:row>
    <x:row r="66" ht="20" customHeight="1">
      <x:c r="A66" s="68" t="str">
        <x:v>256×512×7168</x:v>
      </x:c>
      <x:c r="B66" s="68" t="str">
        <x:v>FP32</x:v>
      </x:c>
      <x:c r="C66" s="71" t="n">
        <x:v>256</x:v>
      </x:c>
      <x:c r="D66" s="71" t="n">
        <x:v>512</x:v>
      </x:c>
      <x:c r="E66" s="71" t="n">
        <x:v>7168</x:v>
      </x:c>
      <x:c r="F66" s="71" t="n">
        <x:v>64</x:v>
      </x:c>
      <x:c r="G66" s="71" t="n">
        <x:v>128</x:v>
      </x:c>
      <x:c r="H66" s="71" t="n">
        <x:v>841742</x:v>
      </x:c>
      <x:c r="I66" s="74" t="n">
        <x:v>0.545</x:v>
      </x:c>
      <x:c r="J66" s="68" t="str">
        <x:v>PASS</x:v>
      </x:c>
      <x:c r="K66" s="71" t="n">
        <x:v>690114</x:v>
      </x:c>
      <x:c r="L66" s="74" t="n">
        <x:v>0.665</x:v>
      </x:c>
      <x:c r="M66" s="68" t="str">
        <x:v>PASS</x:v>
      </x:c>
      <x:c r="N66" s="78" t="n">
        <x:f>IF(AND(ISNUMBER(I66),ISNUMBER(L66)),(L66-I66)*100,"")</x:f>
        <x:v>12</x:v>
      </x:c>
      <x:c r="O66" s="81" t="n">
        <x:f>IF(AND(ISNUMBER(H66),ISNUMBER(K66)),H66/K66,"")</x:f>
        <x:v>1.219714423993717</x:v>
      </x:c>
    </x:row>
    <x:row r="67" ht="20" customHeight="1">
      <x:c r="A67" s="68" t="str">
        <x:v>256×512×7168</x:v>
      </x:c>
      <x:c r="B67" s="68" t="str">
        <x:v>FP32</x:v>
      </x:c>
      <x:c r="C67" s="71" t="n">
        <x:v>256</x:v>
      </x:c>
      <x:c r="D67" s="71" t="n">
        <x:v>512</x:v>
      </x:c>
      <x:c r="E67" s="71" t="n">
        <x:v>7168</x:v>
      </x:c>
      <x:c r="F67" s="71" t="n">
        <x:v>64</x:v>
      </x:c>
      <x:c r="G67" s="71" t="n">
        <x:v>256</x:v>
      </x:c>
      <x:c r="H67" s="71" t="n">
        <x:v>796579</x:v>
      </x:c>
      <x:c r="I67" s="74" t="n">
        <x:v>0.5760000000000001</x:v>
      </x:c>
      <x:c r="J67" s="68" t="str">
        <x:v>PASS</x:v>
      </x:c>
      <x:c r="K67" s="71"/>
      <x:c r="L67" s="74"/>
      <x:c r="M67" s="68" t="str">
        <x:v>COMPILE_FAIL</x:v>
      </x:c>
      <x:c r="N67" s="78" t="str">
        <x:f>IF(AND(ISNUMBER(I67),ISNUMBER(L67)),(L67-I67)*100,"")</x:f>
      </x:c>
      <x:c r="O67" s="81" t="str">
        <x:f>IF(AND(ISNUMBER(H67),ISNUMBER(K67)),H67/K67,"")</x:f>
      </x:c>
    </x:row>
    <x:row r="68" ht="20" customHeight="1">
      <x:c r="A68" s="68" t="str">
        <x:v>256×512×7168</x:v>
      </x:c>
      <x:c r="B68" s="68" t="str">
        <x:v>FP32</x:v>
      </x:c>
      <x:c r="C68" s="71" t="n">
        <x:v>256</x:v>
      </x:c>
      <x:c r="D68" s="71" t="n">
        <x:v>512</x:v>
      </x:c>
      <x:c r="E68" s="71" t="n">
        <x:v>7168</x:v>
      </x:c>
      <x:c r="F68" s="71" t="n">
        <x:v>128</x:v>
      </x:c>
      <x:c r="G68" s="71" t="n">
        <x:v>64</x:v>
      </x:c>
      <x:c r="H68" s="71" t="n">
        <x:v>687633</x:v>
      </x:c>
      <x:c r="I68" s="74" t="n">
        <x:v>0.667</x:v>
      </x:c>
      <x:c r="J68" s="68" t="str">
        <x:v>PASS</x:v>
      </x:c>
      <x:c r="K68" s="71" t="n">
        <x:v>461409</x:v>
      </x:c>
      <x:c r="L68" s="75" t="n">
        <x:v>0.9940000000000001</x:v>
      </x:c>
      <x:c r="M68" s="68" t="str">
        <x:v>PASS</x:v>
      </x:c>
      <x:c r="N68" s="78" t="n">
        <x:f>IF(AND(ISNUMBER(I68),ISNUMBER(L68)),(L68-I68)*100,"")</x:f>
        <x:v>32.70000000000001</x:v>
      </x:c>
      <x:c r="O68" s="81" t="n">
        <x:f>IF(AND(ISNUMBER(H68),ISNUMBER(K68)),H68/K68,"")</x:f>
        <x:v>1.4902895262121025</x:v>
      </x:c>
    </x:row>
    <x:row r="69" ht="20" customHeight="1">
      <x:c r="A69" s="68" t="str">
        <x:v>256×512×7168</x:v>
      </x:c>
      <x:c r="B69" s="68" t="str">
        <x:v>FP32</x:v>
      </x:c>
      <x:c r="C69" s="71" t="n">
        <x:v>256</x:v>
      </x:c>
      <x:c r="D69" s="71" t="n">
        <x:v>512</x:v>
      </x:c>
      <x:c r="E69" s="71" t="n">
        <x:v>7168</x:v>
      </x:c>
      <x:c r="F69" s="71" t="n">
        <x:v>128</x:v>
      </x:c>
      <x:c r="G69" s="71" t="n">
        <x:v>128</x:v>
      </x:c>
      <x:c r="H69" s="71" t="n">
        <x:v>635148</x:v>
      </x:c>
      <x:c r="I69" s="74" t="n">
        <x:v>0.722</x:v>
      </x:c>
      <x:c r="J69" s="68" t="str">
        <x:v>PASS</x:v>
      </x:c>
      <x:c r="K69" s="71" t="n">
        <x:v>461378</x:v>
      </x:c>
      <x:c r="L69" s="75" t="n">
        <x:v>0.9940000000000001</x:v>
      </x:c>
      <x:c r="M69" s="68" t="str">
        <x:v>PASS</x:v>
      </x:c>
      <x:c r="N69" s="78" t="n">
        <x:f>IF(AND(ISNUMBER(I69),ISNUMBER(L69)),(L69-I69)*100,"")</x:f>
        <x:v>27.200000000000014</x:v>
      </x:c>
      <x:c r="O69" s="81" t="n">
        <x:f>IF(AND(ISNUMBER(H69),ISNUMBER(K69)),H69/K69,"")</x:f>
        <x:v>1.3766326092704897</x:v>
      </x:c>
    </x:row>
    <x:row r="70" ht="20" customHeight="1">
      <x:c r="A70" s="68" t="str">
        <x:v>256×512×7168</x:v>
      </x:c>
      <x:c r="B70" s="68" t="str">
        <x:v>FP32</x:v>
      </x:c>
      <x:c r="C70" s="71" t="n">
        <x:v>256</x:v>
      </x:c>
      <x:c r="D70" s="71" t="n">
        <x:v>512</x:v>
      </x:c>
      <x:c r="E70" s="71" t="n">
        <x:v>7168</x:v>
      </x:c>
      <x:c r="F70" s="71" t="n">
        <x:v>128</x:v>
      </x:c>
      <x:c r="G70" s="71" t="n">
        <x:v>256</x:v>
      </x:c>
      <x:c r="H70" s="71" t="n">
        <x:v>656208</x:v>
      </x:c>
      <x:c r="I70" s="74" t="n">
        <x:v>0.6990000000000001</x:v>
      </x:c>
      <x:c r="J70" s="68" t="str">
        <x:v>PASS</x:v>
      </x:c>
      <x:c r="K70" s="71"/>
      <x:c r="L70" s="74"/>
      <x:c r="M70" s="68" t="str">
        <x:v>COMPILE_FAIL</x:v>
      </x:c>
      <x:c r="N70" s="78" t="str">
        <x:f>IF(AND(ISNUMBER(I70),ISNUMBER(L70)),(L70-I70)*100,"")</x:f>
      </x:c>
      <x:c r="O70" s="81" t="str">
        <x:f>IF(AND(ISNUMBER(H70),ISNUMBER(K70)),H70/K70,"")</x:f>
      </x:c>
    </x:row>
    <x:row r="71" ht="20" customHeight="1">
      <x:c r="A71" s="68" t="str">
        <x:v>256×512×7168</x:v>
      </x:c>
      <x:c r="B71" s="68" t="str">
        <x:v>FP32</x:v>
      </x:c>
      <x:c r="C71" s="71" t="n">
        <x:v>256</x:v>
      </x:c>
      <x:c r="D71" s="71" t="n">
        <x:v>512</x:v>
      </x:c>
      <x:c r="E71" s="71" t="n">
        <x:v>7168</x:v>
      </x:c>
      <x:c r="F71" s="71" t="n">
        <x:v>256</x:v>
      </x:c>
      <x:c r="G71" s="71" t="n">
        <x:v>64</x:v>
      </x:c>
      <x:c r="H71" s="71" t="n">
        <x:v>576944</x:v>
      </x:c>
      <x:c r="I71" s="74" t="n">
        <x:v>0.795</x:v>
      </x:c>
      <x:c r="J71" s="68" t="str">
        <x:v>PASS</x:v>
      </x:c>
      <x:c r="K71" s="71" t="n">
        <x:v>461924</x:v>
      </x:c>
      <x:c r="L71" s="74" t="n">
        <x:v>0.993</x:v>
      </x:c>
      <x:c r="M71" s="68" t="str">
        <x:v>PASS</x:v>
      </x:c>
      <x:c r="N71" s="78" t="n">
        <x:f>IF(AND(ISNUMBER(I71),ISNUMBER(L71)),(L71-I71)*100,"")</x:f>
        <x:v>19.799999999999997</x:v>
      </x:c>
      <x:c r="O71" s="81" t="n">
        <x:f>IF(AND(ISNUMBER(H71),ISNUMBER(K71)),H71/K71,"")</x:f>
        <x:v>1.2490020003290585</x:v>
      </x:c>
    </x:row>
    <x:row r="72" ht="20" customHeight="1">
      <x:c r="A72" s="68" t="str">
        <x:v>256×512×7168</x:v>
      </x:c>
      <x:c r="B72" s="68" t="str">
        <x:v>FP32</x:v>
      </x:c>
      <x:c r="C72" s="71" t="n">
        <x:v>256</x:v>
      </x:c>
      <x:c r="D72" s="71" t="n">
        <x:v>512</x:v>
      </x:c>
      <x:c r="E72" s="71" t="n">
        <x:v>7168</x:v>
      </x:c>
      <x:c r="F72" s="71" t="n">
        <x:v>256</x:v>
      </x:c>
      <x:c r="G72" s="71" t="n">
        <x:v>128</x:v>
      </x:c>
      <x:c r="H72" s="71" t="n">
        <x:v>567269</x:v>
      </x:c>
      <x:c r="I72" s="74" t="n">
        <x:v>0.809</x:v>
      </x:c>
      <x:c r="J72" s="68" t="str">
        <x:v>PASS</x:v>
      </x:c>
      <x:c r="K72" s="71" t="n">
        <x:v>561300</x:v>
      </x:c>
      <x:c r="L72" s="74" t="n">
        <x:v>0.8170000000000001</x:v>
      </x:c>
      <x:c r="M72" s="68" t="str">
        <x:v>PASS</x:v>
      </x:c>
      <x:c r="N72" s="78" t="n">
        <x:f>IF(AND(ISNUMBER(I72),ISNUMBER(L72)),(L72-I72)*100,"")</x:f>
        <x:v>0.8000000000000007</x:v>
      </x:c>
      <x:c r="O72" s="81" t="n">
        <x:f>IF(AND(ISNUMBER(H72),ISNUMBER(K72)),H72/K72,"")</x:f>
        <x:v>1.0106342419383574</x:v>
      </x:c>
    </x:row>
    <x:row r="73" ht="20" customHeight="1">
      <x:c r="A73" s="68" t="str">
        <x:v>256×512×7168</x:v>
      </x:c>
      <x:c r="B73" s="68" t="str">
        <x:v>BF16</x:v>
      </x:c>
      <x:c r="C73" s="71" t="n">
        <x:v>256</x:v>
      </x:c>
      <x:c r="D73" s="71" t="n">
        <x:v>512</x:v>
      </x:c>
      <x:c r="E73" s="71" t="n">
        <x:v>7168</x:v>
      </x:c>
      <x:c r="F73" s="71" t="n">
        <x:v>64</x:v>
      </x:c>
      <x:c r="G73" s="71" t="n">
        <x:v>64</x:v>
      </x:c>
      <x:c r="H73" s="71" t="n">
        <x:v>518051</x:v>
      </x:c>
      <x:c r="I73" s="74" t="n">
        <x:v>0.44299999999999995</x:v>
      </x:c>
      <x:c r="J73" s="68" t="str">
        <x:v>PASS</x:v>
      </x:c>
      <x:c r="K73" s="71" t="n">
        <x:v>345102</x:v>
      </x:c>
      <x:c r="L73" s="74" t="n">
        <x:v>0.665</x:v>
      </x:c>
      <x:c r="M73" s="68" t="str">
        <x:v>PASS</x:v>
      </x:c>
      <x:c r="N73" s="78" t="n">
        <x:f>IF(AND(ISNUMBER(I73),ISNUMBER(L73)),(L73-I73)*100,"")</x:f>
        <x:v>22.20000000000001</x:v>
      </x:c>
      <x:c r="O73" s="81" t="n">
        <x:f>IF(AND(ISNUMBER(H73),ISNUMBER(K73)),H73/K73,"")</x:f>
        <x:v>1.501153282218011</x:v>
      </x:c>
    </x:row>
    <x:row r="74" ht="20" customHeight="1">
      <x:c r="A74" s="68" t="str">
        <x:v>256×512×7168</x:v>
      </x:c>
      <x:c r="B74" s="68" t="str">
        <x:v>BF16</x:v>
      </x:c>
      <x:c r="C74" s="71" t="n">
        <x:v>256</x:v>
      </x:c>
      <x:c r="D74" s="71" t="n">
        <x:v>512</x:v>
      </x:c>
      <x:c r="E74" s="71" t="n">
        <x:v>7168</x:v>
      </x:c>
      <x:c r="F74" s="71" t="n">
        <x:v>64</x:v>
      </x:c>
      <x:c r="G74" s="71" t="n">
        <x:v>128</x:v>
      </x:c>
      <x:c r="H74" s="71" t="n">
        <x:v>447327</x:v>
      </x:c>
      <x:c r="I74" s="74" t="n">
        <x:v>0.513</x:v>
      </x:c>
      <x:c r="J74" s="68" t="str">
        <x:v>PASS</x:v>
      </x:c>
      <x:c r="K74" s="71" t="n">
        <x:v>345856</x:v>
      </x:c>
      <x:c r="L74" s="74" t="n">
        <x:v>0.6629999999999999</x:v>
      </x:c>
      <x:c r="M74" s="68" t="str">
        <x:v>PASS</x:v>
      </x:c>
      <x:c r="N74" s="78" t="n">
        <x:f>IF(AND(ISNUMBER(I74),ISNUMBER(L74)),(L74-I74)*100,"")</x:f>
        <x:v>14.999999999999991</x:v>
      </x:c>
      <x:c r="O74" s="81" t="n">
        <x:f>IF(AND(ISNUMBER(H74),ISNUMBER(K74)),H74/K74,"")</x:f>
        <x:v>1.2933908910066618</x:v>
      </x:c>
    </x:row>
    <x:row r="75" ht="20" customHeight="1">
      <x:c r="A75" s="68" t="str">
        <x:v>256×512×7168</x:v>
      </x:c>
      <x:c r="B75" s="68" t="str">
        <x:v>BF16</x:v>
      </x:c>
      <x:c r="C75" s="71" t="n">
        <x:v>256</x:v>
      </x:c>
      <x:c r="D75" s="71" t="n">
        <x:v>512</x:v>
      </x:c>
      <x:c r="E75" s="71" t="n">
        <x:v>7168</x:v>
      </x:c>
      <x:c r="F75" s="71" t="n">
        <x:v>64</x:v>
      </x:c>
      <x:c r="G75" s="71" t="n">
        <x:v>256</x:v>
      </x:c>
      <x:c r="H75" s="71"/>
      <x:c r="I75" s="74"/>
      <x:c r="J75" s="68" t="str">
        <x:v>DEADLOCK</x:v>
      </x:c>
      <x:c r="K75" s="71" t="n">
        <x:v>346050</x:v>
      </x:c>
      <x:c r="L75" s="74" t="n">
        <x:v>0.6629999999999999</x:v>
      </x:c>
      <x:c r="M75" s="68" t="str">
        <x:v>PASS</x:v>
      </x:c>
      <x:c r="N75" s="78" t="str">
        <x:f>IF(AND(ISNUMBER(I75),ISNUMBER(L75)),(L75-I75)*100,"")</x:f>
      </x:c>
      <x:c r="O75" s="81" t="str">
        <x:f>IF(AND(ISNUMBER(H75),ISNUMBER(K75)),H75/K75,"")</x:f>
      </x:c>
    </x:row>
    <x:row r="76" ht="20" customHeight="1">
      <x:c r="A76" s="68" t="str">
        <x:v>256×512×7168</x:v>
      </x:c>
      <x:c r="B76" s="68" t="str">
        <x:v>BF16</x:v>
      </x:c>
      <x:c r="C76" s="71" t="n">
        <x:v>256</x:v>
      </x:c>
      <x:c r="D76" s="71" t="n">
        <x:v>512</x:v>
      </x:c>
      <x:c r="E76" s="71" t="n">
        <x:v>7168</x:v>
      </x:c>
      <x:c r="F76" s="71" t="n">
        <x:v>128</x:v>
      </x:c>
      <x:c r="G76" s="71" t="n">
        <x:v>64</x:v>
      </x:c>
      <x:c r="H76" s="71" t="n">
        <x:v>491431</x:v>
      </x:c>
      <x:c r="I76" s="74" t="n">
        <x:v>0.467</x:v>
      </x:c>
      <x:c r="J76" s="68" t="str">
        <x:v>PASS</x:v>
      </x:c>
      <x:c r="K76" s="71" t="n">
        <x:v>344664</x:v>
      </x:c>
      <x:c r="L76" s="74" t="n">
        <x:v>0.6659999999999999</x:v>
      </x:c>
      <x:c r="M76" s="68" t="str">
        <x:v>PASS</x:v>
      </x:c>
      <x:c r="N76" s="78" t="n">
        <x:f>IF(AND(ISNUMBER(I76),ISNUMBER(L76)),(L76-I76)*100,"")</x:f>
        <x:v>19.89999999999999</x:v>
      </x:c>
      <x:c r="O76" s="81" t="n">
        <x:f>IF(AND(ISNUMBER(H76),ISNUMBER(K76)),H76/K76,"")</x:f>
        <x:v>1.425826312002414</x:v>
      </x:c>
    </x:row>
    <x:row r="77" ht="20" customHeight="1">
      <x:c r="A77" s="68" t="str">
        <x:v>256×512×7168</x:v>
      </x:c>
      <x:c r="B77" s="68" t="str">
        <x:v>BF16</x:v>
      </x:c>
      <x:c r="C77" s="71" t="n">
        <x:v>256</x:v>
      </x:c>
      <x:c r="D77" s="71" t="n">
        <x:v>512</x:v>
      </x:c>
      <x:c r="E77" s="71" t="n">
        <x:v>7168</x:v>
      </x:c>
      <x:c r="F77" s="71" t="n">
        <x:v>128</x:v>
      </x:c>
      <x:c r="G77" s="71" t="n">
        <x:v>128</x:v>
      </x:c>
      <x:c r="H77" s="71" t="n">
        <x:v>335850</x:v>
      </x:c>
      <x:c r="I77" s="74" t="n">
        <x:v>0.6829999999999999</x:v>
      </x:c>
      <x:c r="J77" s="68" t="str">
        <x:v>PASS</x:v>
      </x:c>
      <x:c r="K77" s="71" t="n">
        <x:v>231042</x:v>
      </x:c>
      <x:c r="L77" s="74" t="n">
        <x:v>0.993</x:v>
      </x:c>
      <x:c r="M77" s="68" t="str">
        <x:v>PASS</x:v>
      </x:c>
      <x:c r="N77" s="78" t="n">
        <x:f>IF(AND(ISNUMBER(I77),ISNUMBER(L77)),(L77-I77)*100,"")</x:f>
        <x:v>31.000000000000007</x:v>
      </x:c>
      <x:c r="O77" s="81" t="n">
        <x:f>IF(AND(ISNUMBER(H77),ISNUMBER(K77)),H77/K77,"")</x:f>
        <x:v>1.453631807203885</x:v>
      </x:c>
    </x:row>
    <x:row r="78" ht="20" customHeight="1">
      <x:c r="A78" s="68" t="str">
        <x:v>256×512×7168</x:v>
      </x:c>
      <x:c r="B78" s="68" t="str">
        <x:v>BF16</x:v>
      </x:c>
      <x:c r="C78" s="71" t="n">
        <x:v>256</x:v>
      </x:c>
      <x:c r="D78" s="71" t="n">
        <x:v>512</x:v>
      </x:c>
      <x:c r="E78" s="71" t="n">
        <x:v>7168</x:v>
      </x:c>
      <x:c r="F78" s="71" t="n">
        <x:v>128</x:v>
      </x:c>
      <x:c r="G78" s="71" t="n">
        <x:v>256</x:v>
      </x:c>
      <x:c r="H78" s="71" t="n">
        <x:v>301786</x:v>
      </x:c>
      <x:c r="I78" s="74" t="n">
        <x:v>0.76</x:v>
      </x:c>
      <x:c r="J78" s="68" t="str">
        <x:v>PASS</x:v>
      </x:c>
      <x:c r="K78" s="71" t="n">
        <x:v>232002</x:v>
      </x:c>
      <x:c r="L78" s="74" t="n">
        <x:v>0.9890000000000001</x:v>
      </x:c>
      <x:c r="M78" s="68" t="str">
        <x:v>PASS</x:v>
      </x:c>
      <x:c r="N78" s="78" t="n">
        <x:f>IF(AND(ISNUMBER(I78),ISNUMBER(L78)),(L78-I78)*100,"")</x:f>
        <x:v>22.90000000000001</x:v>
      </x:c>
      <x:c r="O78" s="81" t="n">
        <x:f>IF(AND(ISNUMBER(H78),ISNUMBER(K78)),H78/K78,"")</x:f>
        <x:v>1.3007905104266342</x:v>
      </x:c>
    </x:row>
    <x:row r="79" ht="20" customHeight="1">
      <x:c r="A79" s="68" t="str">
        <x:v>256×512×7168</x:v>
      </x:c>
      <x:c r="B79" s="68" t="str">
        <x:v>BF16</x:v>
      </x:c>
      <x:c r="C79" s="71" t="n">
        <x:v>256</x:v>
      </x:c>
      <x:c r="D79" s="71" t="n">
        <x:v>512</x:v>
      </x:c>
      <x:c r="E79" s="71" t="n">
        <x:v>7168</x:v>
      </x:c>
      <x:c r="F79" s="71" t="n">
        <x:v>256</x:v>
      </x:c>
      <x:c r="G79" s="71" t="n">
        <x:v>64</x:v>
      </x:c>
      <x:c r="H79" s="71" t="n">
        <x:v>420623</x:v>
      </x:c>
      <x:c r="I79" s="74" t="n">
        <x:v>0.545</x:v>
      </x:c>
      <x:c r="J79" s="68" t="str">
        <x:v>PASS</x:v>
      </x:c>
      <x:c r="K79" s="71" t="n">
        <x:v>344758</x:v>
      </x:c>
      <x:c r="L79" s="74" t="n">
        <x:v>0.665</x:v>
      </x:c>
      <x:c r="M79" s="68" t="str">
        <x:v>PASS</x:v>
      </x:c>
      <x:c r="N79" s="78" t="n">
        <x:f>IF(AND(ISNUMBER(I79),ISNUMBER(L79)),(L79-I79)*100,"")</x:f>
        <x:v>12</x:v>
      </x:c>
      <x:c r="O79" s="81" t="n">
        <x:f>IF(AND(ISNUMBER(H79),ISNUMBER(K79)),H79/K79,"")</x:f>
        <x:v>1.2200529066765673</x:v>
      </x:c>
    </x:row>
    <x:row r="80" ht="20" customHeight="1">
      <x:c r="A80" s="68" t="str">
        <x:v>256×512×7168</x:v>
      </x:c>
      <x:c r="B80" s="68" t="str">
        <x:v>BF16</x:v>
      </x:c>
      <x:c r="C80" s="71" t="n">
        <x:v>256</x:v>
      </x:c>
      <x:c r="D80" s="71" t="n">
        <x:v>512</x:v>
      </x:c>
      <x:c r="E80" s="71" t="n">
        <x:v>7168</x:v>
      </x:c>
      <x:c r="F80" s="71" t="n">
        <x:v>256</x:v>
      </x:c>
      <x:c r="G80" s="71" t="n">
        <x:v>128</x:v>
      </x:c>
      <x:c r="H80" s="71" t="n">
        <x:v>287087</x:v>
      </x:c>
      <x:c r="I80" s="74" t="n">
        <x:v>0.799</x:v>
      </x:c>
      <x:c r="J80" s="68" t="str">
        <x:v>PASS</x:v>
      </x:c>
      <x:c r="K80" s="71" t="n">
        <x:v>231682</x:v>
      </x:c>
      <x:c r="L80" s="74" t="n">
        <x:v>0.99</x:v>
      </x:c>
      <x:c r="M80" s="68" t="str">
        <x:v>PASS</x:v>
      </x:c>
      <x:c r="N80" s="78" t="n">
        <x:f>IF(AND(ISNUMBER(I80),ISNUMBER(L80)),(L80-I80)*100,"")</x:f>
        <x:v>19.099999999999994</x:v>
      </x:c>
      <x:c r="O80" s="81" t="n">
        <x:f>IF(AND(ISNUMBER(H80),ISNUMBER(K80)),H80/K80,"")</x:f>
        <x:v>1.2391424452482283</x:v>
      </x:c>
    </x:row>
    <x:row r="81" ht="20" customHeight="1">
      <x:c r="A81" s="68" t="str">
        <x:v>256×512×7168</x:v>
      </x:c>
      <x:c r="B81" s="68" t="str">
        <x:v>BF16</x:v>
      </x:c>
      <x:c r="C81" s="71" t="n">
        <x:v>256</x:v>
      </x:c>
      <x:c r="D81" s="71" t="n">
        <x:v>512</x:v>
      </x:c>
      <x:c r="E81" s="71" t="n">
        <x:v>7168</x:v>
      </x:c>
      <x:c r="F81" s="71" t="n">
        <x:v>256</x:v>
      </x:c>
      <x:c r="G81" s="71" t="n">
        <x:v>256</x:v>
      </x:c>
      <x:c r="H81" s="71" t="n">
        <x:v>287933</x:v>
      </x:c>
      <x:c r="I81" s="74" t="n">
        <x:v>0.797</x:v>
      </x:c>
      <x:c r="J81" s="68" t="str">
        <x:v>PASS</x:v>
      </x:c>
      <x:c r="K81" s="71" t="n">
        <x:v>280845</x:v>
      </x:c>
      <x:c r="L81" s="74" t="n">
        <x:v>0.8170000000000001</x:v>
      </x:c>
      <x:c r="M81" s="68" t="str">
        <x:v>PASS</x:v>
      </x:c>
      <x:c r="N81" s="78" t="n">
        <x:f>IF(AND(ISNUMBER(I81),ISNUMBER(L81)),(L81-I81)*100,"")</x:f>
        <x:v>2.0000000000000018</x:v>
      </x:c>
      <x:c r="O81" s="81" t="n">
        <x:f>IF(AND(ISNUMBER(H81),ISNUMBER(K81)),H81/K81,"")</x:f>
        <x:v>1.0252381206715449</x:v>
      </x:c>
    </x:row>
    <x:row r="82" ht="20" customHeight="1">
      <x:c r="A82" s="68" t="str">
        <x:v>256×512×7168</x:v>
      </x:c>
      <x:c r="B82" s="68" t="str">
        <x:v>FP8</x:v>
      </x:c>
      <x:c r="C82" s="71" t="n">
        <x:v>256</x:v>
      </x:c>
      <x:c r="D82" s="71" t="n">
        <x:v>512</x:v>
      </x:c>
      <x:c r="E82" s="71" t="n">
        <x:v>7168</x:v>
      </x:c>
      <x:c r="F82" s="71" t="n">
        <x:v>64</x:v>
      </x:c>
      <x:c r="G82" s="71" t="n">
        <x:v>64</x:v>
      </x:c>
      <x:c r="H82" s="71" t="n">
        <x:v>469123</x:v>
      </x:c>
      <x:c r="I82" s="74" t="n">
        <x:v>0.244</x:v>
      </x:c>
      <x:c r="J82" s="68" t="str">
        <x:v>PASS</x:v>
      </x:c>
      <x:c r="K82" s="71" t="n">
        <x:v>363572</x:v>
      </x:c>
      <x:c r="L82" s="74" t="n">
        <x:v>0.315</x:v>
      </x:c>
      <x:c r="M82" s="68" t="str">
        <x:v>PASS</x:v>
      </x:c>
      <x:c r="N82" s="78" t="n">
        <x:f>IF(AND(ISNUMBER(I82),ISNUMBER(L82)),(L82-I82)*100,"")</x:f>
        <x:v>7.1000000000000005</x:v>
      </x:c>
      <x:c r="O82" s="81" t="n">
        <x:f>IF(AND(ISNUMBER(H82),ISNUMBER(K82)),H82/K82,"")</x:f>
        <x:v>1.29031663604458</x:v>
      </x:c>
    </x:row>
    <x:row r="83" ht="20" customHeight="1">
      <x:c r="A83" s="68" t="str">
        <x:v>256×512×7168</x:v>
      </x:c>
      <x:c r="B83" s="68" t="str">
        <x:v>FP8</x:v>
      </x:c>
      <x:c r="C83" s="71" t="n">
        <x:v>256</x:v>
      </x:c>
      <x:c r="D83" s="71" t="n">
        <x:v>512</x:v>
      </x:c>
      <x:c r="E83" s="71" t="n">
        <x:v>7168</x:v>
      </x:c>
      <x:c r="F83" s="71" t="n">
        <x:v>64</x:v>
      </x:c>
      <x:c r="G83" s="71" t="n">
        <x:v>128</x:v>
      </x:c>
      <x:c r="H83" s="71" t="n">
        <x:v>255484</x:v>
      </x:c>
      <x:c r="I83" s="74" t="n">
        <x:v>0.449</x:v>
      </x:c>
      <x:c r="J83" s="68" t="str">
        <x:v>PASS</x:v>
      </x:c>
      <x:c r="K83" s="71" t="n">
        <x:v>181368</x:v>
      </x:c>
      <x:c r="L83" s="74" t="n">
        <x:v>0.632</x:v>
      </x:c>
      <x:c r="M83" s="68" t="str">
        <x:v>PASS</x:v>
      </x:c>
      <x:c r="N83" s="78" t="n">
        <x:f>IF(AND(ISNUMBER(I83),ISNUMBER(L83)),(L83-I83)*100,"")</x:f>
        <x:v>18.3</x:v>
      </x:c>
      <x:c r="O83" s="81" t="n">
        <x:f>IF(AND(ISNUMBER(H83),ISNUMBER(K83)),H83/K83,"")</x:f>
        <x:v>1.4086498169467603</x:v>
      </x:c>
    </x:row>
    <x:row r="84" ht="20" customHeight="1">
      <x:c r="A84" s="68" t="str">
        <x:v>256×512×7168</x:v>
      </x:c>
      <x:c r="B84" s="68" t="str">
        <x:v>FP8</x:v>
      </x:c>
      <x:c r="C84" s="71" t="n">
        <x:v>256</x:v>
      </x:c>
      <x:c r="D84" s="71" t="n">
        <x:v>512</x:v>
      </x:c>
      <x:c r="E84" s="71" t="n">
        <x:v>7168</x:v>
      </x:c>
      <x:c r="F84" s="71" t="n">
        <x:v>64</x:v>
      </x:c>
      <x:c r="G84" s="71" t="n">
        <x:v>256</x:v>
      </x:c>
      <x:c r="H84" s="71" t="n">
        <x:v>237680</x:v>
      </x:c>
      <x:c r="I84" s="74" t="n">
        <x:v>0.483</x:v>
      </x:c>
      <x:c r="J84" s="68" t="str">
        <x:v>PASS</x:v>
      </x:c>
      <x:c r="K84" s="71" t="n">
        <x:v>179658</x:v>
      </x:c>
      <x:c r="L84" s="74" t="n">
        <x:v>0.638</x:v>
      </x:c>
      <x:c r="M84" s="68" t="str">
        <x:v>PASS</x:v>
      </x:c>
      <x:c r="N84" s="78" t="n">
        <x:f>IF(AND(ISNUMBER(I84),ISNUMBER(L84)),(L84-I84)*100,"")</x:f>
        <x:v>15.500000000000004</x:v>
      </x:c>
      <x:c r="O84" s="81" t="n">
        <x:f>IF(AND(ISNUMBER(H84),ISNUMBER(K84)),H84/K84,"")</x:f>
        <x:v>1.3229580647675028</x:v>
      </x:c>
    </x:row>
    <x:row r="85" ht="20" customHeight="1">
      <x:c r="A85" s="68" t="str">
        <x:v>256×512×7168</x:v>
      </x:c>
      <x:c r="B85" s="68" t="str">
        <x:v>FP8</x:v>
      </x:c>
      <x:c r="C85" s="71" t="n">
        <x:v>256</x:v>
      </x:c>
      <x:c r="D85" s="71" t="n">
        <x:v>512</x:v>
      </x:c>
      <x:c r="E85" s="71" t="n">
        <x:v>7168</x:v>
      </x:c>
      <x:c r="F85" s="71" t="n">
        <x:v>128</x:v>
      </x:c>
      <x:c r="G85" s="71" t="n">
        <x:v>64</x:v>
      </x:c>
      <x:c r="H85" s="71" t="n">
        <x:v>429967</x:v>
      </x:c>
      <x:c r="I85" s="74" t="n">
        <x:v>0.267</x:v>
      </x:c>
      <x:c r="J85" s="68" t="str">
        <x:v>PASS</x:v>
      </x:c>
      <x:c r="K85" s="71" t="n">
        <x:v>358867</x:v>
      </x:c>
      <x:c r="L85" s="74" t="n">
        <x:v>0.32</x:v>
      </x:c>
      <x:c r="M85" s="68" t="str">
        <x:v>PASS</x:v>
      </x:c>
      <x:c r="N85" s="78" t="n">
        <x:f>IF(AND(ISNUMBER(I85),ISNUMBER(L85)),(L85-I85)*100,"")</x:f>
        <x:v>5.299999999999999</x:v>
      </x:c>
      <x:c r="O85" s="81" t="n">
        <x:f>IF(AND(ISNUMBER(H85),ISNUMBER(K85)),H85/K85,"")</x:f>
        <x:v>1.1981235388040694</x:v>
      </x:c>
    </x:row>
    <x:row r="86" ht="20" customHeight="1">
      <x:c r="A86" s="68" t="str">
        <x:v>256×512×7168</x:v>
      </x:c>
      <x:c r="B86" s="68" t="str">
        <x:v>FP8</x:v>
      </x:c>
      <x:c r="C86" s="71" t="n">
        <x:v>256</x:v>
      </x:c>
      <x:c r="D86" s="71" t="n">
        <x:v>512</x:v>
      </x:c>
      <x:c r="E86" s="71" t="n">
        <x:v>7168</x:v>
      </x:c>
      <x:c r="F86" s="71" t="n">
        <x:v>128</x:v>
      </x:c>
      <x:c r="G86" s="71" t="n">
        <x:v>128</x:v>
      </x:c>
      <x:c r="H86" s="71" t="n">
        <x:v>240735</x:v>
      </x:c>
      <x:c r="I86" s="74" t="n">
        <x:v>0.47600000000000003</x:v>
      </x:c>
      <x:c r="J86" s="68" t="str">
        <x:v>PASS</x:v>
      </x:c>
      <x:c r="K86" s="71" t="n">
        <x:v>172188</x:v>
      </x:c>
      <x:c r="L86" s="74" t="n">
        <x:v>0.6659999999999999</x:v>
      </x:c>
      <x:c r="M86" s="68" t="str">
        <x:v>PASS</x:v>
      </x:c>
      <x:c r="N86" s="78" t="n">
        <x:f>IF(AND(ISNUMBER(I86),ISNUMBER(L86)),(L86-I86)*100,"")</x:f>
        <x:v>18.99999999999999</x:v>
      </x:c>
      <x:c r="O86" s="81" t="n">
        <x:f>IF(AND(ISNUMBER(H86),ISNUMBER(K86)),H86/K86,"")</x:f>
        <x:v>1.3980939438288382</x:v>
      </x:c>
    </x:row>
    <x:row r="87" ht="20" customHeight="1">
      <x:c r="A87" s="68" t="str">
        <x:v>256×512×7168</x:v>
      </x:c>
      <x:c r="B87" s="68" t="str">
        <x:v>FP8</x:v>
      </x:c>
      <x:c r="C87" s="71" t="n">
        <x:v>256</x:v>
      </x:c>
      <x:c r="D87" s="71" t="n">
        <x:v>512</x:v>
      </x:c>
      <x:c r="E87" s="71" t="n">
        <x:v>7168</x:v>
      </x:c>
      <x:c r="F87" s="71" t="n">
        <x:v>128</x:v>
      </x:c>
      <x:c r="G87" s="71" t="n">
        <x:v>256</x:v>
      </x:c>
      <x:c r="H87" s="71" t="n">
        <x:v>158808</x:v>
      </x:c>
      <x:c r="I87" s="74" t="n">
        <x:v>0.722</x:v>
      </x:c>
      <x:c r="J87" s="68" t="str">
        <x:v>PASS</x:v>
      </x:c>
      <x:c r="K87" s="71" t="n">
        <x:v>116362</x:v>
      </x:c>
      <x:c r="L87" s="74" t="n">
        <x:v>0.986</x:v>
      </x:c>
      <x:c r="M87" s="68" t="str">
        <x:v>PASS</x:v>
      </x:c>
      <x:c r="N87" s="78" t="n">
        <x:f>IF(AND(ISNUMBER(I87),ISNUMBER(L87)),(L87-I87)*100,"")</x:f>
        <x:v>26.400000000000002</x:v>
      </x:c>
      <x:c r="O87" s="81" t="n">
        <x:f>IF(AND(ISNUMBER(H87),ISNUMBER(K87)),H87/K87,"")</x:f>
        <x:v>1.3647754421546554</x:v>
      </x:c>
    </x:row>
    <x:row r="88" ht="20" customHeight="1">
      <x:c r="A88" s="68" t="str">
        <x:v>256×512×7168</x:v>
      </x:c>
      <x:c r="B88" s="68" t="str">
        <x:v>FP8</x:v>
      </x:c>
      <x:c r="C88" s="71" t="n">
        <x:v>256</x:v>
      </x:c>
      <x:c r="D88" s="71" t="n">
        <x:v>512</x:v>
      </x:c>
      <x:c r="E88" s="71" t="n">
        <x:v>7168</x:v>
      </x:c>
      <x:c r="F88" s="71" t="n">
        <x:v>256</x:v>
      </x:c>
      <x:c r="G88" s="71" t="n">
        <x:v>64</x:v>
      </x:c>
      <x:c r="H88" s="71" t="n">
        <x:v>429607</x:v>
      </x:c>
      <x:c r="I88" s="74" t="n">
        <x:v>0.267</x:v>
      </x:c>
      <x:c r="J88" s="68" t="str">
        <x:v>PASS</x:v>
      </x:c>
      <x:c r="K88" s="71" t="n">
        <x:v>361706</x:v>
      </x:c>
      <x:c r="L88" s="74" t="n">
        <x:v>0.317</x:v>
      </x:c>
      <x:c r="M88" s="68" t="str">
        <x:v>PASS</x:v>
      </x:c>
      <x:c r="N88" s="78" t="n">
        <x:f>IF(AND(ISNUMBER(I88),ISNUMBER(L88)),(L88-I88)*100,"")</x:f>
        <x:v>4.999999999999999</x:v>
      </x:c>
      <x:c r="O88" s="81" t="n">
        <x:f>IF(AND(ISNUMBER(H88),ISNUMBER(K88)),H88/K88,"")</x:f>
        <x:v>1.1877242843635438</x:v>
      </x:c>
    </x:row>
    <x:row r="89" ht="20" customHeight="1">
      <x:c r="A89" s="68" t="str">
        <x:v>256×512×7168</x:v>
      </x:c>
      <x:c r="B89" s="68" t="str">
        <x:v>FP8</x:v>
      </x:c>
      <x:c r="C89" s="71" t="n">
        <x:v>256</x:v>
      </x:c>
      <x:c r="D89" s="71" t="n">
        <x:v>512</x:v>
      </x:c>
      <x:c r="E89" s="71" t="n">
        <x:v>7168</x:v>
      </x:c>
      <x:c r="F89" s="71" t="n">
        <x:v>256</x:v>
      </x:c>
      <x:c r="G89" s="71" t="n">
        <x:v>128</x:v>
      </x:c>
      <x:c r="H89" s="71" t="n">
        <x:v>208047</x:v>
      </x:c>
      <x:c r="I89" s="74" t="n">
        <x:v>0.551</x:v>
      </x:c>
      <x:c r="J89" s="68" t="str">
        <x:v>PASS</x:v>
      </x:c>
      <x:c r="K89" s="71" t="n">
        <x:v>173304</x:v>
      </x:c>
      <x:c r="L89" s="74" t="n">
        <x:v>0.662</x:v>
      </x:c>
      <x:c r="M89" s="68" t="str">
        <x:v>PASS</x:v>
      </x:c>
      <x:c r="N89" s="78" t="n">
        <x:f>IF(AND(ISNUMBER(I89),ISNUMBER(L89)),(L89-I89)*100,"")</x:f>
        <x:v>11.099999999999998</x:v>
      </x:c>
      <x:c r="O89" s="81" t="n">
        <x:f>IF(AND(ISNUMBER(H89),ISNUMBER(K89)),H89/K89,"")</x:f>
        <x:v>1.2004743110372524</x:v>
      </x:c>
    </x:row>
    <x:row r="90" ht="20" customHeight="1">
      <x:c r="A90" s="68" t="str">
        <x:v>256×512×7168</x:v>
      </x:c>
      <x:c r="B90" s="68" t="str">
        <x:v>FP8</x:v>
      </x:c>
      <x:c r="C90" s="71" t="n">
        <x:v>256</x:v>
      </x:c>
      <x:c r="D90" s="71" t="n">
        <x:v>512</x:v>
      </x:c>
      <x:c r="E90" s="71" t="n">
        <x:v>7168</x:v>
      </x:c>
      <x:c r="F90" s="71" t="n">
        <x:v>256</x:v>
      </x:c>
      <x:c r="G90" s="71" t="n">
        <x:v>256</x:v>
      </x:c>
      <x:c r="H90" s="71" t="n">
        <x:v>139742</x:v>
      </x:c>
      <x:c r="I90" s="74" t="n">
        <x:v>0.821</x:v>
      </x:c>
      <x:c r="J90" s="68" t="str">
        <x:v>PASS</x:v>
      </x:c>
      <x:c r="K90" s="71" t="n">
        <x:v>117002</x:v>
      </x:c>
      <x:c r="L90" s="74" t="n">
        <x:v>0.98</x:v>
      </x:c>
      <x:c r="M90" s="68" t="str">
        <x:v>PASS</x:v>
      </x:c>
      <x:c r="N90" s="78" t="n">
        <x:f>IF(AND(ISNUMBER(I90),ISNUMBER(L90)),(L90-I90)*100,"")</x:f>
        <x:v>15.900000000000002</x:v>
      </x:c>
      <x:c r="O90" s="81" t="n">
        <x:f>IF(AND(ISNUMBER(H90),ISNUMBER(K90)),H90/K90,"")</x:f>
        <x:v>1.1943556520401362</x:v>
      </x:c>
    </x:row>
    <x:row r="91" ht="20" customHeight="1">
      <x:c r="A91" s="68" t="str">
        <x:v>256×512×7168</x:v>
      </x:c>
      <x:c r="B91" s="68" t="str">
        <x:v>MXFP4</x:v>
      </x:c>
      <x:c r="C91" s="71" t="n">
        <x:v>256</x:v>
      </x:c>
      <x:c r="D91" s="71" t="n">
        <x:v>512</x:v>
      </x:c>
      <x:c r="E91" s="71" t="n">
        <x:v>7168</x:v>
      </x:c>
      <x:c r="F91" s="71" t="n">
        <x:v>64</x:v>
      </x:c>
      <x:c r="G91" s="71" t="n">
        <x:v>64</x:v>
      </x:c>
      <x:c r="H91" s="71"/>
      <x:c r="I91" s="74"/>
      <x:c r="J91" s="68" t="str">
        <x:v>DEADLOCK</x:v>
      </x:c>
      <x:c r="K91" s="71" t="n">
        <x:v>546376</x:v>
      </x:c>
      <x:c r="L91" s="74" t="n">
        <x:v>0.105</x:v>
      </x:c>
      <x:c r="M91" s="68" t="str">
        <x:v>PASS</x:v>
      </x:c>
      <x:c r="N91" s="78" t="str">
        <x:f>IF(AND(ISNUMBER(I91),ISNUMBER(L91)),(L91-I91)*100,"")</x:f>
      </x:c>
      <x:c r="O91" s="81" t="str">
        <x:f>IF(AND(ISNUMBER(H91),ISNUMBER(K91)),H91/K91,"")</x:f>
      </x:c>
    </x:row>
    <x:row r="92" ht="20" customHeight="1">
      <x:c r="A92" s="68" t="str">
        <x:v>256×512×7168</x:v>
      </x:c>
      <x:c r="B92" s="68" t="str">
        <x:v>MXFP4</x:v>
      </x:c>
      <x:c r="C92" s="71" t="n">
        <x:v>256</x:v>
      </x:c>
      <x:c r="D92" s="71" t="n">
        <x:v>512</x:v>
      </x:c>
      <x:c r="E92" s="71" t="n">
        <x:v>7168</x:v>
      </x:c>
      <x:c r="F92" s="71" t="n">
        <x:v>64</x:v>
      </x:c>
      <x:c r="G92" s="71" t="n">
        <x:v>128</x:v>
      </x:c>
      <x:c r="H92" s="71"/>
      <x:c r="I92" s="74"/>
      <x:c r="J92" s="68" t="str">
        <x:v>DEADLOCK</x:v>
      </x:c>
      <x:c r="K92" s="71" t="n">
        <x:v>319822</x:v>
      </x:c>
      <x:c r="L92" s="74" t="n">
        <x:v>0.179</x:v>
      </x:c>
      <x:c r="M92" s="68" t="str">
        <x:v>PASS</x:v>
      </x:c>
      <x:c r="N92" s="78" t="str">
        <x:f>IF(AND(ISNUMBER(I92),ISNUMBER(L92)),(L92-I92)*100,"")</x:f>
      </x:c>
      <x:c r="O92" s="81" t="str">
        <x:f>IF(AND(ISNUMBER(H92),ISNUMBER(K92)),H92/K92,"")</x:f>
      </x:c>
    </x:row>
    <x:row r="93" ht="20" customHeight="1">
      <x:c r="A93" s="68" t="str">
        <x:v>256×512×7168</x:v>
      </x:c>
      <x:c r="B93" s="68" t="str">
        <x:v>MXFP4</x:v>
      </x:c>
      <x:c r="C93" s="71" t="n">
        <x:v>256</x:v>
      </x:c>
      <x:c r="D93" s="71" t="n">
        <x:v>512</x:v>
      </x:c>
      <x:c r="E93" s="71" t="n">
        <x:v>7168</x:v>
      </x:c>
      <x:c r="F93" s="71" t="n">
        <x:v>64</x:v>
      </x:c>
      <x:c r="G93" s="71" t="n">
        <x:v>256</x:v>
      </x:c>
      <x:c r="H93" s="71"/>
      <x:c r="I93" s="74"/>
      <x:c r="J93" s="68" t="str">
        <x:v>DEADLOCK</x:v>
      </x:c>
      <x:c r="K93" s="71" t="n">
        <x:v>235530</x:v>
      </x:c>
      <x:c r="L93" s="74" t="n">
        <x:v>0.243</x:v>
      </x:c>
      <x:c r="M93" s="68" t="str">
        <x:v>PASS</x:v>
      </x:c>
      <x:c r="N93" s="78" t="str">
        <x:f>IF(AND(ISNUMBER(I93),ISNUMBER(L93)),(L93-I93)*100,"")</x:f>
      </x:c>
      <x:c r="O93" s="81" t="str">
        <x:f>IF(AND(ISNUMBER(H93),ISNUMBER(K93)),H93/K93,"")</x:f>
      </x:c>
    </x:row>
    <x:row r="94" ht="20" customHeight="1">
      <x:c r="A94" s="68" t="str">
        <x:v>256×512×7168</x:v>
      </x:c>
      <x:c r="B94" s="68" t="str">
        <x:v>MXFP4</x:v>
      </x:c>
      <x:c r="C94" s="71" t="n">
        <x:v>256</x:v>
      </x:c>
      <x:c r="D94" s="71" t="n">
        <x:v>512</x:v>
      </x:c>
      <x:c r="E94" s="71" t="n">
        <x:v>7168</x:v>
      </x:c>
      <x:c r="F94" s="71" t="n">
        <x:v>128</x:v>
      </x:c>
      <x:c r="G94" s="71" t="n">
        <x:v>64</x:v>
      </x:c>
      <x:c r="H94" s="71"/>
      <x:c r="I94" s="74"/>
      <x:c r="J94" s="68" t="str">
        <x:v>DEADLOCK</x:v>
      </x:c>
      <x:c r="K94" s="71" t="n">
        <x:v>355123</x:v>
      </x:c>
      <x:c r="L94" s="74" t="n">
        <x:v>0.161</x:v>
      </x:c>
      <x:c r="M94" s="68" t="str">
        <x:v>PASS</x:v>
      </x:c>
      <x:c r="N94" s="78" t="str">
        <x:f>IF(AND(ISNUMBER(I94),ISNUMBER(L94)),(L94-I94)*100,"")</x:f>
      </x:c>
      <x:c r="O94" s="81" t="str">
        <x:f>IF(AND(ISNUMBER(H94),ISNUMBER(K94)),H94/K94,"")</x:f>
      </x:c>
    </x:row>
    <x:row r="95" ht="20" customHeight="1">
      <x:c r="A95" s="68" t="str">
        <x:v>256×512×7168</x:v>
      </x:c>
      <x:c r="B95" s="68" t="str">
        <x:v>MXFP4</x:v>
      </x:c>
      <x:c r="C95" s="71" t="n">
        <x:v>256</x:v>
      </x:c>
      <x:c r="D95" s="71" t="n">
        <x:v>512</x:v>
      </x:c>
      <x:c r="E95" s="71" t="n">
        <x:v>7168</x:v>
      </x:c>
      <x:c r="F95" s="71" t="n">
        <x:v>128</x:v>
      </x:c>
      <x:c r="G95" s="71" t="n">
        <x:v>128</x:v>
      </x:c>
      <x:c r="H95" s="71"/>
      <x:c r="I95" s="74"/>
      <x:c r="J95" s="68" t="str">
        <x:v>DEADLOCK</x:v>
      </x:c>
      <x:c r="K95" s="71"/>
      <x:c r="L95" s="74"/>
      <x:c r="M95" s="68" t="str">
        <x:v>DEADLOCK</x:v>
      </x:c>
      <x:c r="N95" s="78" t="str">
        <x:f>IF(AND(ISNUMBER(I95),ISNUMBER(L95)),(L95-I95)*100,"")</x:f>
      </x:c>
      <x:c r="O95" s="81" t="str">
        <x:f>IF(AND(ISNUMBER(H95),ISNUMBER(K95)),H95/K95,"")</x:f>
      </x:c>
    </x:row>
    <x:row r="96" ht="20" customHeight="1">
      <x:c r="A96" s="68" t="str">
        <x:v>256×512×7168</x:v>
      </x:c>
      <x:c r="B96" s="68" t="str">
        <x:v>MXFP4</x:v>
      </x:c>
      <x:c r="C96" s="71" t="n">
        <x:v>256</x:v>
      </x:c>
      <x:c r="D96" s="71" t="n">
        <x:v>512</x:v>
      </x:c>
      <x:c r="E96" s="71" t="n">
        <x:v>7168</x:v>
      </x:c>
      <x:c r="F96" s="71" t="n">
        <x:v>128</x:v>
      </x:c>
      <x:c r="G96" s="71" t="n">
        <x:v>256</x:v>
      </x:c>
      <x:c r="H96" s="71"/>
      <x:c r="I96" s="74"/>
      <x:c r="J96" s="68" t="str">
        <x:v>DEADLOCK</x:v>
      </x:c>
      <x:c r="K96" s="71"/>
      <x:c r="L96" s="74"/>
      <x:c r="M96" s="68" t="str">
        <x:v>DEADLOCK</x:v>
      </x:c>
      <x:c r="N96" s="78" t="str">
        <x:f>IF(AND(ISNUMBER(I96),ISNUMBER(L96)),(L96-I96)*100,"")</x:f>
      </x:c>
      <x:c r="O96" s="81" t="str">
        <x:f>IF(AND(ISNUMBER(H96),ISNUMBER(K96)),H96/K96,"")</x:f>
      </x:c>
    </x:row>
    <x:row r="97" ht="20" customHeight="1">
      <x:c r="A97" s="68" t="str">
        <x:v>256×512×7168</x:v>
      </x:c>
      <x:c r="B97" s="68" t="str">
        <x:v>MXFP4</x:v>
      </x:c>
      <x:c r="C97" s="71" t="n">
        <x:v>256</x:v>
      </x:c>
      <x:c r="D97" s="71" t="n">
        <x:v>512</x:v>
      </x:c>
      <x:c r="E97" s="71" t="n">
        <x:v>7168</x:v>
      </x:c>
      <x:c r="F97" s="71" t="n">
        <x:v>256</x:v>
      </x:c>
      <x:c r="G97" s="71" t="n">
        <x:v>64</x:v>
      </x:c>
      <x:c r="H97" s="71"/>
      <x:c r="I97" s="74"/>
      <x:c r="J97" s="68" t="str">
        <x:v>DEADLOCK</x:v>
      </x:c>
      <x:c r="K97" s="71" t="n">
        <x:v>359831</x:v>
      </x:c>
      <x:c r="L97" s="74" t="n">
        <x:v>0.159</x:v>
      </x:c>
      <x:c r="M97" s="68" t="str">
        <x:v>PASS</x:v>
      </x:c>
      <x:c r="N97" s="78" t="str">
        <x:f>IF(AND(ISNUMBER(I97),ISNUMBER(L97)),(L97-I97)*100,"")</x:f>
      </x:c>
      <x:c r="O97" s="81" t="str">
        <x:f>IF(AND(ISNUMBER(H97),ISNUMBER(K97)),H97/K97,"")</x:f>
      </x:c>
    </x:row>
    <x:row r="98" ht="20" customHeight="1">
      <x:c r="A98" s="68" t="str">
        <x:v>256×512×7168</x:v>
      </x:c>
      <x:c r="B98" s="68" t="str">
        <x:v>MXFP4</x:v>
      </x:c>
      <x:c r="C98" s="71" t="n">
        <x:v>256</x:v>
      </x:c>
      <x:c r="D98" s="71" t="n">
        <x:v>512</x:v>
      </x:c>
      <x:c r="E98" s="71" t="n">
        <x:v>7168</x:v>
      </x:c>
      <x:c r="F98" s="71" t="n">
        <x:v>256</x:v>
      </x:c>
      <x:c r="G98" s="71" t="n">
        <x:v>128</x:v>
      </x:c>
      <x:c r="H98" s="71" t="n">
        <x:v>229495</x:v>
      </x:c>
      <x:c r="I98" s="74" t="n">
        <x:v>0.25</x:v>
      </x:c>
      <x:c r="J98" s="68" t="str">
        <x:v>PASS</x:v>
      </x:c>
      <x:c r="K98" s="71" t="n">
        <x:v>285360</x:v>
      </x:c>
      <x:c r="L98" s="74" t="n">
        <x:v>0.201</x:v>
      </x:c>
      <x:c r="M98" s="68" t="str">
        <x:v>PASS</x:v>
      </x:c>
      <x:c r="N98" s="78" t="n">
        <x:f>IF(AND(ISNUMBER(I98),ISNUMBER(L98)),(L98-I98)*100,"")</x:f>
        <x:v>-4.899999999999999</x:v>
      </x:c>
      <x:c r="O98" s="81" t="n">
        <x:f>IF(AND(ISNUMBER(H98),ISNUMBER(K98)),H98/K98,"")</x:f>
        <x:v>0.8042297448836557</x:v>
      </x:c>
    </x:row>
    <x:row r="99" ht="20" customHeight="1">
      <x:c r="A99" s="68" t="str">
        <x:v>256×512×7168</x:v>
      </x:c>
      <x:c r="B99" s="68" t="str">
        <x:v>MXFP4</x:v>
      </x:c>
      <x:c r="C99" s="71" t="n">
        <x:v>256</x:v>
      </x:c>
      <x:c r="D99" s="71" t="n">
        <x:v>512</x:v>
      </x:c>
      <x:c r="E99" s="71" t="n">
        <x:v>7168</x:v>
      </x:c>
      <x:c r="F99" s="71" t="n">
        <x:v>256</x:v>
      </x:c>
      <x:c r="G99" s="71" t="n">
        <x:v>256</x:v>
      </x:c>
      <x:c r="H99" s="71" t="n">
        <x:v>170993</x:v>
      </x:c>
      <x:c r="I99" s="74" t="n">
        <x:v>0.335</x:v>
      </x:c>
      <x:c r="J99" s="68" t="str">
        <x:v>PASS</x:v>
      </x:c>
      <x:c r="K99" s="71" t="n">
        <x:v>245049</x:v>
      </x:c>
      <x:c r="L99" s="74" t="n">
        <x:v>0.23399999999999999</x:v>
      </x:c>
      <x:c r="M99" s="68" t="str">
        <x:v>PASS</x:v>
      </x:c>
      <x:c r="N99" s="78" t="n">
        <x:f>IF(AND(ISNUMBER(I99),ISNUMBER(L99)),(L99-I99)*100,"")</x:f>
        <x:v>-10.100000000000003</x:v>
      </x:c>
      <x:c r="O99" s="81" t="n">
        <x:f>IF(AND(ISNUMBER(H99),ISNUMBER(K99)),H99/K99,"")</x:f>
        <x:v>0.6977910540340911</x:v>
      </x:c>
    </x:row>
  </x:sheetData>
  <x:mergeCells>
    <x:mergeCell ref="A2:O2"/>
    <x:mergeCell ref="A3:O3"/>
  </x:mergeCells>
  <x:conditionalFormatting sqref="N6:N99">
    <x:cfRule type="expression" dxfId="2" priority="1">
      <x:formula>N6&gt;0</x:formula>
    </x:cfRule>
    <x:cfRule type="expression" dxfId="3" priority="2">
      <x:formula>N6&lt;0</x:formula>
    </x:cfRule>
  </x:conditionalFormatting>
  <x:conditionalFormatting sqref="J6:J99">
    <x:cfRule type="containsText" dxfId="4" priority="3" operator="containsText" text="PASS"/>
    <x:cfRule type="containsText" dxfId="5" priority="4" operator="containsText" text="FAIL"/>
    <x:cfRule type="containsText" dxfId="6" priority="5" operator="containsText" text="DEADLOCK"/>
  </x:conditionalFormatting>
  <x:conditionalFormatting sqref="M6:M99">
    <x:cfRule type="containsText" dxfId="7" priority="6" operator="containsText" text="PASS"/>
    <x:cfRule type="containsText" dxfId="8" priority="7" operator="containsText" text="FAIL"/>
    <x:cfRule type="containsText" dxfId="9" priority="8" operator="containsText" text="DEADLOCK"/>
  </x:conditionalFormatting>
  <x:pageMargins left="0.7" right="0.7" top="0.75" bottom="0.75" header="0.3" footer="0.3"/>
  <x:tableParts count="1">
    <x:tablePart xmlns:r="http://schemas.openxmlformats.org/officeDocument/2006/relationships" r:id="Rebbf152a835c442e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24" hidden="0" customWidth="1"/>
    <x:col min="4" max="4" width="15" hidden="0" customWidth="1"/>
    <x:col min="5" max="5" width="15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</x:cols>
  <x:sheetData>
    <x:row r="2">
      <x:c r="A2" s="2" t="str">
        <x:v>Matmul blockM=2 vs 原始实现：最佳 PMU 对比</x:v>
      </x:c>
    </x:row>
    <x:row r="3">
      <x:c r="A3" s="3" t="str">
        <x:v>不同 MNK shape 使用不同底色；绿色 PMU 单元格表示该 shape 跨 dtype、tile 和实现策略的最高值。</x:v>
      </x:c>
    </x:row>
    <x:row r="5" ht="34" customHeight="1">
      <x:c r="A5" s="15" t="str">
        <x:v>MNK shape</x:v>
      </x:c>
      <x:c r="B5" s="16" t="str">
        <x:v>dtype</x:v>
      </x:c>
      <x:c r="C5" s="16" t="str">
        <x:v>原始最优 tile</x:v>
      </x:c>
      <x:c r="D5" s="16" t="str">
        <x:v>原始 cycles</x:v>
      </x:c>
      <x:c r="E5" s="16" t="str">
        <x:v>原始 PMU</x:v>
      </x:c>
      <x:c r="F5" s="16" t="str">
        <x:v>blockM=2 最优 tile</x:v>
      </x:c>
      <x:c r="G5" s="16" t="str">
        <x:v>blockM=2 cycles</x:v>
      </x:c>
      <x:c r="H5" s="16" t="str">
        <x:v>blockM=2 PMU</x:v>
      </x:c>
      <x:c r="I5" s="16" t="str">
        <x:v>PMU Δ (pp)</x:v>
      </x:c>
      <x:c r="J5" s="16" t="str">
        <x:v>Cycle speedup</x:v>
      </x:c>
      <x:c r="K5" s="17" t="str">
        <x:v>结论</x:v>
      </x:c>
    </x:row>
    <x:row r="6" ht="27" customHeight="1">
      <x:c r="A6" s="56" t="str">
        <x:v>2048×256×2048</x:v>
      </x:c>
      <x:c r="B6" s="56" t="str">
        <x:v>BF16</x:v>
      </x:c>
      <x:c r="C6" s="62" t="str">
        <x:v>tN=256, tK=128</x:v>
      </x:c>
      <x:c r="D6" s="41" t="n">
        <x:v>273135</x:v>
      </x:c>
      <x:c r="E6" s="42" t="n">
        <x:v>0.96</x:v>
      </x:c>
      <x:c r="F6" s="62" t="str">
        <x:v>tN=256, tK=128</x:v>
      </x:c>
      <x:c r="G6" s="41" t="n">
        <x:v>264446</x:v>
      </x:c>
      <x:c r="H6" s="42" t="n">
        <x:v>0.991</x:v>
      </x:c>
      <x:c r="I6" s="43" t="n">
        <x:f>IF(AND(ISNUMBER(E6),ISNUMBER(H6)),(H6-E6)*100,"")</x:f>
        <x:v>3.1000000000000028</x:v>
      </x:c>
      <x:c r="J6" s="44" t="n">
        <x:f>IF(AND(ISNUMBER(D6),ISNUMBER(G6)),D6/G6,"")</x:f>
        <x:v>1.0328573697465646</x:v>
      </x:c>
      <x:c r="K6" s="62" t="str">
        <x:f>IF(AND(ISNUMBER(D6),ISNUMBER(G6)),IF(J6&gt;=1,"blockM=2 更快","blockM=2 更慢"),"原始不可运行")</x:f>
        <x:v>blockM=2 更快</x:v>
      </x:c>
    </x:row>
    <x:row r="7" ht="27" customHeight="1">
      <x:c r="A7" s="56" t="str">
        <x:v>2048×256×2048</x:v>
      </x:c>
      <x:c r="B7" s="56" t="str">
        <x:v>FP32</x:v>
      </x:c>
      <x:c r="C7" s="62" t="str">
        <x:v>tN=256, tK=64</x:v>
      </x:c>
      <x:c r="D7" s="41" t="n">
        <x:v>606399</x:v>
      </x:c>
      <x:c r="E7" s="42" t="n">
        <x:v>0.865</x:v>
      </x:c>
      <x:c r="F7" s="62" t="str">
        <x:v>tN=256, tK=64</x:v>
      </x:c>
      <x:c r="G7" s="41" t="n">
        <x:v>526590</x:v>
      </x:c>
      <x:c r="H7" s="45" t="n">
        <x:v>0.996</x:v>
      </x:c>
      <x:c r="I7" s="43" t="n">
        <x:f>IF(AND(ISNUMBER(E7),ISNUMBER(H7)),(H7-E7)*100,"")</x:f>
        <x:v>13.100000000000001</x:v>
      </x:c>
      <x:c r="J7" s="44" t="n">
        <x:f>IF(AND(ISNUMBER(D7),ISNUMBER(G7)),D7/G7,"")</x:f>
        <x:v>1.1515581382099926</x:v>
      </x:c>
      <x:c r="K7" s="62" t="str">
        <x:f>IF(AND(ISNUMBER(D7),ISNUMBER(G7)),IF(J7&gt;=1,"blockM=2 更快","blockM=2 更慢"),"原始不可运行")</x:f>
        <x:v>blockM=2 更快</x:v>
      </x:c>
    </x:row>
    <x:row r="8" ht="27" customHeight="1">
      <x:c r="A8" s="56" t="str">
        <x:v>2048×256×2048</x:v>
      </x:c>
      <x:c r="B8" s="56" t="str">
        <x:v>FP8</x:v>
      </x:c>
      <x:c r="C8" s="62" t="str">
        <x:v>tN=256, tK=256</x:v>
      </x:c>
      <x:c r="D8" s="41" t="n">
        <x:v>134790</x:v>
      </x:c>
      <x:c r="E8" s="42" t="n">
        <x:v>0.972</x:v>
      </x:c>
      <x:c r="F8" s="62" t="str">
        <x:v>tN=256, tK=256</x:v>
      </x:c>
      <x:c r="G8" s="41" t="n">
        <x:v>133382</x:v>
      </x:c>
      <x:c r="H8" s="42" t="n">
        <x:v>0.983</x:v>
      </x:c>
      <x:c r="I8" s="43" t="n">
        <x:f>IF(AND(ISNUMBER(E8),ISNUMBER(H8)),(H8-E8)*100,"")</x:f>
        <x:v>1.100000000000001</x:v>
      </x:c>
      <x:c r="J8" s="44" t="n">
        <x:f>IF(AND(ISNUMBER(D8),ISNUMBER(G8)),D8/G8,"")</x:f>
        <x:v>1.0105561470063427</x:v>
      </x:c>
      <x:c r="K8" s="62" t="str">
        <x:f>IF(AND(ISNUMBER(D8),ISNUMBER(G8)),IF(J8&gt;=1,"blockM=2 更快","blockM=2 更慢"),"原始不可运行")</x:f>
        <x:v>blockM=2 更快</x:v>
      </x:c>
    </x:row>
    <x:row r="9" ht="27" customHeight="1">
      <x:c r="A9" s="56" t="str">
        <x:v>2048×256×2048</x:v>
      </x:c>
      <x:c r="B9" s="56" t="str">
        <x:v>MXFP4</x:v>
      </x:c>
      <x:c r="C9" s="62" t="str"/>
      <x:c r="D9" s="41"/>
      <x:c r="E9" s="42"/>
      <x:c r="F9" s="62" t="str">
        <x:v>tN=128, tK=128</x:v>
      </x:c>
      <x:c r="G9" s="41" t="n">
        <x:v>201155</x:v>
      </x:c>
      <x:c r="H9" s="42" t="n">
        <x:v>0.326</x:v>
      </x:c>
      <x:c r="I9" s="43" t="str">
        <x:f>IF(AND(ISNUMBER(E9),ISNUMBER(H9)),(H9-E9)*100,"")</x:f>
      </x:c>
      <x:c r="J9" s="44" t="str">
        <x:f>IF(AND(ISNUMBER(D9),ISNUMBER(G9)),D9/G9,"")</x:f>
      </x:c>
      <x:c r="K9" s="62" t="str">
        <x:f>IF(AND(ISNUMBER(D9),ISNUMBER(G9)),IF(J9&gt;=1,"blockM=2 更快","blockM=2 更慢"),"原始不可运行")</x:f>
        <x:v>原始不可运行</x:v>
      </x:c>
    </x:row>
    <x:row r="10" ht="27" customHeight="1">
      <x:c r="A10" s="57" t="str">
        <x:v>2048×128×1024</x:v>
      </x:c>
      <x:c r="B10" s="57" t="str">
        <x:v>BF16</x:v>
      </x:c>
      <x:c r="C10" s="63" t="str">
        <x:v>tN=128, tK=256</x:v>
      </x:c>
      <x:c r="D10" s="47" t="n">
        <x:v>75706</x:v>
      </x:c>
      <x:c r="E10" s="48" t="n">
        <x:v>0.866</x:v>
      </x:c>
      <x:c r="F10" s="63" t="str">
        <x:v>tN=128, tK=128</x:v>
      </x:c>
      <x:c r="G10" s="47" t="n">
        <x:v>67198</x:v>
      </x:c>
      <x:c r="H10" s="48" t="n">
        <x:v>0.975</x:v>
      </x:c>
      <x:c r="I10" s="49" t="n">
        <x:f>IF(AND(ISNUMBER(E10),ISNUMBER(H10)),(H10-E10)*100,"")</x:f>
        <x:v>10.899999999999999</x:v>
      </x:c>
      <x:c r="J10" s="50" t="n">
        <x:f>IF(AND(ISNUMBER(D10),ISNUMBER(G10)),D10/G10,"")</x:f>
        <x:v>1.126610911039019</x:v>
      </x:c>
      <x:c r="K10" s="63" t="str">
        <x:f>IF(AND(ISNUMBER(D10),ISNUMBER(G10)),IF(J10&gt;=1,"blockM=2 更快","blockM=2 更慢"),"原始不可运行")</x:f>
        <x:v>blockM=2 更快</x:v>
      </x:c>
    </x:row>
    <x:row r="11" ht="27" customHeight="1">
      <x:c r="A11" s="57" t="str">
        <x:v>2048×128×1024</x:v>
      </x:c>
      <x:c r="B11" s="57" t="str">
        <x:v>FP32</x:v>
      </x:c>
      <x:c r="C11" s="63" t="str">
        <x:v>tN=128, tK=128</x:v>
      </x:c>
      <x:c r="D11" s="47" t="n">
        <x:v>144407</x:v>
      </x:c>
      <x:c r="E11" s="48" t="n">
        <x:v>0.9079999999999999</x:v>
      </x:c>
      <x:c r="F11" s="63" t="str">
        <x:v>tN=128, tK=64</x:v>
      </x:c>
      <x:c r="G11" s="47" t="n">
        <x:v>132734</x:v>
      </x:c>
      <x:c r="H11" s="45" t="n">
        <x:v>0.987</x:v>
      </x:c>
      <x:c r="I11" s="49" t="n">
        <x:f>IF(AND(ISNUMBER(E11),ISNUMBER(H11)),(H11-E11)*100,"")</x:f>
        <x:v>7.9000000000000075</x:v>
      </x:c>
      <x:c r="J11" s="50" t="n">
        <x:f>IF(AND(ISNUMBER(D11),ISNUMBER(G11)),D11/G11,"")</x:f>
        <x:v>1.0879428028990312</x:v>
      </x:c>
      <x:c r="K11" s="63" t="str">
        <x:f>IF(AND(ISNUMBER(D11),ISNUMBER(G11)),IF(J11&gt;=1,"blockM=2 更快","blockM=2 更慢"),"原始不可运行")</x:f>
        <x:v>blockM=2 更快</x:v>
      </x:c>
    </x:row>
    <x:row r="12" ht="27" customHeight="1">
      <x:c r="A12" s="57" t="str">
        <x:v>2048×128×1024</x:v>
      </x:c>
      <x:c r="B12" s="57" t="str">
        <x:v>FP8</x:v>
      </x:c>
      <x:c r="C12" s="63" t="str">
        <x:v>tN=128, tK=256</x:v>
      </x:c>
      <x:c r="D12" s="47" t="n">
        <x:v>40751</x:v>
      </x:c>
      <x:c r="E12" s="48" t="n">
        <x:v>0.804</x:v>
      </x:c>
      <x:c r="F12" s="63" t="str">
        <x:v>tN=128, tK=256</x:v>
      </x:c>
      <x:c r="G12" s="47" t="n">
        <x:v>34439</x:v>
      </x:c>
      <x:c r="H12" s="48" t="n">
        <x:v>0.951</x:v>
      </x:c>
      <x:c r="I12" s="49" t="n">
        <x:f>IF(AND(ISNUMBER(E12),ISNUMBER(H12)),(H12-E12)*100,"")</x:f>
        <x:v>14.69999999999999</x:v>
      </x:c>
      <x:c r="J12" s="50" t="n">
        <x:f>IF(AND(ISNUMBER(D12),ISNUMBER(G12)),D12/G12,"")</x:f>
        <x:v>1.183280583059903</x:v>
      </x:c>
      <x:c r="K12" s="63" t="str">
        <x:f>IF(AND(ISNUMBER(D12),ISNUMBER(G12)),IF(J12&gt;=1,"blockM=2 更快","blockM=2 更慢"),"原始不可运行")</x:f>
        <x:v>blockM=2 更快</x:v>
      </x:c>
    </x:row>
    <x:row r="13" ht="27" customHeight="1">
      <x:c r="A13" s="57" t="str">
        <x:v>2048×128×1024</x:v>
      </x:c>
      <x:c r="B13" s="57" t="str">
        <x:v>MXFP4</x:v>
      </x:c>
      <x:c r="C13" s="63" t="str">
        <x:v>tN=128, tK=128</x:v>
      </x:c>
      <x:c r="D13" s="47" t="n">
        <x:v>55511</x:v>
      </x:c>
      <x:c r="E13" s="48" t="n">
        <x:v>0.295</x:v>
      </x:c>
      <x:c r="F13" s="63" t="str">
        <x:v>tN=128, tK=256</x:v>
      </x:c>
      <x:c r="G13" s="47" t="n">
        <x:v>47315</x:v>
      </x:c>
      <x:c r="H13" s="48" t="n">
        <x:v>0.34600000000000003</x:v>
      </x:c>
      <x:c r="I13" s="49" t="n">
        <x:f>IF(AND(ISNUMBER(E13),ISNUMBER(H13)),(H13-E13)*100,"")</x:f>
        <x:v>5.100000000000005</x:v>
      </x:c>
      <x:c r="J13" s="50" t="n">
        <x:f>IF(AND(ISNUMBER(D13),ISNUMBER(G13)),D13/G13,"")</x:f>
        <x:v>1.1732220226143928</x:v>
      </x:c>
      <x:c r="K13" s="63" t="str">
        <x:f>IF(AND(ISNUMBER(D13),ISNUMBER(G13)),IF(J13&gt;=1,"blockM=2 更快","blockM=2 更慢"),"原始不可运行")</x:f>
        <x:v>blockM=2 更快</x:v>
      </x:c>
    </x:row>
    <x:row r="14" ht="27" customHeight="1">
      <x:c r="A14" s="58" t="str">
        <x:v>256×512×7168</x:v>
      </x:c>
      <x:c r="B14" s="58" t="str">
        <x:v>BF16</x:v>
      </x:c>
      <x:c r="C14" s="64" t="str">
        <x:v>tN=256, tK=128</x:v>
      </x:c>
      <x:c r="D14" s="52" t="n">
        <x:v>287087</x:v>
      </x:c>
      <x:c r="E14" s="53" t="n">
        <x:v>0.799</x:v>
      </x:c>
      <x:c r="F14" s="64" t="str">
        <x:v>tN=128, tK=128</x:v>
      </x:c>
      <x:c r="G14" s="52" t="n">
        <x:v>231042</x:v>
      </x:c>
      <x:c r="H14" s="53" t="n">
        <x:v>0.993</x:v>
      </x:c>
      <x:c r="I14" s="54" t="n">
        <x:f>IF(AND(ISNUMBER(E14),ISNUMBER(H14)),(H14-E14)*100,"")</x:f>
        <x:v>19.399999999999995</x:v>
      </x:c>
      <x:c r="J14" s="55" t="n">
        <x:f>IF(AND(ISNUMBER(D14),ISNUMBER(G14)),D14/G14,"")</x:f>
        <x:v>1.2425749430839415</x:v>
      </x:c>
      <x:c r="K14" s="64" t="str">
        <x:f>IF(AND(ISNUMBER(D14),ISNUMBER(G14)),IF(J14&gt;=1,"blockM=2 更快","blockM=2 更慢"),"原始不可运行")</x:f>
        <x:v>blockM=2 更快</x:v>
      </x:c>
    </x:row>
    <x:row r="15" ht="27" customHeight="1">
      <x:c r="A15" s="58" t="str">
        <x:v>256×512×7168</x:v>
      </x:c>
      <x:c r="B15" s="58" t="str">
        <x:v>FP32</x:v>
      </x:c>
      <x:c r="C15" s="64" t="str">
        <x:v>tN=256, tK=128</x:v>
      </x:c>
      <x:c r="D15" s="52" t="n">
        <x:v>567269</x:v>
      </x:c>
      <x:c r="E15" s="53" t="n">
        <x:v>0.809</x:v>
      </x:c>
      <x:c r="F15" s="64" t="str">
        <x:v>tN=128, tK=128</x:v>
      </x:c>
      <x:c r="G15" s="52" t="n">
        <x:v>461378</x:v>
      </x:c>
      <x:c r="H15" s="45" t="n">
        <x:v>0.9940000000000001</x:v>
      </x:c>
      <x:c r="I15" s="54" t="n">
        <x:f>IF(AND(ISNUMBER(E15),ISNUMBER(H15)),(H15-E15)*100,"")</x:f>
        <x:v>18.500000000000007</x:v>
      </x:c>
      <x:c r="J15" s="55" t="n">
        <x:f>IF(AND(ISNUMBER(D15),ISNUMBER(G15)),D15/G15,"")</x:f>
        <x:v>1.2295102930785604</x:v>
      </x:c>
      <x:c r="K15" s="64" t="str">
        <x:f>IF(AND(ISNUMBER(D15),ISNUMBER(G15)),IF(J15&gt;=1,"blockM=2 更快","blockM=2 更慢"),"原始不可运行")</x:f>
        <x:v>blockM=2 更快</x:v>
      </x:c>
    </x:row>
    <x:row r="16" ht="27" customHeight="1">
      <x:c r="A16" s="58" t="str">
        <x:v>256×512×7168</x:v>
      </x:c>
      <x:c r="B16" s="58" t="str">
        <x:v>FP8</x:v>
      </x:c>
      <x:c r="C16" s="64" t="str">
        <x:v>tN=256, tK=256</x:v>
      </x:c>
      <x:c r="D16" s="52" t="n">
        <x:v>139742</x:v>
      </x:c>
      <x:c r="E16" s="53" t="n">
        <x:v>0.821</x:v>
      </x:c>
      <x:c r="F16" s="64" t="str">
        <x:v>tN=128, tK=256</x:v>
      </x:c>
      <x:c r="G16" s="52" t="n">
        <x:v>116362</x:v>
      </x:c>
      <x:c r="H16" s="53" t="n">
        <x:v>0.986</x:v>
      </x:c>
      <x:c r="I16" s="54" t="n">
        <x:f>IF(AND(ISNUMBER(E16),ISNUMBER(H16)),(H16-E16)*100,"")</x:f>
        <x:v>16.500000000000004</x:v>
      </x:c>
      <x:c r="J16" s="55" t="n">
        <x:f>IF(AND(ISNUMBER(D16),ISNUMBER(G16)),D16/G16,"")</x:f>
        <x:v>1.2009247005036008</x:v>
      </x:c>
      <x:c r="K16" s="64" t="str">
        <x:f>IF(AND(ISNUMBER(D16),ISNUMBER(G16)),IF(J16&gt;=1,"blockM=2 更快","blockM=2 更慢"),"原始不可运行")</x:f>
        <x:v>blockM=2 更快</x:v>
      </x:c>
    </x:row>
    <x:row r="17" ht="27" customHeight="1">
      <x:c r="A17" s="58" t="str">
        <x:v>256×512×7168</x:v>
      </x:c>
      <x:c r="B17" s="58" t="str">
        <x:v>MXFP4</x:v>
      </x:c>
      <x:c r="C17" s="64" t="str">
        <x:v>tN=256, tK=256</x:v>
      </x:c>
      <x:c r="D17" s="52" t="n">
        <x:v>170993</x:v>
      </x:c>
      <x:c r="E17" s="53" t="n">
        <x:v>0.335</x:v>
      </x:c>
      <x:c r="F17" s="64" t="str">
        <x:v>tN=64, tK=256</x:v>
      </x:c>
      <x:c r="G17" s="52" t="n">
        <x:v>235530</x:v>
      </x:c>
      <x:c r="H17" s="53" t="n">
        <x:v>0.243</x:v>
      </x:c>
      <x:c r="I17" s="54" t="n">
        <x:f>IF(AND(ISNUMBER(E17),ISNUMBER(H17)),(H17-E17)*100,"")</x:f>
        <x:v>-9.200000000000003</x:v>
      </x:c>
      <x:c r="J17" s="55" t="n">
        <x:f>IF(AND(ISNUMBER(D17),ISNUMBER(G17)),D17/G17,"")</x:f>
        <x:v>0.7259924425763172</x:v>
      </x:c>
      <x:c r="K17" s="64" t="str">
        <x:f>IF(AND(ISNUMBER(D17),ISNUMBER(G17)),IF(J17&gt;=1,"blockM=2 更快","blockM=2 更慢"),"原始不可运行")</x:f>
        <x:v>blockM=2 更慢</x:v>
      </x:c>
    </x:row>
  </x:sheetData>
  <x:mergeCells>
    <x:mergeCell ref="A2:K2"/>
    <x:mergeCell ref="A3:K3"/>
  </x:mergeCells>
  <x:conditionalFormatting sqref="I6:I17">
    <x:cfRule type="expression" dxfId="0" priority="1">
      <x:formula>I6&gt;0</x:formula>
    </x:cfRule>
    <x:cfRule type="expression" dxfId="1" priority="2">
      <x:formula>I6&lt;0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a239e0baa341e3"/>
  </x:tableParts>
</x:worksheet>
</file>