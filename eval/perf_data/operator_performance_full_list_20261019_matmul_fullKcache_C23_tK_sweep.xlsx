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04869de53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down完整列表" sheetId="1" r:id="Ra55c6f2844614778"/>
    <x:sheet xmlns:r="http://schemas.openxmlformats.org/officeDocument/2006/relationships" name="FA_FP8_BF16_Tk择优" sheetId="3" r:id="R7dab48781dd445c9"/>
    <x:sheet xmlns:r="http://schemas.openxmlformats.org/officeDocument/2006/relationships" name="Matmul原始数据" sheetId="4" r:id="R77935ba99bc44502"/>
    <x:sheet xmlns:r="http://schemas.openxmlformats.org/officeDocument/2006/relationships" name="FA原始数据" sheetId="5" r:id="Rc697bd345b6f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%"/>
    <x:numFmt numFmtId="202" formatCode="#,##0"/>
    <x:numFmt numFmtId="203" formatCode="0.000"/>
    <x:numFmt numFmtId="204" formatCode="0.00&quot;x&quot;"/>
    <x:numFmt numFmtId="205" formatCode="0.0"/>
  </x:numFmts>
  <x:fonts count="52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i/>
      <x:sz val="10"/>
      <x:color rgb="FF666666"/>
      <x:name val="Arial"/>
    </x:font>
    <x:font>
      <x:b/>
      <x:sz val="10"/>
      <x:color rgb="FF375623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C00000"/>
      <x:name val="Arial"/>
    </x:font>
    <x:font>
      <x:b/>
      <x:sz val="10"/>
      <x:color rgb="FF7F7F7F"/>
      <x:name val="Arial"/>
    </x:font>
    <x:font>
      <x:b/>
      <x:sz val="10"/>
      <x:color rgb="FF333333"/>
      <x:name val="Arial"/>
    </x:font>
    <x:font>
      <x:sz val="10"/>
      <x:color rgb="FF444444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222222"/>
      <x:name val="Arial"/>
    </x:font>
    <x:font>
      <x:i/>
      <x:sz val="10"/>
      <x:color rgb="FF666666"/>
      <x:name val="Arial"/>
    </x:font>
    <x:font>
      <x:b/>
      <x:i/>
      <x:sz val="10"/>
      <x:color rgb="FF7F7F7F"/>
      <x:name val="Arial"/>
    </x:font>
    <x:font>
      <x:b/>
      <x:sz val="9"/>
      <x:color rgb="FFFFFFFF"/>
      <x:name val="Arial"/>
    </x:font>
    <x:font>
      <x:sz val="10"/>
      <x:color rgb="FF333333"/>
      <x:name val="Arial"/>
    </x:font>
    <x:font>
      <x:i/>
      <x:sz val="9"/>
      <x:color rgb="FF666666"/>
      <x:name val="Arial"/>
    </x:font>
    <x:font>
      <x:b/>
      <x:sz val="10"/>
      <x:color rgb="FF9C0006"/>
      <x:name val="Arial"/>
    </x:font>
    <x:font>
      <x:sz val="11"/>
      <x:color rgb="FF222222"/>
      <x:name val="Arial"/>
    </x:font>
    <x:font>
      <x:b/>
      <x:sz val="14"/>
      <x:color rgb="FF222222"/>
      <x:name val="Arial"/>
    </x:font>
    <x:font>
      <x:i/>
      <x:sz val="10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Arial"/>
    </x:font>
    <x:font>
      <x:b/>
      <x:i/>
      <x:sz val="10"/>
      <x:color rgb="FF222222"/>
      <x:name val="Arial"/>
    </x:font>
    <x:font>
      <x:i/>
      <x:sz val="9"/>
      <x:color rgb="FF222222"/>
      <x:name val="Arial"/>
    </x:font>
    <x:font>
      <x:b/>
      <x:i/>
      <x:sz val="9"/>
      <x:color rgb="FF222222"/>
      <x:name val="Arial"/>
    </x:font>
    <x:font>
      <x:b/>
      <x:sz val="9"/>
      <x:color rgb="FF375623"/>
      <x:name val="Arial"/>
    </x:font>
    <x:font>
      <x:b/>
      <x:sz val="9"/>
      <x:color rgb="FF9C0006"/>
      <x:name val="Arial"/>
    </x:font>
    <x:font>
      <x:sz val="9"/>
      <x:color rgb="FF375623"/>
      <x:name val="Arial"/>
    </x:font>
    <x:font>
      <x:sz val="9"/>
      <x:color rgb="FF333333"/>
      <x:name val="Arial"/>
    </x:font>
    <x:font>
      <x:sz val="9"/>
      <x:color rgb="FFC00000"/>
      <x:name val="Arial"/>
    </x:font>
    <x:font>
      <x:sz val="9"/>
      <x:color rgb="FF375623"/>
      <x:name val="Arial"/>
    </x:font>
    <x:font>
      <x:b/>
      <x:sz val="9"/>
      <x:color rgb="FF333333"/>
      <x:name val="Arial"/>
    </x:font>
    <x:font>
      <x:b/>
      <x:sz val="9"/>
      <x:color rgb="FF9C5700"/>
      <x:name val="Arial"/>
    </x:font>
    <x:font>
      <x:sz val="9"/>
      <x:color rgb="FF222222"/>
      <x:name val="Arial"/>
    </x:font>
    <x:font>
      <x:sz val="9"/>
      <x:color rgb="FF333333"/>
      <x:name val="Arial"/>
    </x:font>
    <x:font>
      <x:sz val="9"/>
      <x:color rgb="FF375623"/>
      <x:name val="Arial"/>
    </x:font>
    <x:font>
      <x:sz val="9"/>
      <x:color rgb="FFC00000"/>
      <x:name val="Arial"/>
    </x:font>
    <x:font>
      <x:sz val="11"/>
      <x:name val="Carlito"/>
    </x:font>
    <x:font>
      <x:sz val="11"/>
      <x:color rgb="FF333333"/>
      <x:name val="Carlito"/>
    </x:font>
    <x:font>
      <x:sz val="10"/>
      <x:name val="Arial"/>
    </x:font>
    <x:font>
      <x:sz val="9"/>
      <x:color rgb="FF222222"/>
      <x:name val="Arial"/>
    </x:font>
    <x:font>
      <x:sz val="10"/>
      <x:color rgb="FF0563C1"/>
      <x:name val="Arial"/>
    </x:font>
    <x:font>
      <x:sz val="11"/>
      <x:color rgb="FF000000"/>
      <x:name val="Carlito"/>
    </x:font>
    <x:font>
      <x:sz val="9"/>
      <x:color rgb="FF222222"/>
      <x:name val="Arial"/>
    </x:font>
    <x:font>
      <x:sz val="10"/>
      <x:color rgb="FF000000"/>
      <x:name val="Arial"/>
    </x:font>
    <x:font>
      <x:b/>
      <x:sz val="9"/>
      <x:color rgb="FFC00000"/>
      <x:name val="Arial"/>
    </x:font>
  </x:fonts>
  <x:fills count="6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C6E0B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000"/>
      </x:patternFill>
    </x:fill>
    <x:fill>
      <x:patternFill patternType="solid">
        <x:fgColor rgb="FFBF9000"/>
      </x:patternFill>
    </x:fill>
    <x:fill>
      <x:patternFill patternType="solid">
        <x:fgColor rgb="FF0F6B78"/>
      </x:patternFill>
    </x:fill>
    <x:fill>
      <x:patternFill patternType="solid">
        <x:fgColor rgb="FF2F9EAA"/>
      </x:patternFill>
    </x:fill>
    <x:fill>
      <x:patternFill patternType="solid">
        <x:fgColor rgb="FF5B4B8A"/>
      </x:patternFill>
    </x:fill>
    <x:fill>
      <x:patternFill patternType="solid">
        <x:fgColor rgb="FF8064A2"/>
      </x:patternFill>
    </x:fill>
    <x:fill>
      <x:patternFill patternType="solid">
        <x:fgColor rgb="FF375623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E4DFEC"/>
      </x:patternFill>
    </x:fill>
    <x:fill>
      <x:patternFill patternType="solid">
        <x:fgColor rgb="FF375623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C6E0B4"/>
      </x:patternFill>
    </x:fill>
    <x:fill>
      <x:patternFill patternType="solid">
        <x:fgColor rgb="FFE4DFEC"/>
      </x:patternFill>
    </x:fill>
    <x:fill>
      <x:patternFill patternType="solid">
        <x:fgColor rgb="FFC6E0B4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/>
      <x:top/>
      <x:bottom style="thin">
        <x:color rgb="FFD9EAF7"/>
      </x:bottom>
      <x:diagonal/>
    </x:border>
    <x:border>
      <x:left/>
      <x:right/>
      <x:top style="thin">
        <x:color rgb="FFD9EAF7"/>
      </x:top>
      <x:bottom style="thin">
        <x:color rgb="FFD9EAF7"/>
      </x:bottom>
      <x:diagonal/>
    </x:border>
    <x:border>
      <x:left/>
      <x:right/>
      <x:top style="thin">
        <x:color rgb="FFD9EAF7"/>
      </x:top>
      <x:bottom/>
      <x:diagonal/>
    </x:border>
    <x:border>
      <x:left/>
      <x:right/>
      <x:top style="thin">
        <x:color rgb="FFD9EAF7"/>
      </x:top>
      <x:bottom style="thin">
        <x:color rgb="FFB8C7D1"/>
      </x:bottom>
      <x:diagonal/>
    </x:border>
    <x:border>
      <x:left/>
      <x:right/>
      <x:top style="thin">
        <x:color rgb="FF17365D"/>
      </x:top>
      <x:bottom style="thin">
        <x:color rgb="FFD9EAF7"/>
      </x:bottom>
      <x:diagonal/>
    </x:border>
    <x:border>
      <x:left/>
      <x:right/>
      <x:top style="thin">
        <x:color rgb="FF17365D"/>
      </x:top>
      <x:bottom style="thin">
        <x:color rgb="FFAAB7C4"/>
      </x:bottom>
      <x:diagonal/>
    </x:border>
    <x:border>
      <x:left/>
      <x:right/>
      <x:top/>
      <x:bottom style="thin">
        <x:color rgb="FFAAB7C4"/>
      </x:bottom>
      <x:diagonal/>
    </x:border>
    <x:border>
      <x:left/>
      <x:right/>
      <x:top style="thin">
        <x:color rgb="FFD9EAF7"/>
      </x:top>
      <x:bottom style="thin">
        <x:color rgb="FFAAB7C4"/>
      </x:bottom>
      <x:diagonal/>
    </x:border>
  </x:borders>
  <x:cellStyleXfs count="1">
    <x:xf numFmtId="0" fontId="0" fillId="0" borderId="0"/>
  </x:cellStyleXfs>
  <x:cellXfs count="143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1" fontId="8" fillId="7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202" fontId="8" fillId="7" borderId="0" xfId="0" applyNumberFormat="1" applyFont="1" applyFill="1" applyBorder="1" applyAlignment="1">
      <x:alignment vertical="center" wrapText="1"/>
    </x:xf>
    <x:xf numFmtId="203" fontId="8" fillId="2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8" fillId="7" borderId="0" xfId="0" applyNumberFormat="1" applyFont="1" applyFill="1" applyBorder="1" applyAlignment="1">
      <x:alignment vertical="center" wrapText="1"/>
    </x:xf>
    <x:xf numFmtId="204" fontId="8" fillId="2" borderId="0" xfId="0" applyNumberFormat="1" applyFont="1" applyFill="1" applyBorder="1" applyAlignment="1">
      <x:alignment vertical="center" wrapText="1"/>
    </x:xf>
    <x:xf numFmtId="204" fontId="8" fillId="3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7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2" fontId="8" fillId="8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vertical="center" wrapText="1"/>
    </x:xf>
    <x:xf numFmtId="205" fontId="8" fillId="2" borderId="0" xfId="0" applyNumberFormat="1" applyFont="1" applyFill="1" applyBorder="1" applyAlignment="1">
      <x:alignment vertical="center" wrapText="1"/>
    </x:xf>
    <x:xf numFmtId="205" fontId="8" fillId="8" borderId="0" xfId="0" applyNumberFormat="1" applyFont="1" applyFill="1" applyBorder="1" applyAlignment="1">
      <x:alignment vertical="center" wrapText="1"/>
    </x:xf>
    <x:xf numFmtId="203" fontId="8" fillId="8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vertical="center"/>
    </x:xf>
    <x:xf numFmtId="202" fontId="16" fillId="13" borderId="0" xfId="0" applyNumberFormat="1" applyFont="1" applyFill="1" applyBorder="1" applyAlignment="1">
      <x:alignment vertical="center"/>
    </x:xf>
    <x:xf numFmtId="202" fontId="17" fillId="14" borderId="0" xfId="0" applyNumberFormat="1" applyFont="1" applyFill="1" applyBorder="1" applyAlignment="1">
      <x:alignment vertical="center"/>
    </x:xf>
    <x:xf numFmtId="203" fontId="14" fillId="10" borderId="0" xfId="0" applyNumberFormat="1" applyFont="1" applyFill="1" applyBorder="1" applyAlignment="1">
      <x:alignment vertical="center"/>
    </x:xf>
    <x:xf numFmtId="203" fontId="16" fillId="13" borderId="0" xfId="0" applyNumberFormat="1" applyFont="1" applyFill="1" applyBorder="1" applyAlignment="1">
      <x:alignment vertical="center"/>
    </x:xf>
    <x:xf numFmtId="203" fontId="17" fillId="14" borderId="0" xfId="0" applyNumberFormat="1" applyFont="1" applyFill="1" applyBorder="1" applyAlignment="1">
      <x:alignment vertical="center"/>
    </x:xf>
    <x:xf numFmtId="201" fontId="14" fillId="10" borderId="0" xfId="0" applyNumberFormat="1" applyFont="1" applyFill="1" applyBorder="1" applyAlignment="1">
      <x:alignment vertical="center"/>
    </x:xf>
    <x:xf numFmtId="201" fontId="16" fillId="13" borderId="0" xfId="0" applyNumberFormat="1" applyFont="1" applyFill="1" applyBorder="1" applyAlignment="1">
      <x:alignment vertical="center"/>
    </x:xf>
    <x:xf numFmtId="201" fontId="17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horizontal="center" vertical="center"/>
    </x:xf>
    <x:xf numFmtId="203" fontId="14" fillId="10" borderId="0" xfId="0" applyNumberFormat="1" applyFont="1" applyFill="1" applyBorder="1" applyAlignment="1">
      <x:alignment horizontal="center" vertical="center"/>
    </x:xf>
    <x:xf numFmtId="201" fontId="14" fillId="10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 applyAlignment="1">
      <x:alignment horizontal="center" vertical="center"/>
    </x:xf>
    <x:xf numFmtId="202" fontId="16" fillId="13" borderId="0" xfId="0" applyNumberFormat="1" applyFont="1" applyFill="1" applyBorder="1" applyAlignment="1">
      <x:alignment horizontal="center" vertical="center"/>
    </x:xf>
    <x:xf numFmtId="203" fontId="16" fillId="13" borderId="0" xfId="0" applyNumberFormat="1" applyFont="1" applyFill="1" applyBorder="1" applyAlignment="1">
      <x:alignment horizontal="center" vertical="center"/>
    </x:xf>
    <x:xf numFmtId="201" fontId="16" fillId="13" borderId="0" xfId="0" applyNumberFormat="1" applyFont="1" applyFill="1" applyBorder="1" applyAlignment="1">
      <x:alignment horizontal="center" vertical="center"/>
    </x:xf>
    <x:xf numFmtId="0" fontId="15" fillId="13" borderId="0" xfId="0" applyNumberFormat="1" applyFont="1" applyFill="1" applyBorder="1" applyAlignment="1">
      <x:alignment horizontal="center" vertical="center"/>
    </x:xf>
    <x:xf numFmtId="202" fontId="17" fillId="14" borderId="0" xfId="0" applyNumberFormat="1" applyFont="1" applyFill="1" applyBorder="1" applyAlignment="1">
      <x:alignment horizontal="center" vertical="center"/>
    </x:xf>
    <x:xf numFmtId="203" fontId="17" fillId="14" borderId="0" xfId="0" applyNumberFormat="1" applyFont="1" applyFill="1" applyBorder="1" applyAlignment="1">
      <x:alignment horizontal="center" vertical="center"/>
    </x:xf>
    <x:xf numFmtId="201" fontId="17" fillId="14" borderId="0" xfId="0" applyNumberFormat="1" applyFont="1" applyFill="1" applyBorder="1" applyAlignment="1">
      <x:alignment horizontal="center" vertical="center"/>
    </x:xf>
    <x:xf numFmtId="0" fontId="18" fillId="14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vertical="top" wrapText="1"/>
    </x:xf>
    <x:xf numFmtId="203" fontId="8" fillId="2" borderId="0" xfId="0" applyNumberFormat="1" applyFont="1" applyFill="1" applyBorder="1" applyAlignment="1">
      <x:alignment vertical="top" wrapText="1"/>
    </x:xf>
    <x:xf numFmtId="204" fontId="8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0" fontId="8" fillId="3" borderId="0" xfId="0" applyNumberFormat="1" applyFont="1" applyFill="1" applyBorder="1" applyAlignment="1">
      <x:alignment vertical="top" wrapText="1"/>
    </x:xf>
    <x:xf numFmtId="201" fontId="8" fillId="3" borderId="0" xfId="0" applyNumberFormat="1" applyFont="1" applyFill="1" applyBorder="1" applyAlignment="1">
      <x:alignment vertical="top" wrapText="1"/>
    </x:xf>
    <x:xf numFmtId="202" fontId="8" fillId="3" borderId="0" xfId="0" applyNumberFormat="1" applyFont="1" applyFill="1" applyBorder="1" applyAlignment="1">
      <x:alignment vertical="top" wrapText="1"/>
    </x:xf>
    <x:xf numFmtId="203" fontId="8" fillId="3" borderId="0" xfId="0" applyNumberFormat="1" applyFont="1" applyFill="1" applyBorder="1" applyAlignment="1">
      <x:alignment vertical="top" wrapText="1"/>
    </x:xf>
    <x:xf numFmtId="204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200" fontId="8" fillId="4" borderId="0" xfId="0" applyNumberFormat="1" applyFont="1" applyFill="1" applyBorder="1" applyAlignment="1">
      <x:alignment vertical="top" wrapText="1"/>
    </x:xf>
    <x:xf numFmtId="201" fontId="8" fillId="4" borderId="0" xfId="0" applyNumberFormat="1" applyFont="1" applyFill="1" applyBorder="1" applyAlignment="1">
      <x:alignment vertical="top" wrapText="1"/>
    </x:xf>
    <x:xf numFmtId="202" fontId="8" fillId="4" borderId="0" xfId="0" applyNumberFormat="1" applyFont="1" applyFill="1" applyBorder="1" applyAlignment="1">
      <x:alignment vertical="top" wrapText="1"/>
    </x:xf>
    <x:xf numFmtId="203" fontId="8" fillId="4" borderId="0" xfId="0" applyNumberFormat="1" applyFont="1" applyFill="1" applyBorder="1" applyAlignment="1">
      <x:alignment vertical="top" wrapText="1"/>
    </x:xf>
    <x:xf numFmtId="204" fontId="8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202" fontId="8" fillId="7" borderId="0" xfId="0" applyNumberFormat="1" applyFont="1" applyFill="1" applyBorder="1" applyAlignment="1">
      <x:alignment vertical="top" wrapText="1"/>
    </x:xf>
    <x:xf numFmtId="203" fontId="8" fillId="7" borderId="0" xfId="0" applyNumberFormat="1" applyFont="1" applyFill="1" applyBorder="1" applyAlignment="1">
      <x:alignment vertical="top" wrapText="1"/>
    </x:xf>
    <x:xf numFmtId="204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horizontal="center" vertical="center"/>
    </x:xf>
    <x:xf numFmtId="203" fontId="8" fillId="2" borderId="0" xfId="0" applyNumberFormat="1" applyFont="1" applyFill="1" applyBorder="1" applyAlignment="1">
      <x:alignment horizontal="center" vertical="center"/>
    </x:xf>
    <x:xf numFmtId="201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3" fontId="16" fillId="9" borderId="0" xfId="0" applyNumberFormat="1" applyFont="1" applyFill="1" applyBorder="1" applyAlignment="1">
      <x:alignment horizontal="center" vertical="center"/>
    </x:xf>
    <x:xf numFmtId="201" fontId="16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vertical="center" wrapText="1"/>
    </x:xf>
    <x:xf numFmtId="202" fontId="4" fillId="14" borderId="0" xfId="0" applyNumberFormat="1" applyFont="1" applyFill="1" applyBorder="1" applyAlignment="1">
      <x:alignment horizontal="center" vertical="center"/>
    </x:xf>
    <x:xf numFmtId="203" fontId="4" fillId="14" borderId="0" xfId="0" applyNumberFormat="1" applyFont="1" applyFill="1" applyBorder="1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horizontal="center" vertical="center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7" fillId="15" borderId="6" xfId="0" applyNumberFormat="1" applyFont="1" applyFill="1" applyBorder="1" applyAlignment="1">
      <x:alignment horizontal="center" vertical="center" wrapText="1"/>
    </x:xf>
    <x:xf numFmtId="0" fontId="7" fillId="15" borderId="7" xfId="0" applyNumberFormat="1" applyFont="1" applyFill="1" applyBorder="1" applyAlignment="1">
      <x:alignment horizontal="center" vertical="center" wrapText="1"/>
    </x:xf>
    <x:xf numFmtId="0" fontId="7" fillId="16" borderId="2" xfId="0" applyNumberFormat="1" applyFont="1" applyFill="1" applyBorder="1" applyAlignment="1">
      <x:alignment horizontal="center" vertical="center" wrapText="1"/>
    </x:xf>
    <x:xf numFmtId="0" fontId="7" fillId="16" borderId="3" xfId="0" applyNumberFormat="1" applyFont="1" applyFill="1" applyBorder="1" applyAlignment="1">
      <x:alignment horizontal="center" vertical="center"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8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horizontal="center" vertical="center"/>
    </x:xf>
    <x:xf numFmtId="0" fontId="7" fillId="17" borderId="0" xfId="0" applyNumberFormat="1" applyFont="1" applyFill="1" applyBorder="1" applyAlignment="1">
      <x:alignment horizontal="center" vertical="center" wrapText="1"/>
    </x:xf>
    <x:xf numFmtId="0" fontId="7" fillId="17" borderId="5" xfId="0" applyNumberFormat="1" applyFont="1" applyFill="1" applyBorder="1" applyAlignment="1">
      <x:alignment horizontal="center" vertical="center" wrapText="1"/>
    </x:xf>
    <x:xf numFmtId="0" fontId="7" fillId="17" borderId="7" xfId="0" applyNumberFormat="1" applyFont="1" applyFill="1" applyBorder="1" applyAlignment="1">
      <x:alignment horizontal="center" vertical="center" wrapText="1"/>
    </x:xf>
    <x:xf numFmtId="0" fontId="7" fillId="18" borderId="3" xfId="0" applyNumberFormat="1" applyFont="1" applyFill="1" applyBorder="1" applyAlignment="1">
      <x:alignment horizontal="center" vertical="center" wrapText="1"/>
    </x:xf>
    <x:xf numFmtId="0" fontId="19" fillId="18" borderId="3" xfId="0" applyNumberFormat="1" applyFont="1" applyFill="1" applyBorder="1" applyAlignment="1">
      <x:alignment horizontal="center" vertical="center" wrapText="1"/>
    </x:xf>
    <x:xf numFmtId="0" fontId="19" fillId="18" borderId="8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7" fillId="19" borderId="5" xfId="0" applyNumberFormat="1" applyFont="1" applyFill="1" applyBorder="1" applyAlignment="1">
      <x:alignment horizontal="center" vertical="center" wrapText="1"/>
    </x:xf>
    <x:xf numFmtId="0" fontId="7" fillId="19" borderId="6" xfId="0" applyNumberFormat="1" applyFont="1" applyFill="1" applyBorder="1" applyAlignment="1">
      <x:alignment horizontal="center" vertical="center" wrapText="1"/>
    </x:xf>
    <x:xf numFmtId="0" fontId="7" fillId="19" borderId="7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center" vertical="center" wrapText="1"/>
    </x:xf>
    <x:xf numFmtId="0" fontId="19" fillId="20" borderId="3" xfId="0" applyNumberFormat="1" applyFont="1" applyFill="1" applyBorder="1" applyAlignment="1">
      <x:alignment horizontal="center" vertical="center" wrapText="1"/>
    </x:xf>
    <x:xf numFmtId="0" fontId="19" fillId="20" borderId="8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0" fontId="7" fillId="22" borderId="3" xfId="0" applyNumberFormat="1" applyFont="1" applyFill="1" applyBorder="1" applyAlignment="1">
      <x:alignment horizontal="center" vertical="center" wrapText="1"/>
    </x:xf>
    <x:xf numFmtId="0" fontId="19" fillId="22" borderId="3" xfId="0" applyNumberFormat="1" applyFont="1" applyFill="1" applyBorder="1" applyAlignment="1">
      <x:alignment horizontal="center" vertical="center" wrapText="1"/>
    </x:xf>
    <x:xf numFmtId="0" fontId="19" fillId="22" borderId="8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center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7" fillId="23" borderId="5" xfId="0" applyNumberFormat="1" applyFont="1" applyFill="1" applyBorder="1" applyAlignment="1">
      <x:alignment horizontal="center" vertical="center" wrapText="1"/>
    </x:xf>
    <x:xf numFmtId="0" fontId="7" fillId="23" borderId="6" xfId="0" applyNumberFormat="1" applyFont="1" applyFill="1" applyBorder="1" applyAlignment="1">
      <x:alignment horizontal="center" vertical="center" wrapText="1"/>
    </x:xf>
    <x:xf numFmtId="0" fontId="7" fillId="23" borderId="7" xfId="0" applyNumberFormat="1" applyFont="1" applyFill="1" applyBorder="1" applyAlignment="1">
      <x:alignment horizontal="center" vertical="center" wrapText="1"/>
    </x:xf>
    <x:xf numFmtId="0" fontId="7" fillId="24" borderId="3" xfId="0" applyNumberFormat="1" applyFont="1" applyFill="1" applyBorder="1" applyAlignment="1">
      <x:alignment horizontal="center" vertical="center" wrapText="1"/>
    </x:xf>
    <x:xf numFmtId="0" fontId="7" fillId="24" borderId="4" xfId="0" applyNumberFormat="1" applyFont="1" applyFill="1" applyBorder="1" applyAlignment="1">
      <x:alignment horizontal="center" vertical="center" wrapText="1"/>
    </x:xf>
    <x:xf numFmtId="0" fontId="19" fillId="24" borderId="3" xfId="0" applyNumberFormat="1" applyFont="1" applyFill="1" applyBorder="1" applyAlignment="1">
      <x:alignment horizontal="center" vertical="center" wrapText="1"/>
    </x:xf>
    <x:xf numFmtId="0" fontId="19" fillId="24" borderId="4" xfId="0" applyNumberFormat="1" applyFont="1" applyFill="1" applyBorder="1" applyAlignment="1">
      <x:alignment horizontal="center" vertical="center" wrapText="1"/>
    </x:xf>
    <x:xf numFmtId="0" fontId="19" fillId="24" borderId="8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6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 wrapText="0"/>
    </x:xf>
    <x:xf numFmtId="0" fontId="6" fillId="25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1" fontId="8" fillId="3" borderId="0" xfId="0" applyNumberFormat="1" applyFont="1" applyFill="1" applyBorder="1" applyAlignment="1">
      <x:alignment horizontal="center" vertical="center" wrapText="1"/>
    </x:xf>
    <x:xf numFmtId="201" fontId="8" fillId="26" borderId="0" xfId="0" applyNumberFormat="1" applyFont="1" applyFill="1" applyBorder="1" applyAlignment="1">
      <x:alignment vertical="center" wrapText="1"/>
    </x:xf>
    <x:xf numFmtId="201" fontId="5" fillId="2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9" xfId="0" applyNumberFormat="1" applyFont="1" applyFill="1" applyBorder="1"/>
    <x:xf numFmtId="0" fontId="7" fillId="27" borderId="10" xfId="0" applyNumberFormat="1" applyFont="1" applyFill="1" applyBorder="1"/>
    <x:xf numFmtId="0" fontId="7" fillId="27" borderId="11" xfId="0" applyNumberFormat="1" applyFont="1" applyFill="1" applyBorder="1"/>
    <x:xf numFmtId="0" fontId="7" fillId="27" borderId="9" xfId="0" applyNumberFormat="1" applyFont="1" applyFill="1" applyBorder="1" applyAlignment="1">
      <x:alignment horizontal="center"/>
    </x:xf>
    <x:xf numFmtId="0" fontId="7" fillId="27" borderId="10" xfId="0" applyNumberFormat="1" applyFont="1" applyFill="1" applyBorder="1" applyAlignment="1">
      <x:alignment horizontal="center"/>
    </x:xf>
    <x:xf numFmtId="0" fontId="7" fillId="27" borderId="11" xfId="0" applyNumberFormat="1" applyFont="1" applyFill="1" applyBorder="1" applyAlignment="1">
      <x:alignment horizontal="center"/>
    </x:xf>
    <x:xf numFmtId="0" fontId="7" fillId="27" borderId="9" xfId="0" applyNumberFormat="1" applyFont="1" applyFill="1" applyBorder="1" applyAlignment="1">
      <x:alignment horizontal="center" vertical="center"/>
    </x:xf>
    <x:xf numFmtId="0" fontId="7" fillId="27" borderId="10" xfId="0" applyNumberFormat="1" applyFont="1" applyFill="1" applyBorder="1" applyAlignment="1">
      <x:alignment horizontal="center" vertical="center"/>
    </x:xf>
    <x:xf numFmtId="0" fontId="7" fillId="27" borderId="11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8" xfId="0" applyNumberFormat="1" applyFont="1" applyFill="1" applyBorder="1"/>
    <x:xf numFmtId="0" fontId="7" fillId="28" borderId="8" xfId="0" applyNumberFormat="1" applyFont="1" applyFill="1" applyBorder="1" applyAlignment="1">
      <x:alignment wrapText="1"/>
    </x:xf>
    <x:xf numFmtId="0" fontId="7" fillId="28" borderId="8" xfId="0" applyNumberFormat="1" applyFont="1" applyFill="1" applyBorder="1" applyAlignment="1">
      <x:alignment horizontal="center" wrapText="1"/>
    </x:xf>
    <x:xf numFmtId="0" fontId="7" fillId="28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vertical="center"/>
    </x:xf>
    <x:xf numFmtId="0" fontId="8" fillId="29" borderId="13" xfId="0" applyNumberFormat="1" applyFont="1" applyFill="1" applyBorder="1" applyAlignment="1">
      <x:alignment vertical="center"/>
    </x:xf>
    <x:xf numFmtId="0" fontId="8" fillId="30" borderId="13" xfId="0" applyNumberFormat="1" applyFont="1" applyFill="1" applyBorder="1" applyAlignment="1">
      <x:alignment vertical="center"/>
    </x:xf>
    <x:xf numFmtId="0" fontId="8" fillId="31" borderId="13" xfId="0" applyNumberFormat="1" applyFont="1" applyFill="1" applyBorder="1" applyAlignment="1">
      <x:alignment vertical="center"/>
    </x:xf>
    <x:xf numFmtId="0" fontId="8" fillId="32" borderId="13" xfId="0" applyNumberFormat="1" applyFont="1" applyFill="1" applyBorder="1" applyAlignment="1">
      <x:alignment vertical="center"/>
    </x:xf>
    <x:xf numFmtId="0" fontId="8" fillId="33" borderId="13" xfId="0" applyNumberFormat="1" applyFont="1" applyFill="1" applyBorder="1" applyAlignment="1">
      <x:alignment vertical="center"/>
    </x:xf>
    <x:xf numFmtId="0" fontId="8" fillId="33" borderId="14" xfId="0" applyNumberFormat="1" applyFont="1" applyFill="1" applyBorder="1" applyAlignment="1">
      <x:alignment vertical="center"/>
    </x:xf>
    <x:xf numFmtId="202" fontId="8" fillId="29" borderId="12" xfId="0" applyNumberFormat="1" applyFont="1" applyFill="1" applyBorder="1" applyAlignment="1">
      <x:alignment vertical="center"/>
    </x:xf>
    <x:xf numFmtId="202" fontId="8" fillId="29" borderId="13" xfId="0" applyNumberFormat="1" applyFont="1" applyFill="1" applyBorder="1" applyAlignment="1">
      <x:alignment vertical="center"/>
    </x:xf>
    <x:xf numFmtId="202" fontId="8" fillId="30" borderId="13" xfId="0" applyNumberFormat="1" applyFont="1" applyFill="1" applyBorder="1" applyAlignment="1">
      <x:alignment vertical="center"/>
    </x:xf>
    <x:xf numFmtId="202" fontId="8" fillId="31" borderId="13" xfId="0" applyNumberFormat="1" applyFont="1" applyFill="1" applyBorder="1" applyAlignment="1">
      <x:alignment vertical="center"/>
    </x:xf>
    <x:xf numFmtId="202" fontId="8" fillId="32" borderId="13" xfId="0" applyNumberFormat="1" applyFont="1" applyFill="1" applyBorder="1" applyAlignment="1">
      <x:alignment vertical="center"/>
    </x:xf>
    <x:xf numFmtId="202" fontId="8" fillId="33" borderId="13" xfId="0" applyNumberFormat="1" applyFont="1" applyFill="1" applyBorder="1" applyAlignment="1">
      <x:alignment vertical="center"/>
    </x:xf>
    <x:xf numFmtId="202" fontId="8" fillId="33" borderId="14" xfId="0" applyNumberFormat="1" applyFont="1" applyFill="1" applyBorder="1" applyAlignment="1">
      <x:alignment vertical="center"/>
    </x:xf>
    <x:xf numFmtId="205" fontId="8" fillId="29" borderId="12" xfId="0" applyNumberFormat="1" applyFont="1" applyFill="1" applyBorder="1" applyAlignment="1">
      <x:alignment vertical="center"/>
    </x:xf>
    <x:xf numFmtId="205" fontId="8" fillId="29" borderId="13" xfId="0" applyNumberFormat="1" applyFont="1" applyFill="1" applyBorder="1" applyAlignment="1">
      <x:alignment vertical="center"/>
    </x:xf>
    <x:xf numFmtId="205" fontId="8" fillId="30" borderId="13" xfId="0" applyNumberFormat="1" applyFont="1" applyFill="1" applyBorder="1" applyAlignment="1">
      <x:alignment vertical="center"/>
    </x:xf>
    <x:xf numFmtId="205" fontId="8" fillId="31" borderId="13" xfId="0" applyNumberFormat="1" applyFont="1" applyFill="1" applyBorder="1" applyAlignment="1">
      <x:alignment vertical="center"/>
    </x:xf>
    <x:xf numFmtId="205" fontId="8" fillId="32" borderId="13" xfId="0" applyNumberFormat="1" applyFont="1" applyFill="1" applyBorder="1" applyAlignment="1">
      <x:alignment vertical="center"/>
    </x:xf>
    <x:xf numFmtId="205" fontId="8" fillId="33" borderId="13" xfId="0" applyNumberFormat="1" applyFont="1" applyFill="1" applyBorder="1" applyAlignment="1">
      <x:alignment vertical="center"/>
    </x:xf>
    <x:xf numFmtId="205" fontId="8" fillId="33" borderId="14" xfId="0" applyNumberFormat="1" applyFont="1" applyFill="1" applyBorder="1" applyAlignment="1">
      <x:alignment vertical="center"/>
    </x:xf>
    <x:xf numFmtId="203" fontId="8" fillId="29" borderId="12" xfId="0" applyNumberFormat="1" applyFont="1" applyFill="1" applyBorder="1" applyAlignment="1">
      <x:alignment vertical="center"/>
    </x:xf>
    <x:xf numFmtId="203" fontId="8" fillId="29" borderId="13" xfId="0" applyNumberFormat="1" applyFont="1" applyFill="1" applyBorder="1" applyAlignment="1">
      <x:alignment vertical="center"/>
    </x:xf>
    <x:xf numFmtId="203" fontId="8" fillId="30" borderId="13" xfId="0" applyNumberFormat="1" applyFont="1" applyFill="1" applyBorder="1" applyAlignment="1">
      <x:alignment vertical="center"/>
    </x:xf>
    <x:xf numFmtId="203" fontId="8" fillId="31" borderId="13" xfId="0" applyNumberFormat="1" applyFont="1" applyFill="1" applyBorder="1" applyAlignment="1">
      <x:alignment vertical="center"/>
    </x:xf>
    <x:xf numFmtId="203" fontId="8" fillId="32" borderId="13" xfId="0" applyNumberFormat="1" applyFont="1" applyFill="1" applyBorder="1" applyAlignment="1">
      <x:alignment vertical="center"/>
    </x:xf>
    <x:xf numFmtId="203" fontId="8" fillId="33" borderId="13" xfId="0" applyNumberFormat="1" applyFont="1" applyFill="1" applyBorder="1" applyAlignment="1">
      <x:alignment vertical="center"/>
    </x:xf>
    <x:xf numFmtId="203" fontId="8" fillId="33" borderId="14" xfId="0" applyNumberFormat="1" applyFont="1" applyFill="1" applyBorder="1" applyAlignment="1">
      <x:alignment vertical="center"/>
    </x:xf>
    <x:xf numFmtId="201" fontId="8" fillId="29" borderId="12" xfId="0" applyNumberFormat="1" applyFont="1" applyFill="1" applyBorder="1" applyAlignment="1">
      <x:alignment vertical="center"/>
    </x:xf>
    <x:xf numFmtId="201" fontId="8" fillId="29" borderId="13" xfId="0" applyNumberFormat="1" applyFont="1" applyFill="1" applyBorder="1" applyAlignment="1">
      <x:alignment vertical="center"/>
    </x:xf>
    <x:xf numFmtId="201" fontId="8" fillId="30" borderId="13" xfId="0" applyNumberFormat="1" applyFont="1" applyFill="1" applyBorder="1" applyAlignment="1">
      <x:alignment vertical="center"/>
    </x:xf>
    <x:xf numFmtId="201" fontId="8" fillId="31" borderId="13" xfId="0" applyNumberFormat="1" applyFont="1" applyFill="1" applyBorder="1" applyAlignment="1">
      <x:alignment vertical="center"/>
    </x:xf>
    <x:xf numFmtId="201" fontId="8" fillId="32" borderId="13" xfId="0" applyNumberFormat="1" applyFont="1" applyFill="1" applyBorder="1" applyAlignment="1">
      <x:alignment vertical="center"/>
    </x:xf>
    <x:xf numFmtId="201" fontId="8" fillId="33" borderId="13" xfId="0" applyNumberFormat="1" applyFont="1" applyFill="1" applyBorder="1" applyAlignment="1">
      <x:alignment vertical="center"/>
    </x:xf>
    <x:xf numFmtId="201" fontId="8" fillId="33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horizontal="center" vertical="center"/>
    </x:xf>
    <x:xf numFmtId="0" fontId="8" fillId="29" borderId="13" xfId="0" applyNumberFormat="1" applyFont="1" applyFill="1" applyBorder="1" applyAlignment="1">
      <x:alignment horizontal="center" vertical="center"/>
    </x:xf>
    <x:xf numFmtId="0" fontId="8" fillId="30" borderId="13" xfId="0" applyNumberFormat="1" applyFont="1" applyFill="1" applyBorder="1" applyAlignment="1">
      <x:alignment horizontal="center" vertical="center"/>
    </x:xf>
    <x:xf numFmtId="0" fontId="8" fillId="31" borderId="13" xfId="0" applyNumberFormat="1" applyFont="1" applyFill="1" applyBorder="1" applyAlignment="1">
      <x:alignment horizontal="center" vertical="center"/>
    </x:xf>
    <x:xf numFmtId="0" fontId="8" fillId="32" borderId="13" xfId="0" applyNumberFormat="1" applyFont="1" applyFill="1" applyBorder="1" applyAlignment="1">
      <x:alignment horizontal="center" vertical="center"/>
    </x:xf>
    <x:xf numFmtId="0" fontId="8" fillId="33" borderId="13" xfId="0" applyNumberFormat="1" applyFont="1" applyFill="1" applyBorder="1" applyAlignment="1">
      <x:alignment horizontal="center" vertical="center"/>
    </x:xf>
    <x:xf numFmtId="0" fontId="8" fillId="33" borderId="14" xfId="0" applyNumberFormat="1" applyFont="1" applyFill="1" applyBorder="1" applyAlignment="1">
      <x:alignment horizontal="center" vertical="center"/>
    </x:xf>
    <x:xf numFmtId="0" fontId="8" fillId="29" borderId="12" xfId="0" applyNumberFormat="1" applyFont="1" applyFill="1" applyBorder="1" applyAlignment="1">
      <x:alignment vertical="center" wrapText="1"/>
    </x:xf>
    <x:xf numFmtId="0" fontId="8" fillId="29" borderId="13" xfId="0" applyNumberFormat="1" applyFont="1" applyFill="1" applyBorder="1" applyAlignment="1">
      <x:alignment vertical="center" wrapText="1"/>
    </x:xf>
    <x:xf numFmtId="0" fontId="8" fillId="30" borderId="13" xfId="0" applyNumberFormat="1" applyFont="1" applyFill="1" applyBorder="1" applyAlignment="1">
      <x:alignment vertical="center" wrapText="1"/>
    </x:xf>
    <x:xf numFmtId="0" fontId="8" fillId="31" borderId="13" xfId="0" applyNumberFormat="1" applyFont="1" applyFill="1" applyBorder="1" applyAlignment="1">
      <x:alignment vertical="center" wrapText="1"/>
    </x:xf>
    <x:xf numFmtId="0" fontId="8" fillId="32" borderId="13" xfId="0" applyNumberFormat="1" applyFont="1" applyFill="1" applyBorder="1" applyAlignment="1">
      <x:alignment vertical="center" wrapText="1"/>
    </x:xf>
    <x:xf numFmtId="0" fontId="8" fillId="33" borderId="13" xfId="0" applyNumberFormat="1" applyFont="1" applyFill="1" applyBorder="1" applyAlignment="1">
      <x:alignment vertical="center" wrapText="1"/>
    </x:xf>
    <x:xf numFmtId="0" fontId="8" fillId="33" borderId="14" xfId="0" applyNumberFormat="1" applyFont="1" applyFill="1" applyBorder="1" applyAlignment="1">
      <x:alignment vertical="center" wrapText="1"/>
    </x:xf>
    <x:xf numFmtId="0" fontId="8" fillId="29" borderId="12" xfId="0" applyNumberFormat="1" applyFont="1" applyFill="1" applyBorder="1" applyAlignment="1">
      <x:alignment vertical="top" wrapText="1"/>
    </x:xf>
    <x:xf numFmtId="0" fontId="8" fillId="29" borderId="13" xfId="0" applyNumberFormat="1" applyFont="1" applyFill="1" applyBorder="1" applyAlignment="1">
      <x:alignment vertical="top" wrapText="1"/>
    </x:xf>
    <x:xf numFmtId="0" fontId="8" fillId="30" borderId="13" xfId="0" applyNumberFormat="1" applyFont="1" applyFill="1" applyBorder="1" applyAlignment="1">
      <x:alignment vertical="top" wrapText="1"/>
    </x:xf>
    <x:xf numFmtId="0" fontId="8" fillId="31" borderId="13" xfId="0" applyNumberFormat="1" applyFont="1" applyFill="1" applyBorder="1" applyAlignment="1">
      <x:alignment vertical="top" wrapText="1"/>
    </x:xf>
    <x:xf numFmtId="0" fontId="8" fillId="32" borderId="13" xfId="0" applyNumberFormat="1" applyFont="1" applyFill="1" applyBorder="1" applyAlignment="1">
      <x:alignment vertical="top" wrapText="1"/>
    </x:xf>
    <x:xf numFmtId="0" fontId="8" fillId="33" borderId="13" xfId="0" applyNumberFormat="1" applyFont="1" applyFill="1" applyBorder="1" applyAlignment="1">
      <x:alignment vertical="top" wrapText="1"/>
    </x:xf>
    <x:xf numFmtId="0" fontId="8" fillId="33" borderId="14" xfId="0" applyNumberFormat="1" applyFont="1" applyFill="1" applyBorder="1" applyAlignment="1">
      <x:alignment vertical="top" wrapText="1"/>
    </x:xf>
    <x:xf numFmtId="202" fontId="5" fillId="29" borderId="12" xfId="0" applyNumberFormat="1" applyFont="1" applyFill="1" applyBorder="1" applyAlignment="1">
      <x:alignment vertical="center"/>
    </x:xf>
    <x:xf numFmtId="202" fontId="8" fillId="26" borderId="12" xfId="0" applyNumberFormat="1" applyFont="1" applyFill="1" applyBorder="1" applyAlignment="1">
      <x:alignment vertical="center"/>
    </x:xf>
    <x:xf numFmtId="203" fontId="8" fillId="26" borderId="12" xfId="0" applyNumberFormat="1" applyFont="1" applyFill="1" applyBorder="1" applyAlignment="1">
      <x:alignment vertical="center"/>
    </x:xf>
    <x:xf numFmtId="201" fontId="8" fillId="26" borderId="12" xfId="0" applyNumberFormat="1" applyFont="1" applyFill="1" applyBorder="1" applyAlignment="1">
      <x:alignment vertical="center"/>
    </x:xf>
    <x:xf numFmtId="202" fontId="5" fillId="26" borderId="12" xfId="0" applyNumberFormat="1" applyFont="1" applyFill="1" applyBorder="1" applyAlignment="1">
      <x:alignment vertical="center"/>
    </x:xf>
    <x:xf numFmtId="203" fontId="5" fillId="26" borderId="12" xfId="0" applyNumberFormat="1" applyFont="1" applyFill="1" applyBorder="1" applyAlignment="1">
      <x:alignment vertical="center"/>
    </x:xf>
    <x:xf numFmtId="201" fontId="5" fillId="26" borderId="12" xfId="0" applyNumberFormat="1" applyFont="1" applyFill="1" applyBorder="1" applyAlignment="1">
      <x:alignment vertical="center"/>
    </x:xf>
    <x:xf numFmtId="0" fontId="5" fillId="29" borderId="12" xfId="0" applyNumberFormat="1" applyFont="1" applyFill="1" applyBorder="1" applyAlignment="1">
      <x:alignment horizontal="center" vertical="center"/>
    </x:xf>
    <x:xf numFmtId="202" fontId="5" fillId="29" borderId="13" xfId="0" applyNumberFormat="1" applyFont="1" applyFill="1" applyBorder="1" applyAlignment="1">
      <x:alignment vertical="center"/>
    </x:xf>
    <x:xf numFmtId="202" fontId="8" fillId="26" borderId="13" xfId="0" applyNumberFormat="1" applyFont="1" applyFill="1" applyBorder="1" applyAlignment="1">
      <x:alignment vertical="center"/>
    </x:xf>
    <x:xf numFmtId="203" fontId="8" fillId="26" borderId="13" xfId="0" applyNumberFormat="1" applyFont="1" applyFill="1" applyBorder="1" applyAlignment="1">
      <x:alignment vertical="center"/>
    </x:xf>
    <x:xf numFmtId="201" fontId="8" fillId="26" borderId="13" xfId="0" applyNumberFormat="1" applyFont="1" applyFill="1" applyBorder="1" applyAlignment="1">
      <x:alignment vertical="center"/>
    </x:xf>
    <x:xf numFmtId="202" fontId="5" fillId="26" borderId="13" xfId="0" applyNumberFormat="1" applyFont="1" applyFill="1" applyBorder="1" applyAlignment="1">
      <x:alignment vertical="center"/>
    </x:xf>
    <x:xf numFmtId="203" fontId="5" fillId="26" borderId="13" xfId="0" applyNumberFormat="1" applyFont="1" applyFill="1" applyBorder="1" applyAlignment="1">
      <x:alignment vertical="center"/>
    </x:xf>
    <x:xf numFmtId="201" fontId="5" fillId="26" borderId="13" xfId="0" applyNumberFormat="1" applyFont="1" applyFill="1" applyBorder="1" applyAlignment="1">
      <x:alignment vertical="center"/>
    </x:xf>
    <x:xf numFmtId="0" fontId="5" fillId="29" borderId="13" xfId="0" applyNumberFormat="1" applyFont="1" applyFill="1" applyBorder="1" applyAlignment="1">
      <x:alignment horizontal="center" vertical="center"/>
    </x:xf>
    <x:xf numFmtId="202" fontId="5" fillId="30" borderId="13" xfId="0" applyNumberFormat="1" applyFont="1" applyFill="1" applyBorder="1" applyAlignment="1">
      <x:alignment vertical="center"/>
    </x:xf>
    <x:xf numFmtId="0" fontId="5" fillId="30" borderId="13" xfId="0" applyNumberFormat="1" applyFont="1" applyFill="1" applyBorder="1" applyAlignment="1">
      <x:alignment horizontal="center" vertical="center"/>
    </x:xf>
    <x:xf numFmtId="202" fontId="5" fillId="31" borderId="13" xfId="0" applyNumberFormat="1" applyFont="1" applyFill="1" applyBorder="1" applyAlignment="1">
      <x:alignment vertical="center"/>
    </x:xf>
    <x:xf numFmtId="0" fontId="5" fillId="31" borderId="13" xfId="0" applyNumberFormat="1" applyFont="1" applyFill="1" applyBorder="1" applyAlignment="1">
      <x:alignment horizontal="center" vertical="center"/>
    </x:xf>
    <x:xf numFmtId="202" fontId="5" fillId="32" borderId="13" xfId="0" applyNumberFormat="1" applyFont="1" applyFill="1" applyBorder="1" applyAlignment="1">
      <x:alignment vertical="center"/>
    </x:xf>
    <x:xf numFmtId="0" fontId="5" fillId="32" borderId="13" xfId="0" applyNumberFormat="1" applyFont="1" applyFill="1" applyBorder="1" applyAlignment="1">
      <x:alignment horizontal="center" vertical="center"/>
    </x:xf>
    <x:xf numFmtId="202" fontId="5" fillId="33" borderId="13" xfId="0" applyNumberFormat="1" applyFont="1" applyFill="1" applyBorder="1" applyAlignment="1">
      <x:alignment vertical="center"/>
    </x:xf>
    <x:xf numFmtId="0" fontId="5" fillId="33" borderId="13" xfId="0" applyNumberFormat="1" applyFont="1" applyFill="1" applyBorder="1" applyAlignment="1">
      <x:alignment horizontal="center" vertical="center"/>
    </x:xf>
    <x:xf numFmtId="0" fontId="8" fillId="34" borderId="13" xfId="0" applyNumberFormat="1" applyFont="1" applyFill="1" applyBorder="1" applyAlignment="1">
      <x:alignment horizontal="center" vertical="center"/>
    </x:xf>
    <x:xf numFmtId="0" fontId="22" fillId="34" borderId="13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4" fillId="0" borderId="1" xfId="0" applyNumberFormat="1" applyFont="1" applyFill="1" applyBorder="1"/>
    <x:xf numFmtId="0" fontId="16" fillId="2" borderId="0" xfId="0" applyNumberFormat="1" applyFont="1" applyFill="1" applyBorder="1"/>
    <x:xf numFmtId="0" fontId="16" fillId="3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8" fillId="25" borderId="0" xfId="0" applyNumberFormat="1" applyFont="1" applyFill="1" applyBorder="1" applyAlignment="1">
      <x:alignment vertical="center" wrapText="0"/>
    </x:xf>
    <x:xf numFmtId="0" fontId="16" fillId="15" borderId="5" xfId="0" applyNumberFormat="1" applyFont="1" applyFill="1" applyBorder="1" applyAlignment="1">
      <x:alignment horizontal="center" vertical="center" wrapText="1"/>
    </x:xf>
    <x:xf numFmtId="0" fontId="16" fillId="15" borderId="6" xfId="0" applyNumberFormat="1" applyFont="1" applyFill="1" applyBorder="1" applyAlignment="1">
      <x:alignment horizontal="center" vertical="center" wrapText="1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7" borderId="5" xfId="0" applyNumberFormat="1" applyFont="1" applyFill="1" applyBorder="1" applyAlignment="1">
      <x:alignment horizontal="center" vertical="center" wrapText="1"/>
    </x:xf>
    <x:xf numFmtId="0" fontId="16" fillId="17" borderId="7" xfId="0" applyNumberFormat="1" applyFont="1" applyFill="1" applyBorder="1" applyAlignment="1">
      <x:alignment horizontal="center" vertical="center" wrapText="1"/>
    </x:xf>
    <x:xf numFmtId="0" fontId="16" fillId="19" borderId="5" xfId="0" applyNumberFormat="1" applyFont="1" applyFill="1" applyBorder="1" applyAlignment="1">
      <x:alignment horizontal="center" vertical="center" wrapText="1"/>
    </x:xf>
    <x:xf numFmtId="0" fontId="16" fillId="19" borderId="6" xfId="0" applyNumberFormat="1" applyFont="1" applyFill="1" applyBorder="1" applyAlignment="1">
      <x:alignment horizontal="center" vertical="center" wrapText="1"/>
    </x:xf>
    <x:xf numFmtId="0" fontId="16" fillId="19" borderId="7" xfId="0" applyNumberFormat="1" applyFont="1" applyFill="1" applyBorder="1" applyAlignment="1">
      <x:alignment horizontal="center" vertical="center" wrapText="1"/>
    </x:xf>
    <x:xf numFmtId="0" fontId="16" fillId="21" borderId="8" xfId="0" applyNumberFormat="1" applyFont="1" applyFill="1" applyBorder="1" applyAlignment="1">
      <x:alignment horizontal="center" vertical="center" wrapText="1"/>
    </x:xf>
    <x:xf numFmtId="0" fontId="16" fillId="23" borderId="5" xfId="0" applyNumberFormat="1" applyFont="1" applyFill="1" applyBorder="1" applyAlignment="1">
      <x:alignment horizontal="center" vertical="center" wrapText="1"/>
    </x:xf>
    <x:xf numFmtId="0" fontId="16" fillId="23" borderId="6" xfId="0" applyNumberFormat="1" applyFont="1" applyFill="1" applyBorder="1" applyAlignment="1">
      <x:alignment horizontal="center" vertical="center" wrapText="1"/>
    </x:xf>
    <x:xf numFmtId="0" fontId="16" fillId="23" borderId="7" xfId="0" applyNumberFormat="1" applyFont="1" applyFill="1" applyBorder="1" applyAlignment="1">
      <x:alignment horizontal="center" vertical="center" wrapText="1"/>
    </x:xf>
    <x:xf numFmtId="0" fontId="26" fillId="16" borderId="8" xfId="0" applyNumberFormat="1" applyFont="1" applyFill="1" applyBorder="1" applyAlignment="1">
      <x:alignment horizontal="center" vertical="center" wrapText="1"/>
    </x:xf>
    <x:xf numFmtId="0" fontId="26" fillId="18" borderId="8" xfId="0" applyNumberFormat="1" applyFont="1" applyFill="1" applyBorder="1" applyAlignment="1">
      <x:alignment horizontal="center" vertical="center" wrapText="1"/>
    </x:xf>
    <x:xf numFmtId="0" fontId="26" fillId="20" borderId="8" xfId="0" applyNumberFormat="1" applyFont="1" applyFill="1" applyBorder="1" applyAlignment="1">
      <x:alignment horizontal="center" vertical="center" wrapText="1"/>
    </x:xf>
    <x:xf numFmtId="0" fontId="26" fillId="22" borderId="8" xfId="0" applyNumberFormat="1" applyFont="1" applyFill="1" applyBorder="1" applyAlignment="1">
      <x:alignment horizontal="center" vertical="center" wrapText="1"/>
    </x:xf>
    <x:xf numFmtId="0" fontId="26" fillId="24" borderId="8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1" fontId="16" fillId="9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27" fillId="2" borderId="0" xfId="0" applyNumberFormat="1" applyFont="1" applyFill="1" applyBorder="1" applyAlignment="1">
      <x:alignment vertical="center" wrapText="1"/>
    </x:xf>
    <x:xf numFmtId="200" fontId="27" fillId="2" borderId="0" xfId="0" applyNumberFormat="1" applyFont="1" applyFill="1" applyBorder="1" applyAlignment="1">
      <x:alignment vertical="center" wrapText="1"/>
    </x:xf>
    <x:xf numFmtId="201" fontId="27" fillId="2" borderId="0" xfId="0" applyNumberFormat="1" applyFont="1" applyFill="1" applyBorder="1" applyAlignment="1">
      <x:alignment vertical="center" wrapText="1"/>
    </x:xf>
    <x:xf numFmtId="202" fontId="27" fillId="2" borderId="0" xfId="0" applyNumberFormat="1" applyFont="1" applyFill="1" applyBorder="1" applyAlignment="1">
      <x:alignment vertical="center" wrapText="1"/>
    </x:xf>
    <x:xf numFmtId="203" fontId="27" fillId="2" borderId="0" xfId="0" applyNumberFormat="1" applyFont="1" applyFill="1" applyBorder="1" applyAlignment="1">
      <x:alignment vertical="center" wrapText="1"/>
    </x:xf>
    <x:xf numFmtId="204" fontId="27" fillId="2" borderId="0" xfId="0" applyNumberFormat="1" applyFont="1" applyFill="1" applyBorder="1" applyAlignment="1">
      <x:alignment vertical="center" wrapText="1"/>
    </x:xf>
    <x:xf numFmtId="0" fontId="26" fillId="2" borderId="0" xfId="0" applyNumberFormat="1" applyFont="1" applyFill="1" applyBorder="1" applyAlignment="1">
      <x:alignment vertical="center" wrapText="1"/>
    </x:xf>
    <x:xf numFmtId="0" fontId="27" fillId="2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vertical="center" wrapText="1"/>
    </x:xf>
    <x:xf numFmtId="200" fontId="27" fillId="3" borderId="0" xfId="0" applyNumberFormat="1" applyFont="1" applyFill="1" applyBorder="1" applyAlignment="1">
      <x:alignment vertical="center" wrapText="1"/>
    </x:xf>
    <x:xf numFmtId="201" fontId="27" fillId="3" borderId="0" xfId="0" applyNumberFormat="1" applyFont="1" applyFill="1" applyBorder="1" applyAlignment="1">
      <x:alignment vertical="center" wrapText="1"/>
    </x:xf>
    <x:xf numFmtId="202" fontId="27" fillId="3" borderId="0" xfId="0" applyNumberFormat="1" applyFont="1" applyFill="1" applyBorder="1" applyAlignment="1">
      <x:alignment vertical="center" wrapText="1"/>
    </x:xf>
    <x:xf numFmtId="203" fontId="27" fillId="3" borderId="0" xfId="0" applyNumberFormat="1" applyFont="1" applyFill="1" applyBorder="1" applyAlignment="1">
      <x:alignment vertical="center" wrapText="1"/>
    </x:xf>
    <x:xf numFmtId="204" fontId="27" fillId="3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center" wrapText="1"/>
    </x:xf>
    <x:xf numFmtId="0" fontId="27" fillId="3" borderId="0" xfId="0" applyNumberFormat="1" applyFont="1" applyFill="1" applyBorder="1" applyAlignment="1">
      <x:alignment vertical="top" wrapText="1"/>
    </x:xf>
    <x:xf numFmtId="0" fontId="27" fillId="4" borderId="0" xfId="0" applyNumberFormat="1" applyFont="1" applyFill="1" applyBorder="1" applyAlignment="1">
      <x:alignment vertical="center" wrapText="1"/>
    </x:xf>
    <x:xf numFmtId="200" fontId="27" fillId="4" borderId="0" xfId="0" applyNumberFormat="1" applyFont="1" applyFill="1" applyBorder="1" applyAlignment="1">
      <x:alignment vertical="center" wrapText="1"/>
    </x:xf>
    <x:xf numFmtId="201" fontId="27" fillId="4" borderId="0" xfId="0" applyNumberFormat="1" applyFont="1" applyFill="1" applyBorder="1" applyAlignment="1">
      <x:alignment vertical="center" wrapText="1"/>
    </x:xf>
    <x:xf numFmtId="202" fontId="27" fillId="4" borderId="0" xfId="0" applyNumberFormat="1" applyFont="1" applyFill="1" applyBorder="1" applyAlignment="1">
      <x:alignment vertical="center" wrapText="1"/>
    </x:xf>
    <x:xf numFmtId="203" fontId="27" fillId="4" borderId="0" xfId="0" applyNumberFormat="1" applyFont="1" applyFill="1" applyBorder="1" applyAlignment="1">
      <x:alignment vertical="center" wrapText="1"/>
    </x:xf>
    <x:xf numFmtId="204" fontId="27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vertical="top" wrapText="1"/>
    </x:xf>
    <x:xf numFmtId="0" fontId="27" fillId="7" borderId="0" xfId="0" applyNumberFormat="1" applyFont="1" applyFill="1" applyBorder="1" applyAlignment="1">
      <x:alignment vertical="center" wrapText="1"/>
    </x:xf>
    <x:xf numFmtId="200" fontId="27" fillId="7" borderId="0" xfId="0" applyNumberFormat="1" applyFont="1" applyFill="1" applyBorder="1" applyAlignment="1">
      <x:alignment vertical="center" wrapText="1"/>
    </x:xf>
    <x:xf numFmtId="201" fontId="27" fillId="7" borderId="0" xfId="0" applyNumberFormat="1" applyFont="1" applyFill="1" applyBorder="1" applyAlignment="1">
      <x:alignment vertical="center" wrapText="1"/>
    </x:xf>
    <x:xf numFmtId="202" fontId="27" fillId="7" borderId="0" xfId="0" applyNumberFormat="1" applyFont="1" applyFill="1" applyBorder="1" applyAlignment="1">
      <x:alignment vertical="center" wrapText="1"/>
    </x:xf>
    <x:xf numFmtId="203" fontId="27" fillId="7" borderId="0" xfId="0" applyNumberFormat="1" applyFont="1" applyFill="1" applyBorder="1" applyAlignment="1">
      <x:alignment vertical="center" wrapText="1"/>
    </x:xf>
    <x:xf numFmtId="204" fontId="27" fillId="7" borderId="0" xfId="0" applyNumberFormat="1" applyFont="1" applyFill="1" applyBorder="1" applyAlignment="1">
      <x:alignment vertical="center" wrapText="1"/>
    </x:xf>
    <x:xf numFmtId="0" fontId="26" fillId="7" borderId="0" xfId="0" applyNumberFormat="1" applyFont="1" applyFill="1" applyBorder="1" applyAlignment="1">
      <x:alignment vertical="center" wrapText="1"/>
    </x:xf>
    <x:xf numFmtId="0" fontId="27" fillId="7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horizontal="center" vertical="center" wrapText="1"/>
    </x:xf>
    <x:xf numFmtId="200" fontId="27" fillId="3" borderId="0" xfId="0" applyNumberFormat="1" applyFont="1" applyFill="1" applyBorder="1" applyAlignment="1">
      <x:alignment horizontal="center" vertical="center" wrapText="1"/>
    </x:xf>
    <x:xf numFmtId="201" fontId="27" fillId="3" borderId="0" xfId="0" applyNumberFormat="1" applyFont="1" applyFill="1" applyBorder="1" applyAlignment="1">
      <x:alignment horizontal="center" vertical="center" wrapText="1"/>
    </x:xf>
    <x:xf numFmtId="201" fontId="26" fillId="9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top" wrapText="1"/>
    </x:xf>
    <x:xf numFmtId="0" fontId="26" fillId="2" borderId="0" xfId="0" applyNumberFormat="1" applyFont="1" applyFill="1" applyBorder="1" applyAlignment="1">
      <x:alignment vertical="top" wrapText="1"/>
    </x:xf>
    <x:xf numFmtId="0" fontId="26" fillId="4" borderId="0" xfId="0" applyNumberFormat="1" applyFont="1" applyFill="1" applyBorder="1" applyAlignment="1">
      <x:alignment vertical="top" wrapText="1"/>
    </x:xf>
    <x:xf numFmtId="0" fontId="26" fillId="7" borderId="0" xfId="0" applyNumberFormat="1" applyFont="1" applyFill="1" applyBorder="1" applyAlignment="1">
      <x:alignment vertical="top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0" fontId="7" fillId="18" borderId="8" xfId="0" applyNumberFormat="1" applyFont="1" applyFill="1" applyBorder="1" applyAlignment="1">
      <x:alignment horizontal="center"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0" fontId="7" fillId="22" borderId="8" xfId="0" applyNumberFormat="1" applyFont="1" applyFill="1" applyBorder="1" applyAlignment="1">
      <x:alignment horizontal="center" vertical="center" wrapText="1"/>
    </x:xf>
    <x:xf numFmtId="0" fontId="7" fillId="24" borderId="8" xfId="0" applyNumberFormat="1" applyFont="1" applyFill="1" applyBorder="1" applyAlignment="1">
      <x:alignment horizontal="center" vertical="center" wrapText="1"/>
    </x:xf>
    <x:xf numFmtId="0" fontId="27" fillId="2" borderId="12" xfId="0" applyNumberFormat="1" applyFont="1" applyFill="1" applyBorder="1" applyAlignment="1">
      <x:alignment vertical="center" wrapText="1"/>
    </x:xf>
    <x:xf numFmtId="200" fontId="27" fillId="2" borderId="12" xfId="0" applyNumberFormat="1" applyFont="1" applyFill="1" applyBorder="1" applyAlignment="1">
      <x:alignment vertical="center" wrapText="1"/>
    </x:xf>
    <x:xf numFmtId="201" fontId="27" fillId="2" borderId="12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vertical="center" wrapText="1"/>
    </x:xf>
    <x:xf numFmtId="203" fontId="27" fillId="2" borderId="12" xfId="0" applyNumberFormat="1" applyFont="1" applyFill="1" applyBorder="1" applyAlignment="1">
      <x:alignment vertical="center" wrapText="1"/>
    </x:xf>
    <x:xf numFmtId="204" fontId="27" fillId="2" borderId="12" xfId="0" applyNumberFormat="1" applyFont="1" applyFill="1" applyBorder="1" applyAlignment="1">
      <x:alignment vertical="center" wrapText="1"/>
    </x:xf>
    <x:xf numFmtId="0" fontId="26" fillId="2" borderId="12" xfId="0" applyNumberFormat="1" applyFont="1" applyFill="1" applyBorder="1" applyAlignment="1">
      <x:alignment vertical="center" wrapText="1"/>
    </x:xf>
    <x:xf numFmtId="0" fontId="27" fillId="2" borderId="12" xfId="0" applyNumberFormat="1" applyFont="1" applyFill="1" applyBorder="1" applyAlignment="1">
      <x:alignment vertical="top" wrapText="1"/>
    </x:xf>
    <x:xf numFmtId="0" fontId="27" fillId="2" borderId="13" xfId="0" applyNumberFormat="1" applyFont="1" applyFill="1" applyBorder="1" applyAlignment="1">
      <x:alignment vertical="center" wrapText="1"/>
    </x:xf>
    <x:xf numFmtId="200" fontId="27" fillId="2" borderId="13" xfId="0" applyNumberFormat="1" applyFont="1" applyFill="1" applyBorder="1" applyAlignment="1">
      <x:alignment vertical="center" wrapText="1"/>
    </x:xf>
    <x:xf numFmtId="201" fontId="27" fillId="2" borderId="13" xfId="0" applyNumberFormat="1" applyFont="1" applyFill="1" applyBorder="1" applyAlignment="1">
      <x:alignment vertical="center" wrapText="1"/>
    </x:xf>
    <x:xf numFmtId="202" fontId="27" fillId="2" borderId="13" xfId="0" applyNumberFormat="1" applyFont="1" applyFill="1" applyBorder="1" applyAlignment="1">
      <x:alignment vertical="center" wrapText="1"/>
    </x:xf>
    <x:xf numFmtId="203" fontId="27" fillId="2" borderId="13" xfId="0" applyNumberFormat="1" applyFont="1" applyFill="1" applyBorder="1" applyAlignment="1">
      <x:alignment vertical="center" wrapText="1"/>
    </x:xf>
    <x:xf numFmtId="204" fontId="27" fillId="2" borderId="13" xfId="0" applyNumberFormat="1" applyFont="1" applyFill="1" applyBorder="1" applyAlignment="1">
      <x:alignment vertical="center" wrapText="1"/>
    </x:xf>
    <x:xf numFmtId="0" fontId="26" fillId="2" borderId="13" xfId="0" applyNumberFormat="1" applyFont="1" applyFill="1" applyBorder="1" applyAlignment="1">
      <x:alignment vertical="center" wrapText="1"/>
    </x:xf>
    <x:xf numFmtId="0" fontId="27" fillId="2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vertical="center" wrapText="1"/>
    </x:xf>
    <x:xf numFmtId="200" fontId="27" fillId="3" borderId="13" xfId="0" applyNumberFormat="1" applyFont="1" applyFill="1" applyBorder="1" applyAlignment="1">
      <x:alignment vertical="center" wrapText="1"/>
    </x:xf>
    <x:xf numFmtId="201" fontId="27" fillId="3" borderId="13" xfId="0" applyNumberFormat="1" applyFont="1" applyFill="1" applyBorder="1" applyAlignment="1">
      <x:alignment vertical="center" wrapText="1"/>
    </x:xf>
    <x:xf numFmtId="202" fontId="27" fillId="3" borderId="13" xfId="0" applyNumberFormat="1" applyFont="1" applyFill="1" applyBorder="1" applyAlignment="1">
      <x:alignment vertical="center" wrapText="1"/>
    </x:xf>
    <x:xf numFmtId="203" fontId="27" fillId="3" borderId="13" xfId="0" applyNumberFormat="1" applyFont="1" applyFill="1" applyBorder="1" applyAlignment="1">
      <x:alignment vertical="center" wrapText="1"/>
    </x:xf>
    <x:xf numFmtId="204" fontId="27" fillId="3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center" wrapText="1"/>
    </x:xf>
    <x:xf numFmtId="0" fontId="27" fillId="3" borderId="13" xfId="0" applyNumberFormat="1" applyFont="1" applyFill="1" applyBorder="1" applyAlignment="1">
      <x:alignment vertical="top" wrapText="1"/>
    </x:xf>
    <x:xf numFmtId="0" fontId="27" fillId="4" borderId="13" xfId="0" applyNumberFormat="1" applyFont="1" applyFill="1" applyBorder="1" applyAlignment="1">
      <x:alignment vertical="center" wrapText="1"/>
    </x:xf>
    <x:xf numFmtId="200" fontId="27" fillId="4" borderId="13" xfId="0" applyNumberFormat="1" applyFont="1" applyFill="1" applyBorder="1" applyAlignment="1">
      <x:alignment vertical="center" wrapText="1"/>
    </x:xf>
    <x:xf numFmtId="201" fontId="27" fillId="4" borderId="13" xfId="0" applyNumberFormat="1" applyFont="1" applyFill="1" applyBorder="1" applyAlignment="1">
      <x:alignment vertical="center" wrapText="1"/>
    </x:xf>
    <x:xf numFmtId="202" fontId="27" fillId="4" borderId="13" xfId="0" applyNumberFormat="1" applyFont="1" applyFill="1" applyBorder="1" applyAlignment="1">
      <x:alignment vertical="center" wrapText="1"/>
    </x:xf>
    <x:xf numFmtId="203" fontId="27" fillId="4" borderId="13" xfId="0" applyNumberFormat="1" applyFont="1" applyFill="1" applyBorder="1" applyAlignment="1">
      <x:alignment vertical="center" wrapText="1"/>
    </x:xf>
    <x:xf numFmtId="204" fontId="27" fillId="4" borderId="13" xfId="0" applyNumberFormat="1" applyFont="1" applyFill="1" applyBorder="1" applyAlignment="1">
      <x:alignment vertical="center" wrapText="1"/>
    </x:xf>
    <x:xf numFmtId="0" fontId="26" fillId="4" borderId="13" xfId="0" applyNumberFormat="1" applyFont="1" applyFill="1" applyBorder="1" applyAlignment="1">
      <x:alignment vertical="center" wrapText="1"/>
    </x:xf>
    <x:xf numFmtId="0" fontId="27" fillId="4" borderId="13" xfId="0" applyNumberFormat="1" applyFont="1" applyFill="1" applyBorder="1" applyAlignment="1">
      <x:alignment vertical="top" wrapText="1"/>
    </x:xf>
    <x:xf numFmtId="0" fontId="27" fillId="7" borderId="13" xfId="0" applyNumberFormat="1" applyFont="1" applyFill="1" applyBorder="1" applyAlignment="1">
      <x:alignment vertical="center" wrapText="1"/>
    </x:xf>
    <x:xf numFmtId="200" fontId="27" fillId="7" borderId="13" xfId="0" applyNumberFormat="1" applyFont="1" applyFill="1" applyBorder="1" applyAlignment="1">
      <x:alignment vertical="center" wrapText="1"/>
    </x:xf>
    <x:xf numFmtId="201" fontId="27" fillId="7" borderId="13" xfId="0" applyNumberFormat="1" applyFont="1" applyFill="1" applyBorder="1" applyAlignment="1">
      <x:alignment vertical="center" wrapText="1"/>
    </x:xf>
    <x:xf numFmtId="202" fontId="27" fillId="7" borderId="13" xfId="0" applyNumberFormat="1" applyFont="1" applyFill="1" applyBorder="1" applyAlignment="1">
      <x:alignment vertical="center" wrapText="1"/>
    </x:xf>
    <x:xf numFmtId="203" fontId="27" fillId="7" borderId="13" xfId="0" applyNumberFormat="1" applyFont="1" applyFill="1" applyBorder="1" applyAlignment="1">
      <x:alignment vertical="center" wrapText="1"/>
    </x:xf>
    <x:xf numFmtId="204" fontId="27" fillId="7" borderId="13" xfId="0" applyNumberFormat="1" applyFont="1" applyFill="1" applyBorder="1" applyAlignment="1">
      <x:alignment vertical="center" wrapText="1"/>
    </x:xf>
    <x:xf numFmtId="0" fontId="26" fillId="7" borderId="13" xfId="0" applyNumberFormat="1" applyFont="1" applyFill="1" applyBorder="1" applyAlignment="1">
      <x:alignment vertical="center" wrapText="1"/>
    </x:xf>
    <x:xf numFmtId="0" fontId="27" fillId="7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horizontal="center" vertical="center" wrapText="1"/>
    </x:xf>
    <x:xf numFmtId="200" fontId="27" fillId="3" borderId="13" xfId="0" applyNumberFormat="1" applyFont="1" applyFill="1" applyBorder="1" applyAlignment="1">
      <x:alignment horizontal="center" vertical="center" wrapText="1"/>
    </x:xf>
    <x:xf numFmtId="201" fontId="27" fillId="3" borderId="13" xfId="0" applyNumberFormat="1" applyFont="1" applyFill="1" applyBorder="1" applyAlignment="1">
      <x:alignment horizontal="center" vertical="center" wrapText="1"/>
    </x:xf>
    <x:xf numFmtId="201" fontId="26" fillId="9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top" wrapText="1"/>
    </x:xf>
    <x:xf numFmtId="0" fontId="26" fillId="2" borderId="13" xfId="0" applyNumberFormat="1" applyFont="1" applyFill="1" applyBorder="1" applyAlignment="1">
      <x:alignment vertical="top" wrapText="1"/>
    </x:xf>
    <x:xf numFmtId="0" fontId="26" fillId="4" borderId="13" xfId="0" applyNumberFormat="1" applyFont="1" applyFill="1" applyBorder="1" applyAlignment="1">
      <x:alignment vertical="top" wrapText="1"/>
    </x:xf>
    <x:xf numFmtId="0" fontId="26" fillId="7" borderId="13" xfId="0" applyNumberFormat="1" applyFont="1" applyFill="1" applyBorder="1" applyAlignment="1">
      <x:alignment vertical="top" wrapText="1"/>
    </x:xf>
    <x:xf numFmtId="0" fontId="27" fillId="2" borderId="15" xfId="0" applyNumberFormat="1" applyFont="1" applyFill="1" applyBorder="1" applyAlignment="1">
      <x:alignment vertical="center" wrapText="1"/>
    </x:xf>
    <x:xf numFmtId="200" fontId="27" fillId="2" borderId="15" xfId="0" applyNumberFormat="1" applyFont="1" applyFill="1" applyBorder="1" applyAlignment="1">
      <x:alignment vertical="center" wrapText="1"/>
    </x:xf>
    <x:xf numFmtId="201" fontId="27" fillId="2" borderId="15" xfId="0" applyNumberFormat="1" applyFont="1" applyFill="1" applyBorder="1" applyAlignment="1">
      <x:alignment vertical="center" wrapText="1"/>
    </x:xf>
    <x:xf numFmtId="202" fontId="27" fillId="2" borderId="15" xfId="0" applyNumberFormat="1" applyFont="1" applyFill="1" applyBorder="1" applyAlignment="1">
      <x:alignment vertical="center" wrapText="1"/>
    </x:xf>
    <x:xf numFmtId="203" fontId="27" fillId="2" borderId="15" xfId="0" applyNumberFormat="1" applyFont="1" applyFill="1" applyBorder="1" applyAlignment="1">
      <x:alignment vertical="center" wrapText="1"/>
    </x:xf>
    <x:xf numFmtId="204" fontId="27" fillId="2" borderId="15" xfId="0" applyNumberFormat="1" applyFont="1" applyFill="1" applyBorder="1" applyAlignment="1">
      <x:alignment vertical="center" wrapText="1"/>
    </x:xf>
    <x:xf numFmtId="0" fontId="26" fillId="2" borderId="15" xfId="0" applyNumberFormat="1" applyFont="1" applyFill="1" applyBorder="1" applyAlignment="1">
      <x:alignment vertical="center" wrapText="1"/>
    </x:xf>
    <x:xf numFmtId="0" fontId="27" fillId="2" borderId="15" xfId="0" applyNumberFormat="1" applyFont="1" applyFill="1" applyBorder="1" applyAlignment="1">
      <x:alignment vertical="top" wrapText="1"/>
    </x:xf>
    <x:xf numFmtId="0" fontId="27" fillId="2" borderId="16" xfId="0" applyNumberFormat="1" applyFont="1" applyFill="1" applyBorder="1" applyAlignment="1">
      <x:alignment vertical="center" wrapText="1"/>
    </x:xf>
    <x:xf numFmtId="200" fontId="27" fillId="2" borderId="16" xfId="0" applyNumberFormat="1" applyFont="1" applyFill="1" applyBorder="1" applyAlignment="1">
      <x:alignment vertical="center" wrapText="1"/>
    </x:xf>
    <x:xf numFmtId="201" fontId="27" fillId="2" borderId="16" xfId="0" applyNumberFormat="1" applyFont="1" applyFill="1" applyBorder="1" applyAlignment="1">
      <x:alignment vertical="center" wrapText="1"/>
    </x:xf>
    <x:xf numFmtId="202" fontId="27" fillId="2" borderId="16" xfId="0" applyNumberFormat="1" applyFont="1" applyFill="1" applyBorder="1" applyAlignment="1">
      <x:alignment vertical="center" wrapText="1"/>
    </x:xf>
    <x:xf numFmtId="203" fontId="27" fillId="2" borderId="16" xfId="0" applyNumberFormat="1" applyFont="1" applyFill="1" applyBorder="1" applyAlignment="1">
      <x:alignment vertical="center" wrapText="1"/>
    </x:xf>
    <x:xf numFmtId="204" fontId="27" fillId="2" borderId="16" xfId="0" applyNumberFormat="1" applyFont="1" applyFill="1" applyBorder="1" applyAlignment="1">
      <x:alignment vertical="center" wrapText="1"/>
    </x:xf>
    <x:xf numFmtId="0" fontId="26" fillId="2" borderId="16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vertical="center" wrapText="1"/>
    </x:xf>
    <x:xf numFmtId="200" fontId="27" fillId="3" borderId="16" xfId="0" applyNumberFormat="1" applyFont="1" applyFill="1" applyBorder="1" applyAlignment="1">
      <x:alignment vertical="center" wrapText="1"/>
    </x:xf>
    <x:xf numFmtId="201" fontId="27" fillId="3" borderId="16" xfId="0" applyNumberFormat="1" applyFont="1" applyFill="1" applyBorder="1" applyAlignment="1">
      <x:alignment vertical="center" wrapText="1"/>
    </x:xf>
    <x:xf numFmtId="202" fontId="27" fillId="3" borderId="16" xfId="0" applyNumberFormat="1" applyFont="1" applyFill="1" applyBorder="1" applyAlignment="1">
      <x:alignment vertical="center" wrapText="1"/>
    </x:xf>
    <x:xf numFmtId="203" fontId="27" fillId="3" borderId="16" xfId="0" applyNumberFormat="1" applyFont="1" applyFill="1" applyBorder="1" applyAlignment="1">
      <x:alignment vertical="center" wrapText="1"/>
    </x:xf>
    <x:xf numFmtId="204" fontId="27" fillId="3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center" wrapText="1"/>
    </x:xf>
    <x:xf numFmtId="0" fontId="27" fillId="3" borderId="16" xfId="0" applyNumberFormat="1" applyFont="1" applyFill="1" applyBorder="1" applyAlignment="1">
      <x:alignment vertical="top" wrapText="1"/>
    </x:xf>
    <x:xf numFmtId="0" fontId="27" fillId="4" borderId="16" xfId="0" applyNumberFormat="1" applyFont="1" applyFill="1" applyBorder="1" applyAlignment="1">
      <x:alignment vertical="center" wrapText="1"/>
    </x:xf>
    <x:xf numFmtId="200" fontId="27" fillId="4" borderId="16" xfId="0" applyNumberFormat="1" applyFont="1" applyFill="1" applyBorder="1" applyAlignment="1">
      <x:alignment vertical="center" wrapText="1"/>
    </x:xf>
    <x:xf numFmtId="201" fontId="27" fillId="4" borderId="16" xfId="0" applyNumberFormat="1" applyFont="1" applyFill="1" applyBorder="1" applyAlignment="1">
      <x:alignment vertical="center" wrapText="1"/>
    </x:xf>
    <x:xf numFmtId="202" fontId="27" fillId="4" borderId="16" xfId="0" applyNumberFormat="1" applyFont="1" applyFill="1" applyBorder="1" applyAlignment="1">
      <x:alignment vertical="center" wrapText="1"/>
    </x:xf>
    <x:xf numFmtId="203" fontId="27" fillId="4" borderId="16" xfId="0" applyNumberFormat="1" applyFont="1" applyFill="1" applyBorder="1" applyAlignment="1">
      <x:alignment vertical="center" wrapText="1"/>
    </x:xf>
    <x:xf numFmtId="204" fontId="27" fillId="4" borderId="16" xfId="0" applyNumberFormat="1" applyFont="1" applyFill="1" applyBorder="1" applyAlignment="1">
      <x:alignment vertical="center" wrapText="1"/>
    </x:xf>
    <x:xf numFmtId="0" fontId="26" fillId="4" borderId="16" xfId="0" applyNumberFormat="1" applyFont="1" applyFill="1" applyBorder="1" applyAlignment="1">
      <x:alignment vertical="center" wrapText="1"/>
    </x:xf>
    <x:xf numFmtId="0" fontId="27" fillId="4" borderId="16" xfId="0" applyNumberFormat="1" applyFont="1" applyFill="1" applyBorder="1" applyAlignment="1">
      <x:alignment vertical="top" wrapText="1"/>
    </x:xf>
    <x:xf numFmtId="0" fontId="27" fillId="7" borderId="16" xfId="0" applyNumberFormat="1" applyFont="1" applyFill="1" applyBorder="1" applyAlignment="1">
      <x:alignment vertical="center" wrapText="1"/>
    </x:xf>
    <x:xf numFmtId="200" fontId="27" fillId="7" borderId="16" xfId="0" applyNumberFormat="1" applyFont="1" applyFill="1" applyBorder="1" applyAlignment="1">
      <x:alignment vertical="center" wrapText="1"/>
    </x:xf>
    <x:xf numFmtId="201" fontId="27" fillId="7" borderId="16" xfId="0" applyNumberFormat="1" applyFont="1" applyFill="1" applyBorder="1" applyAlignment="1">
      <x:alignment vertical="center" wrapText="1"/>
    </x:xf>
    <x:xf numFmtId="202" fontId="27" fillId="7" borderId="16" xfId="0" applyNumberFormat="1" applyFont="1" applyFill="1" applyBorder="1" applyAlignment="1">
      <x:alignment vertical="center" wrapText="1"/>
    </x:xf>
    <x:xf numFmtId="203" fontId="27" fillId="7" borderId="16" xfId="0" applyNumberFormat="1" applyFont="1" applyFill="1" applyBorder="1" applyAlignment="1">
      <x:alignment vertical="center" wrapText="1"/>
    </x:xf>
    <x:xf numFmtId="204" fontId="27" fillId="7" borderId="16" xfId="0" applyNumberFormat="1" applyFont="1" applyFill="1" applyBorder="1" applyAlignment="1">
      <x:alignment vertical="center" wrapText="1"/>
    </x:xf>
    <x:xf numFmtId="0" fontId="26" fillId="7" borderId="16" xfId="0" applyNumberFormat="1" applyFont="1" applyFill="1" applyBorder="1" applyAlignment="1">
      <x:alignment vertical="center" wrapText="1"/>
    </x:xf>
    <x:xf numFmtId="0" fontId="27" fillId="7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horizontal="center" vertical="center" wrapText="1"/>
    </x:xf>
    <x:xf numFmtId="200" fontId="27" fillId="3" borderId="16" xfId="0" applyNumberFormat="1" applyFont="1" applyFill="1" applyBorder="1" applyAlignment="1">
      <x:alignment horizontal="center" vertical="center" wrapText="1"/>
    </x:xf>
    <x:xf numFmtId="201" fontId="27" fillId="3" borderId="16" xfId="0" applyNumberFormat="1" applyFont="1" applyFill="1" applyBorder="1" applyAlignment="1">
      <x:alignment horizontal="center" vertical="center" wrapText="1"/>
    </x:xf>
    <x:xf numFmtId="201" fontId="26" fillId="9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top" wrapText="1"/>
    </x:xf>
    <x:xf numFmtId="0" fontId="26" fillId="2" borderId="16" xfId="0" applyNumberFormat="1" applyFont="1" applyFill="1" applyBorder="1" applyAlignment="1">
      <x:alignment vertical="top" wrapText="1"/>
    </x:xf>
    <x:xf numFmtId="0" fontId="26" fillId="4" borderId="16" xfId="0" applyNumberFormat="1" applyFont="1" applyFill="1" applyBorder="1" applyAlignment="1">
      <x:alignment vertical="top" wrapText="1"/>
    </x:xf>
    <x:xf numFmtId="0" fontId="26" fillId="7" borderId="1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16" fillId="6" borderId="2" xfId="0" applyNumberFormat="1" applyFont="1" applyFill="1" applyBorder="1" applyAlignment="1">
      <x:alignment horizontal="center" vertical="center" wrapText="1"/>
    </x:xf>
    <x:xf numFmtId="0" fontId="16" fillId="6" borderId="3" xfId="0" applyNumberFormat="1" applyFont="1" applyFill="1" applyBorder="1" applyAlignment="1">
      <x:alignment horizontal="center" vertical="center" wrapText="1"/>
    </x:xf>
    <x:xf numFmtId="0" fontId="16" fillId="6" borderId="4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horizontal="center" vertical="center"/>
    </x:xf>
    <x:xf numFmtId="202" fontId="25" fillId="14" borderId="0" xfId="0" applyNumberFormat="1" applyFont="1" applyFill="1" applyBorder="1" applyAlignment="1">
      <x:alignment horizontal="center" vertical="center"/>
    </x:xf>
    <x:xf numFmtId="203" fontId="25" fillId="14" borderId="0" xfId="0" applyNumberFormat="1" applyFont="1" applyFill="1" applyBorder="1" applyAlignment="1">
      <x:alignment horizontal="center" vertical="center"/>
    </x:xf>
    <x:xf numFmtId="201" fontId="25" fillId="14" borderId="0" xfId="0" applyNumberFormat="1" applyFont="1" applyFill="1" applyBorder="1" applyAlignment="1">
      <x:alignment horizontal="center" vertical="center"/>
    </x:xf>
    <x:xf numFmtId="0" fontId="28" fillId="14" borderId="0" xfId="0" applyNumberFormat="1" applyFont="1" applyFill="1" applyBorder="1" applyAlignment="1">
      <x:alignment horizontal="center" vertical="center"/>
    </x:xf>
    <x:xf numFmtId="0" fontId="25" fillId="14" borderId="0" xfId="0" applyNumberFormat="1" applyFont="1" applyFill="1" applyBorder="1" applyAlignment="1">
      <x:alignment vertical="center" wrapText="1"/>
    </x:xf>
    <x:xf numFmtId="0" fontId="16" fillId="35" borderId="2" xfId="0" applyNumberFormat="1" applyFont="1" applyFill="1" applyBorder="1" applyAlignment="1">
      <x:alignment horizontal="center" vertical="center" wrapText="1"/>
    </x:xf>
    <x:xf numFmtId="0" fontId="16" fillId="35" borderId="3" xfId="0" applyNumberFormat="1" applyFont="1" applyFill="1" applyBorder="1" applyAlignment="1">
      <x:alignment horizontal="center" vertical="center" wrapText="1"/>
    </x:xf>
    <x:xf numFmtId="0" fontId="16" fillId="35" borderId="4" xfId="0" applyNumberFormat="1" applyFont="1" applyFill="1" applyBorder="1" applyAlignment="1">
      <x:alignment horizontal="center" vertical="center" wrapText="1"/>
    </x:xf>
    <x:xf numFmtId="0" fontId="7" fillId="35" borderId="2" xfId="0" applyNumberFormat="1" applyFont="1" applyFill="1" applyBorder="1" applyAlignment="1">
      <x:alignment horizontal="center" vertical="center" wrapText="1"/>
    </x:xf>
    <x:xf numFmtId="0" fontId="7" fillId="35" borderId="3" xfId="0" applyNumberFormat="1" applyFont="1" applyFill="1" applyBorder="1" applyAlignment="1">
      <x:alignment horizontal="center" vertical="center" wrapText="1"/>
    </x:xf>
    <x:xf numFmtId="0" fontId="7" fillId="35" borderId="4" xfId="0" applyNumberFormat="1" applyFont="1" applyFill="1" applyBorder="1" applyAlignment="1">
      <x:alignment horizontal="center" vertical="center" wrapText="1"/>
    </x:xf>
    <x:xf numFmtId="0" fontId="7" fillId="35" borderId="8" xfId="0" applyNumberFormat="1" applyFont="1" applyFill="1" applyBorder="1" applyAlignment="1">
      <x:alignment horizontal="center" vertical="center" wrapText="1"/>
    </x:xf>
    <x:xf numFmtId="202" fontId="27" fillId="2" borderId="0" xfId="0" applyNumberFormat="1" applyFont="1" applyFill="1" applyBorder="1" applyAlignment="1">
      <x:alignment horizontal="center" vertical="center"/>
    </x:xf>
    <x:xf numFmtId="203" fontId="27" fillId="2" borderId="0" xfId="0" applyNumberFormat="1" applyFont="1" applyFill="1" applyBorder="1" applyAlignment="1">
      <x:alignment horizontal="center" vertical="center"/>
    </x:xf>
    <x:xf numFmtId="201" fontId="27" fillId="2" borderId="0" xfId="0" applyNumberFormat="1" applyFont="1" applyFill="1" applyBorder="1" applyAlignment="1">
      <x:alignment horizontal="center" vertical="center"/>
    </x:xf>
    <x:xf numFmtId="0" fontId="26" fillId="2" borderId="0" xfId="0" applyNumberFormat="1" applyFont="1" applyFill="1" applyBorder="1" applyAlignment="1">
      <x:alignment horizontal="center" vertical="center"/>
    </x:xf>
    <x:xf numFmtId="202" fontId="26" fillId="9" borderId="0" xfId="0" applyNumberFormat="1" applyFont="1" applyFill="1" applyBorder="1" applyAlignment="1">
      <x:alignment horizontal="center" vertical="center"/>
    </x:xf>
    <x:xf numFmtId="203" fontId="26" fillId="9" borderId="0" xfId="0" applyNumberFormat="1" applyFont="1" applyFill="1" applyBorder="1" applyAlignment="1">
      <x:alignment horizontal="center" vertical="center"/>
    </x:xf>
    <x:xf numFmtId="201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vertical="center" wrapText="1"/>
    </x:xf>
    <x:xf numFmtId="202" fontId="29" fillId="14" borderId="0" xfId="0" applyNumberFormat="1" applyFont="1" applyFill="1" applyBorder="1" applyAlignment="1">
      <x:alignment horizontal="center" vertical="center"/>
    </x:xf>
    <x:xf numFmtId="203" fontId="29" fillId="14" borderId="0" xfId="0" applyNumberFormat="1" applyFont="1" applyFill="1" applyBorder="1" applyAlignment="1">
      <x:alignment horizontal="center" vertical="center"/>
    </x:xf>
    <x:xf numFmtId="201" fontId="29" fillId="14" borderId="0" xfId="0" applyNumberFormat="1" applyFont="1" applyFill="1" applyBorder="1" applyAlignment="1">
      <x:alignment horizontal="center" vertical="center"/>
    </x:xf>
    <x:xf numFmtId="0" fontId="30" fillId="14" borderId="0" xfId="0" applyNumberFormat="1" applyFont="1" applyFill="1" applyBorder="1" applyAlignment="1">
      <x:alignment horizontal="center" vertical="center"/>
    </x:xf>
    <x:xf numFmtId="0" fontId="29" fillId="14" borderId="0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horizontal="center" vertical="center"/>
    </x:xf>
    <x:xf numFmtId="203" fontId="27" fillId="2" borderId="12" xfId="0" applyNumberFormat="1" applyFont="1" applyFill="1" applyBorder="1" applyAlignment="1">
      <x:alignment horizontal="center" vertical="center"/>
    </x:xf>
    <x:xf numFmtId="201" fontId="27" fillId="2" borderId="12" xfId="0" applyNumberFormat="1" applyFont="1" applyFill="1" applyBorder="1" applyAlignment="1">
      <x:alignment horizontal="center" vertical="center"/>
    </x:xf>
    <x:xf numFmtId="0" fontId="26" fillId="2" borderId="12" xfId="0" applyNumberFormat="1" applyFont="1" applyFill="1" applyBorder="1" applyAlignment="1">
      <x:alignment horizontal="center" vertical="center"/>
    </x:xf>
    <x:xf numFmtId="202" fontId="27" fillId="2" borderId="13" xfId="0" applyNumberFormat="1" applyFont="1" applyFill="1" applyBorder="1" applyAlignment="1">
      <x:alignment horizontal="center" vertical="center"/>
    </x:xf>
    <x:xf numFmtId="203" fontId="27" fillId="2" borderId="13" xfId="0" applyNumberFormat="1" applyFont="1" applyFill="1" applyBorder="1" applyAlignment="1">
      <x:alignment horizontal="center" vertical="center"/>
    </x:xf>
    <x:xf numFmtId="201" fontId="27" fillId="2" borderId="13" xfId="0" applyNumberFormat="1" applyFont="1" applyFill="1" applyBorder="1" applyAlignment="1">
      <x:alignment horizontal="center" vertical="center"/>
    </x:xf>
    <x:xf numFmtId="0" fontId="26" fillId="2" borderId="13" xfId="0" applyNumberFormat="1" applyFont="1" applyFill="1" applyBorder="1" applyAlignment="1">
      <x:alignment horizontal="center" vertical="center"/>
    </x:xf>
    <x:xf numFmtId="202" fontId="26" fillId="9" borderId="13" xfId="0" applyNumberFormat="1" applyFont="1" applyFill="1" applyBorder="1" applyAlignment="1">
      <x:alignment horizontal="center" vertical="center"/>
    </x:xf>
    <x:xf numFmtId="203" fontId="26" fillId="9" borderId="13" xfId="0" applyNumberFormat="1" applyFont="1" applyFill="1" applyBorder="1" applyAlignment="1">
      <x:alignment horizontal="center" vertical="center"/>
    </x:xf>
    <x:xf numFmtId="201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vertical="center" wrapText="1"/>
    </x:xf>
    <x:xf numFmtId="202" fontId="29" fillId="14" borderId="13" xfId="0" applyNumberFormat="1" applyFont="1" applyFill="1" applyBorder="1" applyAlignment="1">
      <x:alignment horizontal="center" vertical="center"/>
    </x:xf>
    <x:xf numFmtId="203" fontId="29" fillId="14" borderId="13" xfId="0" applyNumberFormat="1" applyFont="1" applyFill="1" applyBorder="1" applyAlignment="1">
      <x:alignment horizontal="center" vertical="center"/>
    </x:xf>
    <x:xf numFmtId="201" fontId="29" fillId="14" borderId="13" xfId="0" applyNumberFormat="1" applyFont="1" applyFill="1" applyBorder="1" applyAlignment="1">
      <x:alignment horizontal="center" vertical="center"/>
    </x:xf>
    <x:xf numFmtId="0" fontId="30" fillId="14" borderId="13" xfId="0" applyNumberFormat="1" applyFont="1" applyFill="1" applyBorder="1" applyAlignment="1">
      <x:alignment horizontal="center" vertical="center"/>
    </x:xf>
    <x:xf numFmtId="0" fontId="29" fillId="14" borderId="13" xfId="0" applyNumberFormat="1" applyFont="1" applyFill="1" applyBorder="1" applyAlignment="1">
      <x:alignment vertical="center" wrapText="1"/>
    </x:xf>
    <x:xf numFmtId="202" fontId="29" fillId="14" borderId="15" xfId="0" applyNumberFormat="1" applyFont="1" applyFill="1" applyBorder="1" applyAlignment="1">
      <x:alignment horizontal="center" vertical="center"/>
    </x:xf>
    <x:xf numFmtId="203" fontId="29" fillId="14" borderId="15" xfId="0" applyNumberFormat="1" applyFont="1" applyFill="1" applyBorder="1" applyAlignment="1">
      <x:alignment horizontal="center" vertical="center"/>
    </x:xf>
    <x:xf numFmtId="201" fontId="29" fillId="14" borderId="15" xfId="0" applyNumberFormat="1" applyFont="1" applyFill="1" applyBorder="1" applyAlignment="1">
      <x:alignment horizontal="center" vertical="center"/>
    </x:xf>
    <x:xf numFmtId="0" fontId="30" fillId="14" borderId="15" xfId="0" applyNumberFormat="1" applyFont="1" applyFill="1" applyBorder="1" applyAlignment="1">
      <x:alignment horizontal="center" vertical="center"/>
    </x:xf>
    <x:xf numFmtId="0" fontId="29" fillId="14" borderId="15" xfId="0" applyNumberFormat="1" applyFont="1" applyFill="1" applyBorder="1" applyAlignment="1">
      <x:alignment vertical="center" wrapText="1"/>
    </x:xf>
    <x:xf numFmtId="0" fontId="26" fillId="9" borderId="13" xfId="0" applyNumberFormat="1" applyFont="1" applyFill="1" applyBorder="1" applyAlignment="1">
      <x:alignment vertical="top" wrapText="1"/>
    </x:xf>
    <x:xf numFmtId="0" fontId="29" fillId="14" borderId="13" xfId="0" applyNumberFormat="1" applyFont="1" applyFill="1" applyBorder="1" applyAlignment="1">
      <x:alignment vertical="top" wrapText="1"/>
    </x:xf>
    <x:xf numFmtId="0" fontId="29" fillId="14" borderId="15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16" fillId="5" borderId="9" xfId="0" applyNumberFormat="1" applyFont="1" applyFill="1" applyBorder="1" applyAlignment="1">
      <x:alignment horizontal="center" vertical="center"/>
    </x:xf>
    <x:xf numFmtId="0" fontId="16" fillId="5" borderId="10" xfId="0" applyNumberFormat="1" applyFont="1" applyFill="1" applyBorder="1" applyAlignment="1">
      <x:alignment horizontal="center" vertical="center"/>
    </x:xf>
    <x:xf numFmtId="0" fontId="16" fillId="5" borderId="11" xfId="0" applyNumberFormat="1" applyFont="1" applyFill="1" applyBorder="1" applyAlignment="1">
      <x:alignment horizontal="center" vertical="center"/>
    </x:xf>
    <x:xf numFmtId="0" fontId="16" fillId="6" borderId="8" xfId="0" applyNumberFormat="1" applyFont="1" applyFill="1" applyBorder="1" applyAlignment="1">
      <x:alignment horizontal="center" vertical="center" wrapText="1"/>
    </x:xf>
    <x:xf numFmtId="0" fontId="8" fillId="3" borderId="12" xfId="0" applyNumberFormat="1" applyFont="1" applyFill="1" applyBorder="1" applyAlignment="1">
      <x:alignment vertical="center"/>
    </x:xf>
    <x:xf numFmtId="202" fontId="8" fillId="3" borderId="12" xfId="0" applyNumberFormat="1" applyFont="1" applyFill="1" applyBorder="1" applyAlignment="1">
      <x:alignment vertical="center"/>
    </x:xf>
    <x:xf numFmtId="202" fontId="16" fillId="3" borderId="12" xfId="0" applyNumberFormat="1" applyFont="1" applyFill="1" applyBorder="1" applyAlignment="1">
      <x:alignment vertical="center"/>
    </x:xf>
    <x:xf numFmtId="205" fontId="8" fillId="3" borderId="12" xfId="0" applyNumberFormat="1" applyFont="1" applyFill="1" applyBorder="1" applyAlignment="1">
      <x:alignment vertical="center"/>
    </x:xf>
    <x:xf numFmtId="202" fontId="16" fillId="9" borderId="12" xfId="0" applyNumberFormat="1" applyFont="1" applyFill="1" applyBorder="1" applyAlignment="1">
      <x:alignment vertical="center"/>
    </x:xf>
    <x:xf numFmtId="203" fontId="16" fillId="9" borderId="12" xfId="0" applyNumberFormat="1" applyFont="1" applyFill="1" applyBorder="1" applyAlignment="1">
      <x:alignment vertical="center"/>
    </x:xf>
    <x:xf numFmtId="201" fontId="16" fillId="9" borderId="12" xfId="0" applyNumberFormat="1" applyFont="1" applyFill="1" applyBorder="1" applyAlignment="1">
      <x:alignment vertical="center"/>
    </x:xf>
    <x:xf numFmtId="201" fontId="8" fillId="3" borderId="12" xfId="0" applyNumberFormat="1" applyFont="1" applyFill="1" applyBorder="1" applyAlignment="1">
      <x:alignment vertical="center"/>
    </x:xf>
    <x:xf numFmtId="0" fontId="8" fillId="3" borderId="12" xfId="0" applyNumberFormat="1" applyFont="1" applyFill="1" applyBorder="1" applyAlignment="1">
      <x:alignment horizontal="center" vertical="center"/>
    </x:xf>
    <x:xf numFmtId="0" fontId="8" fillId="3" borderId="1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center" wrapText="1"/>
    </x:xf>
    <x:xf numFmtId="0" fontId="16" fillId="3" borderId="12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center"/>
    </x:xf>
    <x:xf numFmtId="202" fontId="8" fillId="3" borderId="13" xfId="0" applyNumberFormat="1" applyFont="1" applyFill="1" applyBorder="1" applyAlignment="1">
      <x:alignment vertical="center"/>
    </x:xf>
    <x:xf numFmtId="205" fontId="8" fillId="3" borderId="13" xfId="0" applyNumberFormat="1" applyFont="1" applyFill="1" applyBorder="1" applyAlignment="1">
      <x:alignment vertical="center"/>
    </x:xf>
    <x:xf numFmtId="203" fontId="8" fillId="3" borderId="13" xfId="0" applyNumberFormat="1" applyFont="1" applyFill="1" applyBorder="1" applyAlignment="1">
      <x:alignment vertical="center"/>
    </x:xf>
    <x:xf numFmtId="201" fontId="8" fillId="3" borderId="13" xfId="0" applyNumberFormat="1" applyFont="1" applyFill="1" applyBorder="1" applyAlignment="1">
      <x:alignment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center" wrapText="1"/>
    </x:xf>
    <x:xf numFmtId="202" fontId="16" fillId="3" borderId="13" xfId="0" applyNumberFormat="1" applyFont="1" applyFill="1" applyBorder="1" applyAlignment="1">
      <x:alignment vertical="center"/>
    </x:xf>
    <x:xf numFmtId="202" fontId="16" fillId="9" borderId="13" xfId="0" applyNumberFormat="1" applyFont="1" applyFill="1" applyBorder="1" applyAlignment="1">
      <x:alignment vertical="center"/>
    </x:xf>
    <x:xf numFmtId="203" fontId="16" fillId="9" borderId="13" xfId="0" applyNumberFormat="1" applyFont="1" applyFill="1" applyBorder="1" applyAlignment="1">
      <x:alignment vertical="center"/>
    </x:xf>
    <x:xf numFmtId="201" fontId="16" fillId="9" borderId="13" xfId="0" applyNumberFormat="1" applyFont="1" applyFill="1" applyBorder="1" applyAlignment="1">
      <x:alignment vertical="center"/>
    </x:xf>
    <x:xf numFmtId="0" fontId="16" fillId="3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center"/>
    </x:xf>
    <x:xf numFmtId="202" fontId="8" fillId="2" borderId="13" xfId="0" applyNumberFormat="1" applyFont="1" applyFill="1" applyBorder="1" applyAlignment="1">
      <x:alignment vertical="center"/>
    </x:xf>
    <x:xf numFmtId="205" fontId="8" fillId="2" borderId="13" xfId="0" applyNumberFormat="1" applyFont="1" applyFill="1" applyBorder="1" applyAlignment="1">
      <x:alignment vertical="center"/>
    </x:xf>
    <x:xf numFmtId="203" fontId="8" fillId="2" borderId="13" xfId="0" applyNumberFormat="1" applyFont="1" applyFill="1" applyBorder="1" applyAlignment="1">
      <x:alignment vertical="center"/>
    </x:xf>
    <x:xf numFmtId="201" fontId="8" fillId="2" borderId="13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top" wrapText="1"/>
    </x:xf>
    <x:xf numFmtId="0" fontId="8" fillId="2" borderId="13" xfId="0" applyNumberFormat="1" applyFont="1" applyFill="1" applyBorder="1" applyAlignment="1">
      <x:alignment vertical="center" wrapText="1"/>
    </x:xf>
    <x:xf numFmtId="202" fontId="16" fillId="2" borderId="13" xfId="0" applyNumberFormat="1" applyFont="1" applyFill="1" applyBorder="1" applyAlignment="1">
      <x:alignment vertical="center"/>
    </x:xf>
    <x:xf numFmtId="0" fontId="16" fillId="2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center"/>
    </x:xf>
    <x:xf numFmtId="202" fontId="8" fillId="4" borderId="13" xfId="0" applyNumberFormat="1" applyFont="1" applyFill="1" applyBorder="1" applyAlignment="1">
      <x:alignment vertical="center"/>
    </x:xf>
    <x:xf numFmtId="205" fontId="8" fillId="4" borderId="13" xfId="0" applyNumberFormat="1" applyFont="1" applyFill="1" applyBorder="1" applyAlignment="1">
      <x:alignment vertical="center"/>
    </x:xf>
    <x:xf numFmtId="203" fontId="8" fillId="4" borderId="13" xfId="0" applyNumberFormat="1" applyFont="1" applyFill="1" applyBorder="1" applyAlignment="1">
      <x:alignment vertical="center"/>
    </x:xf>
    <x:xf numFmtId="201" fontId="8" fillId="4" borderId="13" xfId="0" applyNumberFormat="1" applyFont="1" applyFill="1" applyBorder="1" applyAlignment="1">
      <x:alignment vertical="center"/>
    </x:xf>
    <x:xf numFmtId="0" fontId="8" fillId="4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top" wrapText="1"/>
    </x:xf>
    <x:xf numFmtId="0" fontId="8" fillId="4" borderId="13" xfId="0" applyNumberFormat="1" applyFont="1" applyFill="1" applyBorder="1" applyAlignment="1">
      <x:alignment vertical="center" wrapText="1"/>
    </x:xf>
    <x:xf numFmtId="202" fontId="16" fillId="4" borderId="13" xfId="0" applyNumberFormat="1" applyFont="1" applyFill="1" applyBorder="1" applyAlignment="1">
      <x:alignment vertical="center"/>
    </x:xf>
    <x:xf numFmtId="0" fontId="16" fillId="4" borderId="13" xfId="0" applyNumberFormat="1" applyFont="1" applyFill="1" applyBorder="1" applyAlignment="1">
      <x:alignment horizontal="center" vertical="center"/>
    </x:xf>
    <x:xf numFmtId="0" fontId="16" fillId="34" borderId="13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vertical="center"/>
    </x:xf>
    <x:xf numFmtId="202" fontId="8" fillId="7" borderId="13" xfId="0" applyNumberFormat="1" applyFont="1" applyFill="1" applyBorder="1" applyAlignment="1">
      <x:alignment vertical="center"/>
    </x:xf>
    <x:xf numFmtId="205" fontId="8" fillId="7" borderId="13" xfId="0" applyNumberFormat="1" applyFont="1" applyFill="1" applyBorder="1" applyAlignment="1">
      <x:alignment vertical="center"/>
    </x:xf>
    <x:xf numFmtId="203" fontId="8" fillId="7" borderId="13" xfId="0" applyNumberFormat="1" applyFont="1" applyFill="1" applyBorder="1" applyAlignment="1">
      <x:alignment vertical="center"/>
    </x:xf>
    <x:xf numFmtId="201" fontId="8" fillId="7" borderId="13" xfId="0" applyNumberFormat="1" applyFont="1" applyFill="1" applyBorder="1" applyAlignment="1">
      <x:alignment vertical="center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horizontal="center" vertical="center"/>
    </x:xf>
    <x:xf numFmtId="202" fontId="16" fillId="7" borderId="13" xfId="0" applyNumberFormat="1" applyFont="1" applyFill="1" applyBorder="1" applyAlignment="1">
      <x:alignment vertical="center"/>
    </x:xf>
    <x:xf numFmtId="0" fontId="16" fillId="7" borderId="13" xfId="0" applyNumberFormat="1" applyFont="1" applyFill="1" applyBorder="1" applyAlignment="1">
      <x:alignment horizontal="center" vertical="center"/>
    </x:xf>
    <x:xf numFmtId="202" fontId="16" fillId="33" borderId="13" xfId="0" applyNumberFormat="1" applyFont="1" applyFill="1" applyBorder="1" applyAlignment="1">
      <x:alignment vertical="center"/>
    </x:xf>
    <x:xf numFmtId="0" fontId="16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center"/>
    </x:xf>
    <x:xf numFmtId="202" fontId="27" fillId="3" borderId="12" xfId="0" applyNumberFormat="1" applyFont="1" applyFill="1" applyBorder="1" applyAlignment="1">
      <x:alignment vertical="center"/>
    </x:xf>
    <x:xf numFmtId="202" fontId="26" fillId="3" borderId="12" xfId="0" applyNumberFormat="1" applyFont="1" applyFill="1" applyBorder="1" applyAlignment="1">
      <x:alignment vertical="center"/>
    </x:xf>
    <x:xf numFmtId="205" fontId="27" fillId="3" borderId="12" xfId="0" applyNumberFormat="1" applyFont="1" applyFill="1" applyBorder="1" applyAlignment="1">
      <x:alignment vertical="center"/>
    </x:xf>
    <x:xf numFmtId="202" fontId="26" fillId="9" borderId="12" xfId="0" applyNumberFormat="1" applyFont="1" applyFill="1" applyBorder="1" applyAlignment="1">
      <x:alignment vertical="center"/>
    </x:xf>
    <x:xf numFmtId="203" fontId="26" fillId="9" borderId="12" xfId="0" applyNumberFormat="1" applyFont="1" applyFill="1" applyBorder="1" applyAlignment="1">
      <x:alignment vertical="center"/>
    </x:xf>
    <x:xf numFmtId="201" fontId="26" fillId="9" borderId="12" xfId="0" applyNumberFormat="1" applyFont="1" applyFill="1" applyBorder="1" applyAlignment="1">
      <x:alignment vertical="center"/>
    </x:xf>
    <x:xf numFmtId="201" fontId="27" fillId="3" borderId="12" xfId="0" applyNumberFormat="1" applyFont="1" applyFill="1" applyBorder="1" applyAlignment="1">
      <x:alignment vertical="center"/>
    </x:xf>
    <x:xf numFmtId="0" fontId="27" fillId="3" borderId="12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top" wrapText="1"/>
    </x:xf>
    <x:xf numFmtId="0" fontId="27" fillId="3" borderId="12" xfId="0" applyNumberFormat="1" applyFont="1" applyFill="1" applyBorder="1" applyAlignment="1">
      <x:alignment vertical="center" wrapText="1"/>
    </x:xf>
    <x:xf numFmtId="0" fontId="26" fillId="3" borderId="12" xfId="0" applyNumberFormat="1" applyFont="1" applyFill="1" applyBorder="1" applyAlignment="1">
      <x:alignment horizontal="center" vertical="center"/>
    </x:xf>
    <x:xf numFmtId="0" fontId="27" fillId="3" borderId="13" xfId="0" applyNumberFormat="1" applyFont="1" applyFill="1" applyBorder="1" applyAlignment="1">
      <x:alignment vertical="center"/>
    </x:xf>
    <x:xf numFmtId="202" fontId="27" fillId="3" borderId="13" xfId="0" applyNumberFormat="1" applyFont="1" applyFill="1" applyBorder="1" applyAlignment="1">
      <x:alignment vertical="center"/>
    </x:xf>
    <x:xf numFmtId="205" fontId="27" fillId="3" borderId="13" xfId="0" applyNumberFormat="1" applyFont="1" applyFill="1" applyBorder="1" applyAlignment="1">
      <x:alignment vertical="center"/>
    </x:xf>
    <x:xf numFmtId="203" fontId="27" fillId="3" borderId="13" xfId="0" applyNumberFormat="1" applyFont="1" applyFill="1" applyBorder="1" applyAlignment="1">
      <x:alignment vertical="center"/>
    </x:xf>
    <x:xf numFmtId="201" fontId="27" fillId="3" borderId="13" xfId="0" applyNumberFormat="1" applyFont="1" applyFill="1" applyBorder="1" applyAlignment="1">
      <x:alignment vertical="center"/>
    </x:xf>
    <x:xf numFmtId="0" fontId="27" fillId="3" borderId="13" xfId="0" applyNumberFormat="1" applyFont="1" applyFill="1" applyBorder="1" applyAlignment="1">
      <x:alignment horizontal="center" vertical="center"/>
    </x:xf>
    <x:xf numFmtId="202" fontId="26" fillId="3" borderId="13" xfId="0" applyNumberFormat="1" applyFont="1" applyFill="1" applyBorder="1" applyAlignment="1">
      <x:alignment vertical="center"/>
    </x:xf>
    <x:xf numFmtId="202" fontId="26" fillId="9" borderId="13" xfId="0" applyNumberFormat="1" applyFont="1" applyFill="1" applyBorder="1" applyAlignment="1">
      <x:alignment vertical="center"/>
    </x:xf>
    <x:xf numFmtId="203" fontId="26" fillId="9" borderId="13" xfId="0" applyNumberFormat="1" applyFont="1" applyFill="1" applyBorder="1" applyAlignment="1">
      <x:alignment vertical="center"/>
    </x:xf>
    <x:xf numFmtId="201" fontId="26" fillId="9" borderId="13" xfId="0" applyNumberFormat="1" applyFont="1" applyFill="1" applyBorder="1" applyAlignment="1">
      <x:alignment vertical="center"/>
    </x:xf>
    <x:xf numFmtId="0" fontId="26" fillId="3" borderId="13" xfId="0" applyNumberFormat="1" applyFont="1" applyFill="1" applyBorder="1" applyAlignment="1">
      <x:alignment horizontal="center" vertical="center"/>
    </x:xf>
    <x:xf numFmtId="0" fontId="27" fillId="2" borderId="13" xfId="0" applyNumberFormat="1" applyFont="1" applyFill="1" applyBorder="1" applyAlignment="1">
      <x:alignment vertical="center"/>
    </x:xf>
    <x:xf numFmtId="202" fontId="27" fillId="2" borderId="13" xfId="0" applyNumberFormat="1" applyFont="1" applyFill="1" applyBorder="1" applyAlignment="1">
      <x:alignment vertical="center"/>
    </x:xf>
    <x:xf numFmtId="205" fontId="27" fillId="2" borderId="13" xfId="0" applyNumberFormat="1" applyFont="1" applyFill="1" applyBorder="1" applyAlignment="1">
      <x:alignment vertical="center"/>
    </x:xf>
    <x:xf numFmtId="203" fontId="27" fillId="2" borderId="13" xfId="0" applyNumberFormat="1" applyFont="1" applyFill="1" applyBorder="1" applyAlignment="1">
      <x:alignment vertical="center"/>
    </x:xf>
    <x:xf numFmtId="201" fontId="27" fillId="2" borderId="13" xfId="0" applyNumberFormat="1" applyFont="1" applyFill="1" applyBorder="1" applyAlignment="1">
      <x:alignment vertical="center"/>
    </x:xf>
    <x:xf numFmtId="0" fontId="27" fillId="2" borderId="13" xfId="0" applyNumberFormat="1" applyFont="1" applyFill="1" applyBorder="1" applyAlignment="1">
      <x:alignment horizontal="center" vertical="center"/>
    </x:xf>
    <x:xf numFmtId="202" fontId="26" fillId="2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vertical="center"/>
    </x:xf>
    <x:xf numFmtId="202" fontId="27" fillId="4" borderId="13" xfId="0" applyNumberFormat="1" applyFont="1" applyFill="1" applyBorder="1" applyAlignment="1">
      <x:alignment vertical="center"/>
    </x:xf>
    <x:xf numFmtId="205" fontId="27" fillId="4" borderId="13" xfId="0" applyNumberFormat="1" applyFont="1" applyFill="1" applyBorder="1" applyAlignment="1">
      <x:alignment vertical="center"/>
    </x:xf>
    <x:xf numFmtId="203" fontId="27" fillId="4" borderId="13" xfId="0" applyNumberFormat="1" applyFont="1" applyFill="1" applyBorder="1" applyAlignment="1">
      <x:alignment vertical="center"/>
    </x:xf>
    <x:xf numFmtId="201" fontId="27" fillId="4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horizontal="center" vertical="center"/>
    </x:xf>
    <x:xf numFmtId="202" fontId="26" fillId="4" borderId="13" xfId="0" applyNumberFormat="1" applyFont="1" applyFill="1" applyBorder="1" applyAlignment="1">
      <x:alignment vertical="center"/>
    </x:xf>
    <x:xf numFmtId="0" fontId="26" fillId="4" borderId="13" xfId="0" applyNumberFormat="1" applyFont="1" applyFill="1" applyBorder="1" applyAlignment="1">
      <x:alignment horizontal="center" vertical="center"/>
    </x:xf>
    <x:xf numFmtId="0" fontId="26" fillId="34" borderId="13" xfId="0" applyNumberFormat="1" applyFont="1" applyFill="1" applyBorder="1" applyAlignment="1">
      <x:alignment horizontal="center" vertical="center"/>
    </x:xf>
    <x:xf numFmtId="0" fontId="27" fillId="7" borderId="13" xfId="0" applyNumberFormat="1" applyFont="1" applyFill="1" applyBorder="1" applyAlignment="1">
      <x:alignment vertical="center"/>
    </x:xf>
    <x:xf numFmtId="202" fontId="27" fillId="7" borderId="13" xfId="0" applyNumberFormat="1" applyFont="1" applyFill="1" applyBorder="1" applyAlignment="1">
      <x:alignment vertical="center"/>
    </x:xf>
    <x:xf numFmtId="205" fontId="27" fillId="7" borderId="13" xfId="0" applyNumberFormat="1" applyFont="1" applyFill="1" applyBorder="1" applyAlignment="1">
      <x:alignment vertical="center"/>
    </x:xf>
    <x:xf numFmtId="203" fontId="27" fillId="7" borderId="13" xfId="0" applyNumberFormat="1" applyFont="1" applyFill="1" applyBorder="1" applyAlignment="1">
      <x:alignment vertical="center"/>
    </x:xf>
    <x:xf numFmtId="201" fontId="27" fillId="7" borderId="13" xfId="0" applyNumberFormat="1" applyFont="1" applyFill="1" applyBorder="1" applyAlignment="1">
      <x:alignment vertical="center"/>
    </x:xf>
    <x:xf numFmtId="0" fontId="27" fillId="7" borderId="13" xfId="0" applyNumberFormat="1" applyFont="1" applyFill="1" applyBorder="1" applyAlignment="1">
      <x:alignment horizontal="center" vertical="center"/>
    </x:xf>
    <x:xf numFmtId="202" fontId="26" fillId="7" borderId="13" xfId="0" applyNumberFormat="1" applyFont="1" applyFill="1" applyBorder="1" applyAlignment="1">
      <x:alignment vertical="center"/>
    </x:xf>
    <x:xf numFmtId="0" fontId="26" fillId="7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center"/>
    </x:xf>
    <x:xf numFmtId="202" fontId="27" fillId="33" borderId="13" xfId="0" applyNumberFormat="1" applyFont="1" applyFill="1" applyBorder="1" applyAlignment="1">
      <x:alignment vertical="center"/>
    </x:xf>
    <x:xf numFmtId="205" fontId="27" fillId="33" borderId="13" xfId="0" applyNumberFormat="1" applyFont="1" applyFill="1" applyBorder="1" applyAlignment="1">
      <x:alignment vertical="center"/>
    </x:xf>
    <x:xf numFmtId="203" fontId="27" fillId="33" borderId="13" xfId="0" applyNumberFormat="1" applyFont="1" applyFill="1" applyBorder="1" applyAlignment="1">
      <x:alignment vertical="center"/>
    </x:xf>
    <x:xf numFmtId="201" fontId="27" fillId="33" borderId="13" xfId="0" applyNumberFormat="1" applyFont="1" applyFill="1" applyBorder="1" applyAlignment="1">
      <x:alignment vertical="center"/>
    </x:xf>
    <x:xf numFmtId="0" fontId="27" fillId="33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top" wrapText="1"/>
    </x:xf>
    <x:xf numFmtId="0" fontId="27" fillId="33" borderId="13" xfId="0" applyNumberFormat="1" applyFont="1" applyFill="1" applyBorder="1" applyAlignment="1">
      <x:alignment vertical="center" wrapText="1"/>
    </x:xf>
    <x:xf numFmtId="202" fontId="26" fillId="33" borderId="13" xfId="0" applyNumberFormat="1" applyFont="1" applyFill="1" applyBorder="1" applyAlignment="1">
      <x:alignment vertical="center"/>
    </x:xf>
    <x:xf numFmtId="0" fontId="26" fillId="33" borderId="13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center"/>
    </x:xf>
    <x:xf numFmtId="202" fontId="27" fillId="33" borderId="14" xfId="0" applyNumberFormat="1" applyFont="1" applyFill="1" applyBorder="1" applyAlignment="1">
      <x:alignment vertical="center"/>
    </x:xf>
    <x:xf numFmtId="205" fontId="27" fillId="33" borderId="14" xfId="0" applyNumberFormat="1" applyFont="1" applyFill="1" applyBorder="1" applyAlignment="1">
      <x:alignment vertical="center"/>
    </x:xf>
    <x:xf numFmtId="203" fontId="27" fillId="33" borderId="14" xfId="0" applyNumberFormat="1" applyFont="1" applyFill="1" applyBorder="1" applyAlignment="1">
      <x:alignment vertical="center"/>
    </x:xf>
    <x:xf numFmtId="201" fontId="27" fillId="33" borderId="14" xfId="0" applyNumberFormat="1" applyFont="1" applyFill="1" applyBorder="1" applyAlignment="1">
      <x:alignment vertical="center"/>
    </x:xf>
    <x:xf numFmtId="0" fontId="27" fillId="33" borderId="14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top" wrapText="1"/>
    </x:xf>
    <x:xf numFmtId="0" fontId="27" fillId="33" borderId="14" xfId="0" applyNumberFormat="1" applyFont="1" applyFill="1" applyBorder="1" applyAlignment="1">
      <x:alignment vertical="center" wrapText="1"/>
    </x:xf>
    <x:xf numFmtId="0" fontId="27" fillId="33" borderId="15" xfId="0" applyNumberFormat="1" applyFont="1" applyFill="1" applyBorder="1" applyAlignment="1">
      <x:alignment vertical="center"/>
    </x:xf>
    <x:xf numFmtId="202" fontId="27" fillId="33" borderId="15" xfId="0" applyNumberFormat="1" applyFont="1" applyFill="1" applyBorder="1" applyAlignment="1">
      <x:alignment vertical="center"/>
    </x:xf>
    <x:xf numFmtId="205" fontId="27" fillId="33" borderId="15" xfId="0" applyNumberFormat="1" applyFont="1" applyFill="1" applyBorder="1" applyAlignment="1">
      <x:alignment vertical="center"/>
    </x:xf>
    <x:xf numFmtId="203" fontId="27" fillId="33" borderId="15" xfId="0" applyNumberFormat="1" applyFont="1" applyFill="1" applyBorder="1" applyAlignment="1">
      <x:alignment vertical="center"/>
    </x:xf>
    <x:xf numFmtId="201" fontId="27" fillId="33" borderId="15" xfId="0" applyNumberFormat="1" applyFont="1" applyFill="1" applyBorder="1" applyAlignment="1">
      <x:alignment vertical="center"/>
    </x:xf>
    <x:xf numFmtId="0" fontId="27" fillId="33" borderId="15" xfId="0" applyNumberFormat="1" applyFont="1" applyFill="1" applyBorder="1" applyAlignment="1">
      <x:alignment horizontal="center" vertical="center"/>
    </x:xf>
    <x:xf numFmtId="0" fontId="27" fillId="33" borderId="15" xfId="0" applyNumberFormat="1" applyFont="1" applyFill="1" applyBorder="1" applyAlignment="1">
      <x:alignment vertical="top" wrapText="1"/>
    </x:xf>
    <x:xf numFmtId="0" fontId="27" fillId="33" borderId="15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2" xfId="0" applyNumberFormat="1" applyFont="1" applyFill="1" applyBorder="1" applyAlignment="1">
      <x:alignment vertical="center"/>
    </x:xf>
    <x:xf numFmtId="0" fontId="27" fillId="0" borderId="13" xfId="0" applyNumberFormat="1" applyFont="1" applyFill="1" applyBorder="1" applyAlignment="1">
      <x:alignment vertical="center"/>
    </x:xf>
    <x:xf numFmtId="0" fontId="27" fillId="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vertical="center"/>
    </x:xf>
    <x:xf numFmtId="0" fontId="27" fillId="36" borderId="13" xfId="0" applyNumberFormat="1" applyFont="1" applyFill="1" applyBorder="1" applyAlignment="1">
      <x:alignment vertical="center"/>
    </x:xf>
    <x:xf numFmtId="0" fontId="27" fillId="37" borderId="13" xfId="0" applyNumberFormat="1" applyFont="1" applyFill="1" applyBorder="1" applyAlignment="1">
      <x:alignment vertical="center"/>
    </x:xf>
    <x:xf numFmtId="0" fontId="27" fillId="38" borderId="13" xfId="0" applyNumberFormat="1" applyFont="1" applyFill="1" applyBorder="1" applyAlignment="1">
      <x:alignment vertical="center"/>
    </x:xf>
    <x:xf numFmtId="0" fontId="27" fillId="39" borderId="13" xfId="0" applyNumberFormat="1" applyFont="1" applyFill="1" applyBorder="1" applyAlignment="1">
      <x:alignment vertical="center"/>
    </x:xf>
    <x:xf numFmtId="0" fontId="27" fillId="40" borderId="13" xfId="0" applyNumberFormat="1" applyFont="1" applyFill="1" applyBorder="1" applyAlignment="1">
      <x:alignment vertical="center"/>
    </x:xf>
    <x:xf numFmtId="0" fontId="27" fillId="40" borderId="15" xfId="0" applyNumberFormat="1" applyFont="1" applyFill="1" applyBorder="1" applyAlignment="1">
      <x:alignment vertical="center"/>
    </x:xf>
    <x:xf numFmtId="202" fontId="27" fillId="36" borderId="12" xfId="0" applyNumberFormat="1" applyFont="1" applyFill="1" applyBorder="1" applyAlignment="1">
      <x:alignment vertical="center"/>
    </x:xf>
    <x:xf numFmtId="202" fontId="27" fillId="36" borderId="13" xfId="0" applyNumberFormat="1" applyFont="1" applyFill="1" applyBorder="1" applyAlignment="1">
      <x:alignment vertical="center"/>
    </x:xf>
    <x:xf numFmtId="202" fontId="27" fillId="37" borderId="13" xfId="0" applyNumberFormat="1" applyFont="1" applyFill="1" applyBorder="1" applyAlignment="1">
      <x:alignment vertical="center"/>
    </x:xf>
    <x:xf numFmtId="202" fontId="27" fillId="38" borderId="13" xfId="0" applyNumberFormat="1" applyFont="1" applyFill="1" applyBorder="1" applyAlignment="1">
      <x:alignment vertical="center"/>
    </x:xf>
    <x:xf numFmtId="202" fontId="27" fillId="39" borderId="13" xfId="0" applyNumberFormat="1" applyFont="1" applyFill="1" applyBorder="1" applyAlignment="1">
      <x:alignment vertical="center"/>
    </x:xf>
    <x:xf numFmtId="202" fontId="27" fillId="40" borderId="13" xfId="0" applyNumberFormat="1" applyFont="1" applyFill="1" applyBorder="1" applyAlignment="1">
      <x:alignment vertical="center"/>
    </x:xf>
    <x:xf numFmtId="202" fontId="27" fillId="40" borderId="15" xfId="0" applyNumberFormat="1" applyFont="1" applyFill="1" applyBorder="1" applyAlignment="1">
      <x:alignment vertical="center"/>
    </x:xf>
    <x:xf numFmtId="205" fontId="27" fillId="36" borderId="12" xfId="0" applyNumberFormat="1" applyFont="1" applyFill="1" applyBorder="1" applyAlignment="1">
      <x:alignment vertical="center"/>
    </x:xf>
    <x:xf numFmtId="205" fontId="27" fillId="36" borderId="13" xfId="0" applyNumberFormat="1" applyFont="1" applyFill="1" applyBorder="1" applyAlignment="1">
      <x:alignment vertical="center"/>
    </x:xf>
    <x:xf numFmtId="205" fontId="27" fillId="37" borderId="13" xfId="0" applyNumberFormat="1" applyFont="1" applyFill="1" applyBorder="1" applyAlignment="1">
      <x:alignment vertical="center"/>
    </x:xf>
    <x:xf numFmtId="205" fontId="27" fillId="38" borderId="13" xfId="0" applyNumberFormat="1" applyFont="1" applyFill="1" applyBorder="1" applyAlignment="1">
      <x:alignment vertical="center"/>
    </x:xf>
    <x:xf numFmtId="205" fontId="27" fillId="39" borderId="13" xfId="0" applyNumberFormat="1" applyFont="1" applyFill="1" applyBorder="1" applyAlignment="1">
      <x:alignment vertical="center"/>
    </x:xf>
    <x:xf numFmtId="205" fontId="27" fillId="40" borderId="13" xfId="0" applyNumberFormat="1" applyFont="1" applyFill="1" applyBorder="1" applyAlignment="1">
      <x:alignment vertical="center"/>
    </x:xf>
    <x:xf numFmtId="205" fontId="27" fillId="40" borderId="15" xfId="0" applyNumberFormat="1" applyFont="1" applyFill="1" applyBorder="1" applyAlignment="1">
      <x:alignment vertical="center"/>
    </x:xf>
    <x:xf numFmtId="203" fontId="27" fillId="36" borderId="12" xfId="0" applyNumberFormat="1" applyFont="1" applyFill="1" applyBorder="1" applyAlignment="1">
      <x:alignment vertical="center"/>
    </x:xf>
    <x:xf numFmtId="203" fontId="27" fillId="36" borderId="13" xfId="0" applyNumberFormat="1" applyFont="1" applyFill="1" applyBorder="1" applyAlignment="1">
      <x:alignment vertical="center"/>
    </x:xf>
    <x:xf numFmtId="203" fontId="27" fillId="37" borderId="13" xfId="0" applyNumberFormat="1" applyFont="1" applyFill="1" applyBorder="1" applyAlignment="1">
      <x:alignment vertical="center"/>
    </x:xf>
    <x:xf numFmtId="203" fontId="27" fillId="38" borderId="13" xfId="0" applyNumberFormat="1" applyFont="1" applyFill="1" applyBorder="1" applyAlignment="1">
      <x:alignment vertical="center"/>
    </x:xf>
    <x:xf numFmtId="203" fontId="27" fillId="39" borderId="13" xfId="0" applyNumberFormat="1" applyFont="1" applyFill="1" applyBorder="1" applyAlignment="1">
      <x:alignment vertical="center"/>
    </x:xf>
    <x:xf numFmtId="203" fontId="27" fillId="40" borderId="13" xfId="0" applyNumberFormat="1" applyFont="1" applyFill="1" applyBorder="1" applyAlignment="1">
      <x:alignment vertical="center"/>
    </x:xf>
    <x:xf numFmtId="203" fontId="27" fillId="40" borderId="15" xfId="0" applyNumberFormat="1" applyFont="1" applyFill="1" applyBorder="1" applyAlignment="1">
      <x:alignment vertical="center"/>
    </x:xf>
    <x:xf numFmtId="201" fontId="27" fillId="36" borderId="12" xfId="0" applyNumberFormat="1" applyFont="1" applyFill="1" applyBorder="1" applyAlignment="1">
      <x:alignment vertical="center"/>
    </x:xf>
    <x:xf numFmtId="201" fontId="27" fillId="36" borderId="13" xfId="0" applyNumberFormat="1" applyFont="1" applyFill="1" applyBorder="1" applyAlignment="1">
      <x:alignment vertical="center"/>
    </x:xf>
    <x:xf numFmtId="201" fontId="27" fillId="37" borderId="13" xfId="0" applyNumberFormat="1" applyFont="1" applyFill="1" applyBorder="1" applyAlignment="1">
      <x:alignment vertical="center"/>
    </x:xf>
    <x:xf numFmtId="201" fontId="27" fillId="38" borderId="13" xfId="0" applyNumberFormat="1" applyFont="1" applyFill="1" applyBorder="1" applyAlignment="1">
      <x:alignment vertical="center"/>
    </x:xf>
    <x:xf numFmtId="201" fontId="27" fillId="39" borderId="13" xfId="0" applyNumberFormat="1" applyFont="1" applyFill="1" applyBorder="1" applyAlignment="1">
      <x:alignment vertical="center"/>
    </x:xf>
    <x:xf numFmtId="201" fontId="27" fillId="40" borderId="13" xfId="0" applyNumberFormat="1" applyFont="1" applyFill="1" applyBorder="1" applyAlignment="1">
      <x:alignment vertical="center"/>
    </x:xf>
    <x:xf numFmtId="201" fontId="27" fillId="4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horizontal="center" vertical="center"/>
    </x:xf>
    <x:xf numFmtId="0" fontId="27" fillId="36" borderId="13" xfId="0" applyNumberFormat="1" applyFont="1" applyFill="1" applyBorder="1" applyAlignment="1">
      <x:alignment horizontal="center" vertical="center"/>
    </x:xf>
    <x:xf numFmtId="0" fontId="27" fillId="37" borderId="13" xfId="0" applyNumberFormat="1" applyFont="1" applyFill="1" applyBorder="1" applyAlignment="1">
      <x:alignment horizontal="center" vertical="center"/>
    </x:xf>
    <x:xf numFmtId="0" fontId="27" fillId="38" borderId="13" xfId="0" applyNumberFormat="1" applyFont="1" applyFill="1" applyBorder="1" applyAlignment="1">
      <x:alignment horizontal="center" vertical="center"/>
    </x:xf>
    <x:xf numFmtId="0" fontId="27" fillId="39" borderId="13" xfId="0" applyNumberFormat="1" applyFont="1" applyFill="1" applyBorder="1" applyAlignment="1">
      <x:alignment horizontal="center" vertical="center"/>
    </x:xf>
    <x:xf numFmtId="0" fontId="27" fillId="40" borderId="13" xfId="0" applyNumberFormat="1" applyFont="1" applyFill="1" applyBorder="1" applyAlignment="1">
      <x:alignment horizontal="center" vertical="center"/>
    </x:xf>
    <x:xf numFmtId="0" fontId="27" fillId="40" borderId="15" xfId="0" applyNumberFormat="1" applyFont="1" applyFill="1" applyBorder="1" applyAlignment="1">
      <x:alignment horizontal="center" vertical="center"/>
    </x:xf>
    <x:xf numFmtId="0" fontId="27" fillId="36" borderId="12" xfId="0" applyNumberFormat="1" applyFont="1" applyFill="1" applyBorder="1" applyAlignment="1">
      <x:alignment vertical="center" wrapText="1"/>
    </x:xf>
    <x:xf numFmtId="0" fontId="27" fillId="36" borderId="13" xfId="0" applyNumberFormat="1" applyFont="1" applyFill="1" applyBorder="1" applyAlignment="1">
      <x:alignment vertical="center" wrapText="1"/>
    </x:xf>
    <x:xf numFmtId="0" fontId="27" fillId="37" borderId="13" xfId="0" applyNumberFormat="1" applyFont="1" applyFill="1" applyBorder="1" applyAlignment="1">
      <x:alignment vertical="center" wrapText="1"/>
    </x:xf>
    <x:xf numFmtId="0" fontId="27" fillId="38" borderId="13" xfId="0" applyNumberFormat="1" applyFont="1" applyFill="1" applyBorder="1" applyAlignment="1">
      <x:alignment vertical="center" wrapText="1"/>
    </x:xf>
    <x:xf numFmtId="0" fontId="27" fillId="39" borderId="13" xfId="0" applyNumberFormat="1" applyFont="1" applyFill="1" applyBorder="1" applyAlignment="1">
      <x:alignment vertical="center" wrapText="1"/>
    </x:xf>
    <x:xf numFmtId="0" fontId="27" fillId="40" borderId="13" xfId="0" applyNumberFormat="1" applyFont="1" applyFill="1" applyBorder="1" applyAlignment="1">
      <x:alignment vertical="center" wrapText="1"/>
    </x:xf>
    <x:xf numFmtId="0" fontId="27" fillId="40" borderId="15" xfId="0" applyNumberFormat="1" applyFont="1" applyFill="1" applyBorder="1" applyAlignment="1">
      <x:alignment vertical="center" wrapText="1"/>
    </x:xf>
    <x:xf numFmtId="0" fontId="27" fillId="36" borderId="12" xfId="0" applyNumberFormat="1" applyFont="1" applyFill="1" applyBorder="1" applyAlignment="1">
      <x:alignment vertical="top" wrapText="1"/>
    </x:xf>
    <x:xf numFmtId="0" fontId="27" fillId="36" borderId="13" xfId="0" applyNumberFormat="1" applyFont="1" applyFill="1" applyBorder="1" applyAlignment="1">
      <x:alignment vertical="top" wrapText="1"/>
    </x:xf>
    <x:xf numFmtId="0" fontId="27" fillId="37" borderId="13" xfId="0" applyNumberFormat="1" applyFont="1" applyFill="1" applyBorder="1" applyAlignment="1">
      <x:alignment vertical="top" wrapText="1"/>
    </x:xf>
    <x:xf numFmtId="0" fontId="27" fillId="38" borderId="13" xfId="0" applyNumberFormat="1" applyFont="1" applyFill="1" applyBorder="1" applyAlignment="1">
      <x:alignment vertical="top" wrapText="1"/>
    </x:xf>
    <x:xf numFmtId="0" fontId="27" fillId="39" borderId="13" xfId="0" applyNumberFormat="1" applyFont="1" applyFill="1" applyBorder="1" applyAlignment="1">
      <x:alignment vertical="top" wrapText="1"/>
    </x:xf>
    <x:xf numFmtId="0" fontId="27" fillId="40" borderId="13" xfId="0" applyNumberFormat="1" applyFont="1" applyFill="1" applyBorder="1" applyAlignment="1">
      <x:alignment vertical="top" wrapText="1"/>
    </x:xf>
    <x:xf numFmtId="0" fontId="27" fillId="40" borderId="15" xfId="0" applyNumberFormat="1" applyFont="1" applyFill="1" applyBorder="1" applyAlignment="1">
      <x:alignment vertical="top" wrapText="1"/>
    </x:xf>
    <x:xf numFmtId="202" fontId="31" fillId="36" borderId="12" xfId="0" applyNumberFormat="1" applyFont="1" applyFill="1" applyBorder="1" applyAlignment="1">
      <x:alignment vertical="center"/>
    </x:xf>
    <x:xf numFmtId="202" fontId="27" fillId="41" borderId="12" xfId="0" applyNumberFormat="1" applyFont="1" applyFill="1" applyBorder="1" applyAlignment="1">
      <x:alignment vertical="center"/>
    </x:xf>
    <x:xf numFmtId="203" fontId="27" fillId="41" borderId="12" xfId="0" applyNumberFormat="1" applyFont="1" applyFill="1" applyBorder="1" applyAlignment="1">
      <x:alignment vertical="center"/>
    </x:xf>
    <x:xf numFmtId="201" fontId="27" fillId="41" borderId="12" xfId="0" applyNumberFormat="1" applyFont="1" applyFill="1" applyBorder="1" applyAlignment="1">
      <x:alignment vertical="center"/>
    </x:xf>
    <x:xf numFmtId="202" fontId="31" fillId="41" borderId="12" xfId="0" applyNumberFormat="1" applyFont="1" applyFill="1" applyBorder="1" applyAlignment="1">
      <x:alignment vertical="center"/>
    </x:xf>
    <x:xf numFmtId="203" fontId="31" fillId="41" borderId="12" xfId="0" applyNumberFormat="1" applyFont="1" applyFill="1" applyBorder="1" applyAlignment="1">
      <x:alignment vertical="center"/>
    </x:xf>
    <x:xf numFmtId="201" fontId="31" fillId="41" borderId="12" xfId="0" applyNumberFormat="1" applyFont="1" applyFill="1" applyBorder="1" applyAlignment="1">
      <x:alignment vertical="center"/>
    </x:xf>
    <x:xf numFmtId="0" fontId="31" fillId="36" borderId="12" xfId="0" applyNumberFormat="1" applyFont="1" applyFill="1" applyBorder="1" applyAlignment="1">
      <x:alignment horizontal="center" vertical="center"/>
    </x:xf>
    <x:xf numFmtId="202" fontId="31" fillId="36" borderId="13" xfId="0" applyNumberFormat="1" applyFont="1" applyFill="1" applyBorder="1" applyAlignment="1">
      <x:alignment vertical="center"/>
    </x:xf>
    <x:xf numFmtId="202" fontId="27" fillId="41" borderId="13" xfId="0" applyNumberFormat="1" applyFont="1" applyFill="1" applyBorder="1" applyAlignment="1">
      <x:alignment vertical="center"/>
    </x:xf>
    <x:xf numFmtId="203" fontId="27" fillId="41" borderId="13" xfId="0" applyNumberFormat="1" applyFont="1" applyFill="1" applyBorder="1" applyAlignment="1">
      <x:alignment vertical="center"/>
    </x:xf>
    <x:xf numFmtId="201" fontId="27" fillId="41" borderId="13" xfId="0" applyNumberFormat="1" applyFont="1" applyFill="1" applyBorder="1" applyAlignment="1">
      <x:alignment vertical="center"/>
    </x:xf>
    <x:xf numFmtId="202" fontId="31" fillId="41" borderId="13" xfId="0" applyNumberFormat="1" applyFont="1" applyFill="1" applyBorder="1" applyAlignment="1">
      <x:alignment vertical="center"/>
    </x:xf>
    <x:xf numFmtId="203" fontId="31" fillId="41" borderId="13" xfId="0" applyNumberFormat="1" applyFont="1" applyFill="1" applyBorder="1" applyAlignment="1">
      <x:alignment vertical="center"/>
    </x:xf>
    <x:xf numFmtId="201" fontId="31" fillId="41" borderId="13" xfId="0" applyNumberFormat="1" applyFont="1" applyFill="1" applyBorder="1" applyAlignment="1">
      <x:alignment vertical="center"/>
    </x:xf>
    <x:xf numFmtId="0" fontId="31" fillId="36" borderId="13" xfId="0" applyNumberFormat="1" applyFont="1" applyFill="1" applyBorder="1" applyAlignment="1">
      <x:alignment horizontal="center" vertical="center"/>
    </x:xf>
    <x:xf numFmtId="202" fontId="31" fillId="37" borderId="13" xfId="0" applyNumberFormat="1" applyFont="1" applyFill="1" applyBorder="1" applyAlignment="1">
      <x:alignment vertical="center"/>
    </x:xf>
    <x:xf numFmtId="0" fontId="31" fillId="37" borderId="13" xfId="0" applyNumberFormat="1" applyFont="1" applyFill="1" applyBorder="1" applyAlignment="1">
      <x:alignment horizontal="center" vertical="center"/>
    </x:xf>
    <x:xf numFmtId="202" fontId="31" fillId="38" borderId="13" xfId="0" applyNumberFormat="1" applyFont="1" applyFill="1" applyBorder="1" applyAlignment="1">
      <x:alignment vertical="center"/>
    </x:xf>
    <x:xf numFmtId="0" fontId="31" fillId="38" borderId="13" xfId="0" applyNumberFormat="1" applyFont="1" applyFill="1" applyBorder="1" applyAlignment="1">
      <x:alignment horizontal="center" vertical="center"/>
    </x:xf>
    <x:xf numFmtId="202" fontId="31" fillId="39" borderId="13" xfId="0" applyNumberFormat="1" applyFont="1" applyFill="1" applyBorder="1" applyAlignment="1">
      <x:alignment vertical="center"/>
    </x:xf>
    <x:xf numFmtId="0" fontId="31" fillId="39" borderId="13" xfId="0" applyNumberFormat="1" applyFont="1" applyFill="1" applyBorder="1" applyAlignment="1">
      <x:alignment horizontal="center" vertical="center"/>
    </x:xf>
    <x:xf numFmtId="202" fontId="31" fillId="40" borderId="13" xfId="0" applyNumberFormat="1" applyFont="1" applyFill="1" applyBorder="1" applyAlignment="1">
      <x:alignment vertical="center"/>
    </x:xf>
    <x:xf numFmtId="0" fontId="31" fillId="40" borderId="13" xfId="0" applyNumberFormat="1" applyFont="1" applyFill="1" applyBorder="1" applyAlignment="1">
      <x:alignment horizontal="center" vertical="center"/>
    </x:xf>
    <x:xf numFmtId="0" fontId="27" fillId="42" borderId="13" xfId="0" applyNumberFormat="1" applyFont="1" applyFill="1" applyBorder="1" applyAlignment="1">
      <x:alignment horizontal="center" vertical="center"/>
    </x:xf>
    <x:xf numFmtId="0" fontId="32" fillId="42" borderId="13" xfId="0" applyNumberFormat="1" applyFont="1" applyFill="1" applyBorder="1" applyAlignment="1">
      <x:alignment horizontal="center" vertical="center"/>
    </x:xf>
    <x:xf numFmtId="0" fontId="27" fillId="2" borderId="16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center" vertical="center" wrapText="1"/>
    </x:xf>
    <x:xf numFmtId="201" fontId="27" fillId="2" borderId="16" xfId="0" applyNumberFormat="1" applyFont="1" applyFill="1" applyBorder="1" applyAlignment="1">
      <x:alignment horizontal="center" vertical="center" wrapText="1"/>
    </x:xf>
    <x:xf numFmtId="0" fontId="27" fillId="4" borderId="16" xfId="0" applyNumberFormat="1" applyFont="1" applyFill="1" applyBorder="1" applyAlignment="1">
      <x:alignment horizontal="center" vertical="center" wrapText="1"/>
    </x:xf>
    <x:xf numFmtId="200" fontId="27" fillId="4" borderId="16" xfId="0" applyNumberFormat="1" applyFont="1" applyFill="1" applyBorder="1" applyAlignment="1">
      <x:alignment horizontal="center" vertical="center" wrapText="1"/>
    </x:xf>
    <x:xf numFmtId="201" fontId="27" fillId="4" borderId="16" xfId="0" applyNumberFormat="1" applyFont="1" applyFill="1" applyBorder="1" applyAlignment="1">
      <x:alignment horizontal="center" vertical="center" wrapText="1"/>
    </x:xf>
    <x:xf numFmtId="201" fontId="26" fillId="41" borderId="16" xfId="0" applyNumberFormat="1" applyFont="1" applyFill="1" applyBorder="1" applyAlignment="1">
      <x:alignment vertical="center" wrapText="1"/>
    </x:xf>
    <x:xf numFmtId="201" fontId="26" fillId="41" borderId="13" xfId="0" applyNumberFormat="1" applyFont="1" applyFill="1" applyBorder="1" applyAlignment="1">
      <x:alignment vertical="center" wrapText="1"/>
    </x:xf>
    <x:xf numFmtId="201" fontId="31" fillId="41" borderId="16" xfId="0" applyNumberFormat="1" applyFont="1" applyFill="1" applyBorder="1" applyAlignment="1">
      <x:alignment vertical="center" wrapText="1"/>
    </x:xf>
    <x:xf numFmtId="201" fontId="31" fillId="41" borderId="13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top" wrapText="1"/>
    </x:xf>
    <x:xf numFmtId="0" fontId="31" fillId="3" borderId="13" xfId="0" applyNumberFormat="1" applyFont="1" applyFill="1" applyBorder="1" applyAlignment="1">
      <x:alignment vertical="center" wrapText="1"/>
    </x:xf>
    <x:xf numFmtId="0" fontId="31" fillId="3" borderId="13" xfId="0" applyNumberFormat="1" applyFont="1" applyFill="1" applyBorder="1" applyAlignment="1">
      <x:alignment vertical="top" wrapText="1"/>
    </x:xf>
    <x:xf numFmtId="0" fontId="31" fillId="2" borderId="16" xfId="0" applyNumberFormat="1" applyFont="1" applyFill="1" applyBorder="1" applyAlignment="1">
      <x:alignment vertical="center" wrapText="1"/>
    </x:xf>
    <x:xf numFmtId="0" fontId="31" fillId="2" borderId="16" xfId="0" applyNumberFormat="1" applyFont="1" applyFill="1" applyBorder="1" applyAlignment="1">
      <x:alignment vertical="top" wrapText="1"/>
    </x:xf>
    <x:xf numFmtId="0" fontId="31" fillId="4" borderId="16" xfId="0" applyNumberFormat="1" applyFont="1" applyFill="1" applyBorder="1" applyAlignment="1">
      <x:alignment vertical="center" wrapText="1"/>
    </x:xf>
    <x:xf numFmtId="0" fontId="31" fillId="4" borderId="16" xfId="0" applyNumberFormat="1" applyFont="1" applyFill="1" applyBorder="1" applyAlignment="1">
      <x:alignment vertical="top" wrapText="1"/>
    </x:xf>
    <x:xf numFmtId="0" fontId="31" fillId="7" borderId="16" xfId="0" applyNumberFormat="1" applyFont="1" applyFill="1" applyBorder="1" applyAlignment="1">
      <x:alignment vertical="center" wrapText="1"/>
    </x:xf>
    <x:xf numFmtId="0" fontId="31" fillId="7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center" wrapText="1"/>
    </x:xf>
    <x:xf numFmtId="200" fontId="27" fillId="43" borderId="16" xfId="0" applyNumberFormat="1" applyFont="1" applyFill="1" applyBorder="1" applyAlignment="1">
      <x:alignment vertical="center" wrapText="1"/>
    </x:xf>
    <x:xf numFmtId="201" fontId="27" fillId="43" borderId="16" xfId="0" applyNumberFormat="1" applyFont="1" applyFill="1" applyBorder="1" applyAlignment="1">
      <x:alignment vertical="center" wrapText="1"/>
    </x:xf>
    <x:xf numFmtId="202" fontId="27" fillId="43" borderId="16" xfId="0" applyNumberFormat="1" applyFont="1" applyFill="1" applyBorder="1" applyAlignment="1">
      <x:alignment vertical="center" wrapText="1"/>
    </x:xf>
    <x:xf numFmtId="203" fontId="27" fillId="43" borderId="16" xfId="0" applyNumberFormat="1" applyFont="1" applyFill="1" applyBorder="1" applyAlignment="1">
      <x:alignment vertical="center" wrapText="1"/>
    </x:xf>
    <x:xf numFmtId="204" fontId="27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top" wrapText="1"/>
    </x:xf>
    <x:xf numFmtId="201" fontId="31" fillId="9" borderId="16" xfId="0" applyNumberFormat="1" applyFont="1" applyFill="1" applyBorder="1" applyAlignment="1">
      <x:alignment vertical="center" wrapText="1"/>
    </x:xf>
    <x:xf numFmtId="201" fontId="31" fillId="9" borderId="13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left" vertical="center" wrapText="1"/>
    </x:xf>
    <x:xf numFmtId="0" fontId="27" fillId="3" borderId="16" xfId="0" applyNumberFormat="1" applyFont="1" applyFill="1" applyBorder="1" applyAlignment="1">
      <x:alignment horizontal="left" vertical="center" wrapText="1"/>
    </x:xf>
    <x:xf numFmtId="0" fontId="27" fillId="3" borderId="13" xfId="0" applyNumberFormat="1" applyFont="1" applyFill="1" applyBorder="1" applyAlignment="1">
      <x:alignment horizontal="left" vertical="center" wrapText="1"/>
    </x:xf>
    <x:xf numFmtId="0" fontId="27" fillId="4" borderId="16" xfId="0" applyNumberFormat="1" applyFont="1" applyFill="1" applyBorder="1" applyAlignment="1">
      <x:alignment horizontal="left" vertical="center" wrapText="1"/>
    </x:xf>
    <x:xf numFmtId="0" fontId="27" fillId="4" borderId="13" xfId="0" applyNumberFormat="1" applyFont="1" applyFill="1" applyBorder="1" applyAlignment="1">
      <x:alignment horizontal="left" vertical="center" wrapText="1"/>
    </x:xf>
    <x:xf numFmtId="0" fontId="27" fillId="7" borderId="16" xfId="0" applyNumberFormat="1" applyFont="1" applyFill="1" applyBorder="1" applyAlignment="1">
      <x:alignment horizontal="left" vertical="center" wrapText="1"/>
    </x:xf>
    <x:xf numFmtId="0" fontId="27" fillId="7" borderId="13" xfId="0" applyNumberFormat="1" applyFont="1" applyFill="1" applyBorder="1" applyAlignment="1">
      <x:alignment horizontal="left" vertical="center" wrapText="1"/>
    </x:xf>
    <x:xf numFmtId="0" fontId="27" fillId="43" borderId="16" xfId="0" applyNumberFormat="1" applyFont="1" applyFill="1" applyBorder="1" applyAlignment="1">
      <x:alignment horizontal="left" vertical="center" wrapText="1"/>
    </x:xf>
    <x:xf numFmtId="0" fontId="27" fillId="2" borderId="15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center" vertical="center" wrapText="1"/>
    </x:xf>
    <x:xf numFmtId="0" fontId="27" fillId="4" borderId="13" xfId="0" applyNumberFormat="1" applyFont="1" applyFill="1" applyBorder="1" applyAlignment="1">
      <x:alignment horizontal="center" vertical="center" wrapText="1"/>
    </x:xf>
    <x:xf numFmtId="0" fontId="27" fillId="7" borderId="16" xfId="0" applyNumberFormat="1" applyFont="1" applyFill="1" applyBorder="1" applyAlignment="1">
      <x:alignment horizontal="center" vertical="center" wrapText="1"/>
    </x:xf>
    <x:xf numFmtId="0" fontId="27" fillId="7" borderId="13" xfId="0" applyNumberFormat="1" applyFont="1" applyFill="1" applyBorder="1" applyAlignment="1">
      <x:alignment horizontal="center" vertical="center" wrapText="1"/>
    </x:xf>
    <x:xf numFmtId="0" fontId="27" fillId="43" borderId="16" xfId="0" applyNumberFormat="1" applyFont="1" applyFill="1" applyBorder="1" applyAlignment="1">
      <x:alignment horizontal="center" vertical="center" wrapText="1"/>
    </x:xf>
    <x:xf numFmtId="0" fontId="27" fillId="2" borderId="15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right" vertical="center" wrapText="1"/>
    </x:xf>
    <x:xf numFmtId="201" fontId="27" fillId="2" borderId="16" xfId="0" applyNumberFormat="1" applyFont="1" applyFill="1" applyBorder="1" applyAlignment="1">
      <x:alignment horizontal="right" vertical="center" wrapText="1"/>
    </x:xf>
    <x:xf numFmtId="202" fontId="27" fillId="2" borderId="16" xfId="0" applyNumberFormat="1" applyFont="1" applyFill="1" applyBorder="1" applyAlignment="1">
      <x:alignment horizontal="right" vertical="center" wrapText="1"/>
    </x:xf>
    <x:xf numFmtId="203" fontId="27" fillId="2" borderId="16" xfId="0" applyNumberFormat="1" applyFont="1" applyFill="1" applyBorder="1" applyAlignment="1">
      <x:alignment horizontal="right" vertical="center" wrapText="1"/>
    </x:xf>
    <x:xf numFmtId="204" fontId="27" fillId="2" borderId="16" xfId="0" applyNumberFormat="1" applyFont="1" applyFill="1" applyBorder="1" applyAlignment="1">
      <x:alignment horizontal="right" vertical="center" wrapText="1"/>
    </x:xf>
    <x:xf numFmtId="200" fontId="27" fillId="2" borderId="13" xfId="0" applyNumberFormat="1" applyFont="1" applyFill="1" applyBorder="1" applyAlignment="1">
      <x:alignment horizontal="right" vertical="center" wrapText="1"/>
    </x:xf>
    <x:xf numFmtId="201" fontId="27" fillId="2" borderId="13" xfId="0" applyNumberFormat="1" applyFont="1" applyFill="1" applyBorder="1" applyAlignment="1">
      <x:alignment horizontal="right" vertical="center" wrapText="1"/>
    </x:xf>
    <x:xf numFmtId="202" fontId="27" fillId="2" borderId="13" xfId="0" applyNumberFormat="1" applyFont="1" applyFill="1" applyBorder="1" applyAlignment="1">
      <x:alignment horizontal="right" vertical="center" wrapText="1"/>
    </x:xf>
    <x:xf numFmtId="203" fontId="27" fillId="2" borderId="13" xfId="0" applyNumberFormat="1" applyFont="1" applyFill="1" applyBorder="1" applyAlignment="1">
      <x:alignment horizontal="right" vertical="center" wrapText="1"/>
    </x:xf>
    <x:xf numFmtId="204" fontId="27" fillId="2" borderId="13" xfId="0" applyNumberFormat="1" applyFont="1" applyFill="1" applyBorder="1" applyAlignment="1">
      <x:alignment horizontal="right" vertical="center" wrapText="1"/>
    </x:xf>
    <x:xf numFmtId="200" fontId="27" fillId="3" borderId="16" xfId="0" applyNumberFormat="1" applyFont="1" applyFill="1" applyBorder="1" applyAlignment="1">
      <x:alignment horizontal="right" vertical="center" wrapText="1"/>
    </x:xf>
    <x:xf numFmtId="201" fontId="27" fillId="3" borderId="16" xfId="0" applyNumberFormat="1" applyFont="1" applyFill="1" applyBorder="1" applyAlignment="1">
      <x:alignment horizontal="right" vertical="center" wrapText="1"/>
    </x:xf>
    <x:xf numFmtId="202" fontId="27" fillId="3" borderId="16" xfId="0" applyNumberFormat="1" applyFont="1" applyFill="1" applyBorder="1" applyAlignment="1">
      <x:alignment horizontal="right" vertical="center" wrapText="1"/>
    </x:xf>
    <x:xf numFmtId="203" fontId="27" fillId="3" borderId="16" xfId="0" applyNumberFormat="1" applyFont="1" applyFill="1" applyBorder="1" applyAlignment="1">
      <x:alignment horizontal="right" vertical="center" wrapText="1"/>
    </x:xf>
    <x:xf numFmtId="204" fontId="27" fillId="3" borderId="16" xfId="0" applyNumberFormat="1" applyFont="1" applyFill="1" applyBorder="1" applyAlignment="1">
      <x:alignment horizontal="right" vertical="center" wrapText="1"/>
    </x:xf>
    <x:xf numFmtId="200" fontId="27" fillId="3" borderId="13" xfId="0" applyNumberFormat="1" applyFont="1" applyFill="1" applyBorder="1" applyAlignment="1">
      <x:alignment horizontal="right" vertical="center" wrapText="1"/>
    </x:xf>
    <x:xf numFmtId="201" fontId="27" fillId="3" borderId="13" xfId="0" applyNumberFormat="1" applyFont="1" applyFill="1" applyBorder="1" applyAlignment="1">
      <x:alignment horizontal="right" vertical="center" wrapText="1"/>
    </x:xf>
    <x:xf numFmtId="202" fontId="27" fillId="3" borderId="13" xfId="0" applyNumberFormat="1" applyFont="1" applyFill="1" applyBorder="1" applyAlignment="1">
      <x:alignment horizontal="right" vertical="center" wrapText="1"/>
    </x:xf>
    <x:xf numFmtId="203" fontId="27" fillId="3" borderId="13" xfId="0" applyNumberFormat="1" applyFont="1" applyFill="1" applyBorder="1" applyAlignment="1">
      <x:alignment horizontal="right" vertical="center" wrapText="1"/>
    </x:xf>
    <x:xf numFmtId="204" fontId="27" fillId="3" borderId="13" xfId="0" applyNumberFormat="1" applyFont="1" applyFill="1" applyBorder="1" applyAlignment="1">
      <x:alignment horizontal="right" vertical="center" wrapText="1"/>
    </x:xf>
    <x:xf numFmtId="200" fontId="27" fillId="4" borderId="16" xfId="0" applyNumberFormat="1" applyFont="1" applyFill="1" applyBorder="1" applyAlignment="1">
      <x:alignment horizontal="right" vertical="center" wrapText="1"/>
    </x:xf>
    <x:xf numFmtId="201" fontId="27" fillId="4" borderId="16" xfId="0" applyNumberFormat="1" applyFont="1" applyFill="1" applyBorder="1" applyAlignment="1">
      <x:alignment horizontal="right" vertical="center" wrapText="1"/>
    </x:xf>
    <x:xf numFmtId="202" fontId="27" fillId="4" borderId="16" xfId="0" applyNumberFormat="1" applyFont="1" applyFill="1" applyBorder="1" applyAlignment="1">
      <x:alignment horizontal="right" vertical="center" wrapText="1"/>
    </x:xf>
    <x:xf numFmtId="203" fontId="27" fillId="4" borderId="16" xfId="0" applyNumberFormat="1" applyFont="1" applyFill="1" applyBorder="1" applyAlignment="1">
      <x:alignment horizontal="right" vertical="center" wrapText="1"/>
    </x:xf>
    <x:xf numFmtId="204" fontId="27" fillId="4" borderId="16" xfId="0" applyNumberFormat="1" applyFont="1" applyFill="1" applyBorder="1" applyAlignment="1">
      <x:alignment horizontal="right" vertical="center" wrapText="1"/>
    </x:xf>
    <x:xf numFmtId="200" fontId="27" fillId="4" borderId="13" xfId="0" applyNumberFormat="1" applyFont="1" applyFill="1" applyBorder="1" applyAlignment="1">
      <x:alignment horizontal="right" vertical="center" wrapText="1"/>
    </x:xf>
    <x:xf numFmtId="201" fontId="27" fillId="4" borderId="13" xfId="0" applyNumberFormat="1" applyFont="1" applyFill="1" applyBorder="1" applyAlignment="1">
      <x:alignment horizontal="right" vertical="center" wrapText="1"/>
    </x:xf>
    <x:xf numFmtId="202" fontId="27" fillId="4" borderId="13" xfId="0" applyNumberFormat="1" applyFont="1" applyFill="1" applyBorder="1" applyAlignment="1">
      <x:alignment horizontal="right" vertical="center" wrapText="1"/>
    </x:xf>
    <x:xf numFmtId="203" fontId="27" fillId="4" borderId="13" xfId="0" applyNumberFormat="1" applyFont="1" applyFill="1" applyBorder="1" applyAlignment="1">
      <x:alignment horizontal="right" vertical="center" wrapText="1"/>
    </x:xf>
    <x:xf numFmtId="204" fontId="27" fillId="4" borderId="13" xfId="0" applyNumberFormat="1" applyFont="1" applyFill="1" applyBorder="1" applyAlignment="1">
      <x:alignment horizontal="right" vertical="center" wrapText="1"/>
    </x:xf>
    <x:xf numFmtId="200" fontId="27" fillId="7" borderId="16" xfId="0" applyNumberFormat="1" applyFont="1" applyFill="1" applyBorder="1" applyAlignment="1">
      <x:alignment horizontal="right" vertical="center" wrapText="1"/>
    </x:xf>
    <x:xf numFmtId="201" fontId="27" fillId="7" borderId="16" xfId="0" applyNumberFormat="1" applyFont="1" applyFill="1" applyBorder="1" applyAlignment="1">
      <x:alignment horizontal="right" vertical="center" wrapText="1"/>
    </x:xf>
    <x:xf numFmtId="202" fontId="27" fillId="7" borderId="16" xfId="0" applyNumberFormat="1" applyFont="1" applyFill="1" applyBorder="1" applyAlignment="1">
      <x:alignment horizontal="right" vertical="center" wrapText="1"/>
    </x:xf>
    <x:xf numFmtId="203" fontId="27" fillId="7" borderId="16" xfId="0" applyNumberFormat="1" applyFont="1" applyFill="1" applyBorder="1" applyAlignment="1">
      <x:alignment horizontal="right" vertical="center" wrapText="1"/>
    </x:xf>
    <x:xf numFmtId="204" fontId="27" fillId="7" borderId="16" xfId="0" applyNumberFormat="1" applyFont="1" applyFill="1" applyBorder="1" applyAlignment="1">
      <x:alignment horizontal="right" vertical="center" wrapText="1"/>
    </x:xf>
    <x:xf numFmtId="200" fontId="27" fillId="7" borderId="13" xfId="0" applyNumberFormat="1" applyFont="1" applyFill="1" applyBorder="1" applyAlignment="1">
      <x:alignment horizontal="right" vertical="center" wrapText="1"/>
    </x:xf>
    <x:xf numFmtId="201" fontId="27" fillId="7" borderId="13" xfId="0" applyNumberFormat="1" applyFont="1" applyFill="1" applyBorder="1" applyAlignment="1">
      <x:alignment horizontal="right" vertical="center" wrapText="1"/>
    </x:xf>
    <x:xf numFmtId="202" fontId="27" fillId="7" borderId="13" xfId="0" applyNumberFormat="1" applyFont="1" applyFill="1" applyBorder="1" applyAlignment="1">
      <x:alignment horizontal="right" vertical="center" wrapText="1"/>
    </x:xf>
    <x:xf numFmtId="203" fontId="27" fillId="7" borderId="13" xfId="0" applyNumberFormat="1" applyFont="1" applyFill="1" applyBorder="1" applyAlignment="1">
      <x:alignment horizontal="right" vertical="center" wrapText="1"/>
    </x:xf>
    <x:xf numFmtId="204" fontId="27" fillId="7" borderId="13" xfId="0" applyNumberFormat="1" applyFont="1" applyFill="1" applyBorder="1" applyAlignment="1">
      <x:alignment horizontal="right" vertical="center" wrapText="1"/>
    </x:xf>
    <x:xf numFmtId="201" fontId="31" fillId="9" borderId="16" xfId="0" applyNumberFormat="1" applyFont="1" applyFill="1" applyBorder="1" applyAlignment="1">
      <x:alignment horizontal="right" vertical="center" wrapText="1"/>
    </x:xf>
    <x:xf numFmtId="201" fontId="31" fillId="9" borderId="13" xfId="0" applyNumberFormat="1" applyFont="1" applyFill="1" applyBorder="1" applyAlignment="1">
      <x:alignment horizontal="right" vertical="center" wrapText="1"/>
    </x:xf>
    <x:xf numFmtId="200" fontId="27" fillId="43" borderId="16" xfId="0" applyNumberFormat="1" applyFont="1" applyFill="1" applyBorder="1" applyAlignment="1">
      <x:alignment horizontal="right" vertical="center" wrapText="1"/>
    </x:xf>
    <x:xf numFmtId="201" fontId="27" fillId="43" borderId="16" xfId="0" applyNumberFormat="1" applyFont="1" applyFill="1" applyBorder="1" applyAlignment="1">
      <x:alignment horizontal="right" vertical="center" wrapText="1"/>
    </x:xf>
    <x:xf numFmtId="202" fontId="27" fillId="43" borderId="16" xfId="0" applyNumberFormat="1" applyFont="1" applyFill="1" applyBorder="1" applyAlignment="1">
      <x:alignment horizontal="right" vertical="center" wrapText="1"/>
    </x:xf>
    <x:xf numFmtId="203" fontId="27" fillId="43" borderId="16" xfId="0" applyNumberFormat="1" applyFont="1" applyFill="1" applyBorder="1" applyAlignment="1">
      <x:alignment horizontal="right" vertical="center" wrapText="1"/>
    </x:xf>
    <x:xf numFmtId="204" fontId="27" fillId="43" borderId="16" xfId="0" applyNumberFormat="1" applyFont="1" applyFill="1" applyBorder="1" applyAlignment="1">
      <x:alignment horizontal="right" vertical="center" wrapText="1"/>
    </x:xf>
    <x:xf numFmtId="200" fontId="27" fillId="2" borderId="15" xfId="0" applyNumberFormat="1" applyFont="1" applyFill="1" applyBorder="1" applyAlignment="1">
      <x:alignment horizontal="right" vertical="center" wrapText="1"/>
    </x:xf>
    <x:xf numFmtId="201" fontId="27" fillId="2" borderId="15" xfId="0" applyNumberFormat="1" applyFont="1" applyFill="1" applyBorder="1" applyAlignment="1">
      <x:alignment horizontal="right" vertical="center" wrapText="1"/>
    </x:xf>
    <x:xf numFmtId="202" fontId="27" fillId="2" borderId="15" xfId="0" applyNumberFormat="1" applyFont="1" applyFill="1" applyBorder="1" applyAlignment="1">
      <x:alignment horizontal="right" vertical="center" wrapText="1"/>
    </x:xf>
    <x:xf numFmtId="203" fontId="27" fillId="2" borderId="15" xfId="0" applyNumberFormat="1" applyFont="1" applyFill="1" applyBorder="1" applyAlignment="1">
      <x:alignment horizontal="right" vertical="center" wrapText="1"/>
    </x:xf>
    <x:xf numFmtId="204" fontId="27" fillId="2" borderId="15" xfId="0" applyNumberFormat="1" applyFont="1" applyFill="1" applyBorder="1" applyAlignment="1">
      <x:alignment horizontal="right" vertical="center" wrapText="1"/>
    </x:xf>
    <x:xf numFmtId="0" fontId="26" fillId="2" borderId="16" xfId="0" applyNumberFormat="1" applyFont="1" applyFill="1" applyBorder="1" applyAlignment="1">
      <x:alignment horizontal="center" vertical="center" wrapText="1"/>
    </x:xf>
    <x:xf numFmtId="0" fontId="26" fillId="2" borderId="13" xfId="0" applyNumberFormat="1" applyFont="1" applyFill="1" applyBorder="1" applyAlignment="1">
      <x:alignment horizontal="center" vertical="center" wrapText="1"/>
    </x:xf>
    <x:xf numFmtId="0" fontId="26" fillId="3" borderId="16" xfId="0" applyNumberFormat="1" applyFont="1" applyFill="1" applyBorder="1" applyAlignment="1">
      <x:alignment horizontal="center" vertical="center" wrapText="1"/>
    </x:xf>
    <x:xf numFmtId="0" fontId="26" fillId="3" borderId="13" xfId="0" applyNumberFormat="1" applyFont="1" applyFill="1" applyBorder="1" applyAlignment="1">
      <x:alignment horizontal="center" vertical="center" wrapText="1"/>
    </x:xf>
    <x:xf numFmtId="0" fontId="26" fillId="4" borderId="16" xfId="0" applyNumberFormat="1" applyFont="1" applyFill="1" applyBorder="1" applyAlignment="1">
      <x:alignment horizontal="center" vertical="center" wrapText="1"/>
    </x:xf>
    <x:xf numFmtId="0" fontId="26" fillId="4" borderId="13" xfId="0" applyNumberFormat="1" applyFont="1" applyFill="1" applyBorder="1" applyAlignment="1">
      <x:alignment horizontal="center" vertical="center" wrapText="1"/>
    </x:xf>
    <x:xf numFmtId="0" fontId="26" fillId="7" borderId="16" xfId="0" applyNumberFormat="1" applyFont="1" applyFill="1" applyBorder="1" applyAlignment="1">
      <x:alignment horizontal="center" vertical="center" wrapText="1"/>
    </x:xf>
    <x:xf numFmtId="0" fontId="26" fillId="7" borderId="13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center" vertical="center" wrapText="1"/>
    </x:xf>
    <x:xf numFmtId="0" fontId="31" fillId="3" borderId="13" xfId="0" applyNumberFormat="1" applyFont="1" applyFill="1" applyBorder="1" applyAlignment="1">
      <x:alignment horizontal="center" vertical="center" wrapText="1"/>
    </x:xf>
    <x:xf numFmtId="0" fontId="31" fillId="2" borderId="16" xfId="0" applyNumberFormat="1" applyFont="1" applyFill="1" applyBorder="1" applyAlignment="1">
      <x:alignment horizontal="center" vertical="center" wrapText="1"/>
    </x:xf>
    <x:xf numFmtId="0" fontId="31" fillId="4" borderId="16" xfId="0" applyNumberFormat="1" applyFont="1" applyFill="1" applyBorder="1" applyAlignment="1">
      <x:alignment horizontal="center" vertical="center" wrapText="1"/>
    </x:xf>
    <x:xf numFmtId="0" fontId="31" fillId="7" borderId="16" xfId="0" applyNumberFormat="1" applyFont="1" applyFill="1" applyBorder="1" applyAlignment="1">
      <x:alignment horizontal="center" vertical="center" wrapText="1"/>
    </x:xf>
    <x:xf numFmtId="0" fontId="31" fillId="43" borderId="16" xfId="0" applyNumberFormat="1" applyFont="1" applyFill="1" applyBorder="1" applyAlignment="1">
      <x:alignment horizontal="center" vertical="center" wrapText="1"/>
    </x:xf>
    <x:xf numFmtId="0" fontId="26" fillId="2" borderId="15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left" vertical="center" wrapText="1"/>
    </x:xf>
    <x:xf numFmtId="0" fontId="31" fillId="3" borderId="13" xfId="0" applyNumberFormat="1" applyFont="1" applyFill="1" applyBorder="1" applyAlignment="1">
      <x:alignment horizontal="left" vertical="center" wrapText="1"/>
    </x:xf>
    <x:xf numFmtId="0" fontId="31" fillId="2" borderId="16" xfId="0" applyNumberFormat="1" applyFont="1" applyFill="1" applyBorder="1" applyAlignment="1">
      <x:alignment horizontal="left" vertical="center" wrapText="1"/>
    </x:xf>
    <x:xf numFmtId="0" fontId="31" fillId="4" borderId="16" xfId="0" applyNumberFormat="1" applyFont="1" applyFill="1" applyBorder="1" applyAlignment="1">
      <x:alignment horizontal="left" vertical="center" wrapText="1"/>
    </x:xf>
    <x:xf numFmtId="0" fontId="31" fillId="7" borderId="16" xfId="0" applyNumberFormat="1" applyFont="1" applyFill="1" applyBorder="1" applyAlignment="1">
      <x:alignment horizontal="left" vertical="center" wrapText="1"/>
    </x:xf>
    <x:xf numFmtId="0" fontId="31" fillId="43" borderId="16" xfId="0" applyNumberFormat="1" applyFont="1" applyFill="1" applyBorder="1" applyAlignment="1">
      <x:alignment horizontal="left" vertical="center" wrapText="1"/>
    </x:xf>
    <x:xf numFmtId="0" fontId="27" fillId="2" borderId="16" xfId="0" applyNumberFormat="1" applyFont="1" applyFill="1" applyBorder="1" applyAlignment="1">
      <x:alignment horizontal="left" vertical="top" wrapText="1"/>
    </x:xf>
    <x:xf numFmtId="0" fontId="27" fillId="2" borderId="13" xfId="0" applyNumberFormat="1" applyFont="1" applyFill="1" applyBorder="1" applyAlignment="1">
      <x:alignment horizontal="left" vertical="top" wrapText="1"/>
    </x:xf>
    <x:xf numFmtId="0" fontId="27" fillId="3" borderId="16" xfId="0" applyNumberFormat="1" applyFont="1" applyFill="1" applyBorder="1" applyAlignment="1">
      <x:alignment horizontal="left" vertical="top" wrapText="1"/>
    </x:xf>
    <x:xf numFmtId="0" fontId="27" fillId="3" borderId="13" xfId="0" applyNumberFormat="1" applyFont="1" applyFill="1" applyBorder="1" applyAlignment="1">
      <x:alignment horizontal="left" vertical="top" wrapText="1"/>
    </x:xf>
    <x:xf numFmtId="0" fontId="27" fillId="4" borderId="16" xfId="0" applyNumberFormat="1" applyFont="1" applyFill="1" applyBorder="1" applyAlignment="1">
      <x:alignment horizontal="left" vertical="top" wrapText="1"/>
    </x:xf>
    <x:xf numFmtId="0" fontId="27" fillId="4" borderId="13" xfId="0" applyNumberFormat="1" applyFont="1" applyFill="1" applyBorder="1" applyAlignment="1">
      <x:alignment horizontal="left" vertical="top" wrapText="1"/>
    </x:xf>
    <x:xf numFmtId="0" fontId="27" fillId="7" borderId="16" xfId="0" applyNumberFormat="1" applyFont="1" applyFill="1" applyBorder="1" applyAlignment="1">
      <x:alignment horizontal="left" vertical="top" wrapText="1"/>
    </x:xf>
    <x:xf numFmtId="0" fontId="27" fillId="7" borderId="13" xfId="0" applyNumberFormat="1" applyFont="1" applyFill="1" applyBorder="1" applyAlignment="1">
      <x:alignment horizontal="left" vertical="top" wrapText="1"/>
    </x:xf>
    <x:xf numFmtId="0" fontId="31" fillId="3" borderId="16" xfId="0" applyNumberFormat="1" applyFont="1" applyFill="1" applyBorder="1" applyAlignment="1">
      <x:alignment horizontal="left" vertical="top" wrapText="1"/>
    </x:xf>
    <x:xf numFmtId="0" fontId="31" fillId="3" borderId="13" xfId="0" applyNumberFormat="1" applyFont="1" applyFill="1" applyBorder="1" applyAlignment="1">
      <x:alignment horizontal="left" vertical="top" wrapText="1"/>
    </x:xf>
    <x:xf numFmtId="0" fontId="31" fillId="2" borderId="16" xfId="0" applyNumberFormat="1" applyFont="1" applyFill="1" applyBorder="1" applyAlignment="1">
      <x:alignment horizontal="left" vertical="top" wrapText="1"/>
    </x:xf>
    <x:xf numFmtId="0" fontId="31" fillId="4" borderId="16" xfId="0" applyNumberFormat="1" applyFont="1" applyFill="1" applyBorder="1" applyAlignment="1">
      <x:alignment horizontal="left" vertical="top" wrapText="1"/>
    </x:xf>
    <x:xf numFmtId="0" fontId="31" fillId="7" borderId="16" xfId="0" applyNumberFormat="1" applyFont="1" applyFill="1" applyBorder="1" applyAlignment="1">
      <x:alignment horizontal="left" vertical="top" wrapText="1"/>
    </x:xf>
    <x:xf numFmtId="0" fontId="31" fillId="43" borderId="16" xfId="0" applyNumberFormat="1" applyFont="1" applyFill="1" applyBorder="1" applyAlignment="1">
      <x:alignment horizontal="left" vertical="top" wrapText="1"/>
    </x:xf>
    <x:xf numFmtId="0" fontId="27" fillId="43" borderId="16" xfId="0" applyNumberFormat="1" applyFont="1" applyFill="1" applyBorder="1" applyAlignment="1">
      <x:alignment horizontal="left" vertical="top" wrapText="1"/>
    </x:xf>
    <x:xf numFmtId="0" fontId="27" fillId="2" borderId="15" xfId="0" applyNumberFormat="1" applyFont="1" applyFill="1" applyBorder="1" applyAlignment="1">
      <x:alignment horizontal="left" vertical="top" wrapText="1"/>
    </x:xf>
    <x:xf numFmtId="202" fontId="31" fillId="3" borderId="12" xfId="0" applyNumberFormat="1" applyFont="1" applyFill="1" applyBorder="1" applyAlignment="1">
      <x:alignment vertical="center"/>
    </x:xf>
    <x:xf numFmtId="202" fontId="31" fillId="9" borderId="12" xfId="0" applyNumberFormat="1" applyFont="1" applyFill="1" applyBorder="1" applyAlignment="1">
      <x:alignment vertical="center"/>
    </x:xf>
    <x:xf numFmtId="203" fontId="31" fillId="9" borderId="12" xfId="0" applyNumberFormat="1" applyFont="1" applyFill="1" applyBorder="1" applyAlignment="1">
      <x:alignment vertical="center"/>
    </x:xf>
    <x:xf numFmtId="201" fontId="31" fillId="9" borderId="12" xfId="0" applyNumberFormat="1" applyFont="1" applyFill="1" applyBorder="1" applyAlignment="1">
      <x:alignment vertical="center"/>
    </x:xf>
    <x:xf numFmtId="0" fontId="31" fillId="3" borderId="12" xfId="0" applyNumberFormat="1" applyFont="1" applyFill="1" applyBorder="1" applyAlignment="1">
      <x:alignment horizontal="center" vertical="center"/>
    </x:xf>
    <x:xf numFmtId="202" fontId="31" fillId="3" borderId="13" xfId="0" applyNumberFormat="1" applyFont="1" applyFill="1" applyBorder="1" applyAlignment="1">
      <x:alignment vertical="center"/>
    </x:xf>
    <x:xf numFmtId="202" fontId="31" fillId="9" borderId="13" xfId="0" applyNumberFormat="1" applyFont="1" applyFill="1" applyBorder="1" applyAlignment="1">
      <x:alignment vertical="center"/>
    </x:xf>
    <x:xf numFmtId="203" fontId="31" fillId="9" borderId="13" xfId="0" applyNumberFormat="1" applyFont="1" applyFill="1" applyBorder="1" applyAlignment="1">
      <x:alignment vertical="center"/>
    </x:xf>
    <x:xf numFmtId="201" fontId="31" fillId="9" borderId="13" xfId="0" applyNumberFormat="1" applyFont="1" applyFill="1" applyBorder="1" applyAlignment="1">
      <x:alignment vertical="center"/>
    </x:xf>
    <x:xf numFmtId="0" fontId="31" fillId="3" borderId="13" xfId="0" applyNumberFormat="1" applyFont="1" applyFill="1" applyBorder="1" applyAlignment="1">
      <x:alignment horizontal="center" vertical="center"/>
    </x:xf>
    <x:xf numFmtId="202" fontId="31" fillId="2" borderId="13" xfId="0" applyNumberFormat="1" applyFont="1" applyFill="1" applyBorder="1" applyAlignment="1">
      <x:alignment vertical="center"/>
    </x:xf>
    <x:xf numFmtId="0" fontId="31" fillId="2" borderId="13" xfId="0" applyNumberFormat="1" applyFont="1" applyFill="1" applyBorder="1" applyAlignment="1">
      <x:alignment horizontal="center" vertical="center"/>
    </x:xf>
    <x:xf numFmtId="202" fontId="31" fillId="4" borderId="13" xfId="0" applyNumberFormat="1" applyFont="1" applyFill="1" applyBorder="1" applyAlignment="1">
      <x:alignment vertical="center"/>
    </x:xf>
    <x:xf numFmtId="0" fontId="31" fillId="4" borderId="13" xfId="0" applyNumberFormat="1" applyFont="1" applyFill="1" applyBorder="1" applyAlignment="1">
      <x:alignment horizontal="center" vertical="center"/>
    </x:xf>
    <x:xf numFmtId="0" fontId="32" fillId="34" borderId="13" xfId="0" applyNumberFormat="1" applyFont="1" applyFill="1" applyBorder="1" applyAlignment="1">
      <x:alignment horizontal="center" vertical="center"/>
    </x:xf>
    <x:xf numFmtId="202" fontId="31" fillId="7" borderId="13" xfId="0" applyNumberFormat="1" applyFont="1" applyFill="1" applyBorder="1" applyAlignment="1">
      <x:alignment vertical="center"/>
    </x:xf>
    <x:xf numFmtId="0" fontId="31" fillId="7" borderId="13" xfId="0" applyNumberFormat="1" applyFont="1" applyFill="1" applyBorder="1" applyAlignment="1">
      <x:alignment horizontal="center" vertical="center"/>
    </x:xf>
    <x:xf numFmtId="202" fontId="31" fillId="33" borderId="13" xfId="0" applyNumberFormat="1" applyFont="1" applyFill="1" applyBorder="1" applyAlignment="1">
      <x:alignment vertical="center"/>
    </x:xf>
    <x:xf numFmtId="0" fontId="31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horizontal="left" vertical="center"/>
    </x:xf>
    <x:xf numFmtId="0" fontId="27" fillId="3" borderId="13" xfId="0" applyNumberFormat="1" applyFont="1" applyFill="1" applyBorder="1" applyAlignment="1">
      <x:alignment horizontal="left" vertical="center"/>
    </x:xf>
    <x:xf numFmtId="0" fontId="27" fillId="2" borderId="13" xfId="0" applyNumberFormat="1" applyFont="1" applyFill="1" applyBorder="1" applyAlignment="1">
      <x:alignment horizontal="left" vertical="center"/>
    </x:xf>
    <x:xf numFmtId="0" fontId="27" fillId="4" borderId="13" xfId="0" applyNumberFormat="1" applyFont="1" applyFill="1" applyBorder="1" applyAlignment="1">
      <x:alignment horizontal="left" vertical="center"/>
    </x:xf>
    <x:xf numFmtId="0" fontId="27" fillId="7" borderId="13" xfId="0" applyNumberFormat="1" applyFont="1" applyFill="1" applyBorder="1" applyAlignment="1">
      <x:alignment horizontal="left" vertical="center"/>
    </x:xf>
    <x:xf numFmtId="0" fontId="27" fillId="33" borderId="13" xfId="0" applyNumberFormat="1" applyFont="1" applyFill="1" applyBorder="1" applyAlignment="1">
      <x:alignment horizontal="left" vertical="center"/>
    </x:xf>
    <x:xf numFmtId="0" fontId="27" fillId="33" borderId="15" xfId="0" applyNumberFormat="1" applyFont="1" applyFill="1" applyBorder="1" applyAlignment="1">
      <x:alignment horizontal="left" vertical="center"/>
    </x:xf>
    <x:xf numFmtId="202" fontId="27" fillId="3" borderId="12" xfId="0" applyNumberFormat="1" applyFont="1" applyFill="1" applyBorder="1" applyAlignment="1">
      <x:alignment horizontal="right" vertical="center"/>
    </x:xf>
    <x:xf numFmtId="202" fontId="27" fillId="3" borderId="13" xfId="0" applyNumberFormat="1" applyFont="1" applyFill="1" applyBorder="1" applyAlignment="1">
      <x:alignment horizontal="right" vertical="center"/>
    </x:xf>
    <x:xf numFmtId="202" fontId="27" fillId="2" borderId="13" xfId="0" applyNumberFormat="1" applyFont="1" applyFill="1" applyBorder="1" applyAlignment="1">
      <x:alignment horizontal="right" vertical="center"/>
    </x:xf>
    <x:xf numFmtId="202" fontId="27" fillId="4" borderId="13" xfId="0" applyNumberFormat="1" applyFont="1" applyFill="1" applyBorder="1" applyAlignment="1">
      <x:alignment horizontal="right" vertical="center"/>
    </x:xf>
    <x:xf numFmtId="202" fontId="27" fillId="7" borderId="13" xfId="0" applyNumberFormat="1" applyFont="1" applyFill="1" applyBorder="1" applyAlignment="1">
      <x:alignment horizontal="right" vertical="center"/>
    </x:xf>
    <x:xf numFmtId="202" fontId="27" fillId="33" borderId="13" xfId="0" applyNumberFormat="1" applyFont="1" applyFill="1" applyBorder="1" applyAlignment="1">
      <x:alignment horizontal="right" vertical="center"/>
    </x:xf>
    <x:xf numFmtId="202" fontId="27" fillId="33" borderId="15" xfId="0" applyNumberFormat="1" applyFont="1" applyFill="1" applyBorder="1" applyAlignment="1">
      <x:alignment horizontal="right" vertical="center"/>
    </x:xf>
    <x:xf numFmtId="202" fontId="31" fillId="3" borderId="12" xfId="0" applyNumberFormat="1" applyFont="1" applyFill="1" applyBorder="1" applyAlignment="1">
      <x:alignment horizontal="right" vertical="center"/>
    </x:xf>
    <x:xf numFmtId="205" fontId="27" fillId="3" borderId="12" xfId="0" applyNumberFormat="1" applyFont="1" applyFill="1" applyBorder="1" applyAlignment="1">
      <x:alignment horizontal="right" vertical="center"/>
    </x:xf>
    <x:xf numFmtId="202" fontId="31" fillId="9" borderId="12" xfId="0" applyNumberFormat="1" applyFont="1" applyFill="1" applyBorder="1" applyAlignment="1">
      <x:alignment horizontal="right" vertical="center"/>
    </x:xf>
    <x:xf numFmtId="203" fontId="31" fillId="9" borderId="12" xfId="0" applyNumberFormat="1" applyFont="1" applyFill="1" applyBorder="1" applyAlignment="1">
      <x:alignment horizontal="right" vertical="center"/>
    </x:xf>
    <x:xf numFmtId="201" fontId="31" fillId="9" borderId="12" xfId="0" applyNumberFormat="1" applyFont="1" applyFill="1" applyBorder="1" applyAlignment="1">
      <x:alignment horizontal="right" vertical="center"/>
    </x:xf>
    <x:xf numFmtId="201" fontId="27" fillId="3" borderId="12" xfId="0" applyNumberFormat="1" applyFont="1" applyFill="1" applyBorder="1" applyAlignment="1">
      <x:alignment horizontal="right" vertical="center"/>
    </x:xf>
    <x:xf numFmtId="205" fontId="27" fillId="3" borderId="13" xfId="0" applyNumberFormat="1" applyFont="1" applyFill="1" applyBorder="1" applyAlignment="1">
      <x:alignment horizontal="right" vertical="center"/>
    </x:xf>
    <x:xf numFmtId="203" fontId="27" fillId="3" borderId="13" xfId="0" applyNumberFormat="1" applyFont="1" applyFill="1" applyBorder="1" applyAlignment="1">
      <x:alignment horizontal="right" vertical="center"/>
    </x:xf>
    <x:xf numFmtId="201" fontId="27" fillId="3" borderId="13" xfId="0" applyNumberFormat="1" applyFont="1" applyFill="1" applyBorder="1" applyAlignment="1">
      <x:alignment horizontal="right" vertical="center"/>
    </x:xf>
    <x:xf numFmtId="202" fontId="31" fillId="3" borderId="13" xfId="0" applyNumberFormat="1" applyFont="1" applyFill="1" applyBorder="1" applyAlignment="1">
      <x:alignment horizontal="right" vertical="center"/>
    </x:xf>
    <x:xf numFmtId="202" fontId="31" fillId="9" borderId="13" xfId="0" applyNumberFormat="1" applyFont="1" applyFill="1" applyBorder="1" applyAlignment="1">
      <x:alignment horizontal="right" vertical="center"/>
    </x:xf>
    <x:xf numFmtId="203" fontId="31" fillId="9" borderId="13" xfId="0" applyNumberFormat="1" applyFont="1" applyFill="1" applyBorder="1" applyAlignment="1">
      <x:alignment horizontal="right" vertical="center"/>
    </x:xf>
    <x:xf numFmtId="201" fontId="31" fillId="9" borderId="13" xfId="0" applyNumberFormat="1" applyFont="1" applyFill="1" applyBorder="1" applyAlignment="1">
      <x:alignment horizontal="right" vertical="center"/>
    </x:xf>
    <x:xf numFmtId="205" fontId="27" fillId="2" borderId="13" xfId="0" applyNumberFormat="1" applyFont="1" applyFill="1" applyBorder="1" applyAlignment="1">
      <x:alignment horizontal="right" vertical="center"/>
    </x:xf>
    <x:xf numFmtId="203" fontId="27" fillId="2" borderId="13" xfId="0" applyNumberFormat="1" applyFont="1" applyFill="1" applyBorder="1" applyAlignment="1">
      <x:alignment horizontal="right" vertical="center"/>
    </x:xf>
    <x:xf numFmtId="201" fontId="27" fillId="2" borderId="13" xfId="0" applyNumberFormat="1" applyFont="1" applyFill="1" applyBorder="1" applyAlignment="1">
      <x:alignment horizontal="right" vertical="center"/>
    </x:xf>
    <x:xf numFmtId="202" fontId="31" fillId="2" borderId="13" xfId="0" applyNumberFormat="1" applyFont="1" applyFill="1" applyBorder="1" applyAlignment="1">
      <x:alignment horizontal="right" vertical="center"/>
    </x:xf>
    <x:xf numFmtId="205" fontId="27" fillId="4" borderId="13" xfId="0" applyNumberFormat="1" applyFont="1" applyFill="1" applyBorder="1" applyAlignment="1">
      <x:alignment horizontal="right" vertical="center"/>
    </x:xf>
    <x:xf numFmtId="203" fontId="27" fillId="4" borderId="13" xfId="0" applyNumberFormat="1" applyFont="1" applyFill="1" applyBorder="1" applyAlignment="1">
      <x:alignment horizontal="right" vertical="center"/>
    </x:xf>
    <x:xf numFmtId="201" fontId="27" fillId="4" borderId="13" xfId="0" applyNumberFormat="1" applyFont="1" applyFill="1" applyBorder="1" applyAlignment="1">
      <x:alignment horizontal="right" vertical="center"/>
    </x:xf>
    <x:xf numFmtId="202" fontId="31" fillId="4" borderId="13" xfId="0" applyNumberFormat="1" applyFont="1" applyFill="1" applyBorder="1" applyAlignment="1">
      <x:alignment horizontal="right" vertical="center"/>
    </x:xf>
    <x:xf numFmtId="205" fontId="27" fillId="7" borderId="13" xfId="0" applyNumberFormat="1" applyFont="1" applyFill="1" applyBorder="1" applyAlignment="1">
      <x:alignment horizontal="right" vertical="center"/>
    </x:xf>
    <x:xf numFmtId="203" fontId="27" fillId="7" borderId="13" xfId="0" applyNumberFormat="1" applyFont="1" applyFill="1" applyBorder="1" applyAlignment="1">
      <x:alignment horizontal="right" vertical="center"/>
    </x:xf>
    <x:xf numFmtId="201" fontId="27" fillId="7" borderId="13" xfId="0" applyNumberFormat="1" applyFont="1" applyFill="1" applyBorder="1" applyAlignment="1">
      <x:alignment horizontal="right" vertical="center"/>
    </x:xf>
    <x:xf numFmtId="202" fontId="31" fillId="7" borderId="13" xfId="0" applyNumberFormat="1" applyFont="1" applyFill="1" applyBorder="1" applyAlignment="1">
      <x:alignment horizontal="right" vertical="center"/>
    </x:xf>
    <x:xf numFmtId="205" fontId="27" fillId="33" borderId="13" xfId="0" applyNumberFormat="1" applyFont="1" applyFill="1" applyBorder="1" applyAlignment="1">
      <x:alignment horizontal="right" vertical="center"/>
    </x:xf>
    <x:xf numFmtId="203" fontId="27" fillId="33" borderId="13" xfId="0" applyNumberFormat="1" applyFont="1" applyFill="1" applyBorder="1" applyAlignment="1">
      <x:alignment horizontal="right" vertical="center"/>
    </x:xf>
    <x:xf numFmtId="201" fontId="27" fillId="33" borderId="13" xfId="0" applyNumberFormat="1" applyFont="1" applyFill="1" applyBorder="1" applyAlignment="1">
      <x:alignment horizontal="right" vertical="center"/>
    </x:xf>
    <x:xf numFmtId="202" fontId="31" fillId="33" borderId="13" xfId="0" applyNumberFormat="1" applyFont="1" applyFill="1" applyBorder="1" applyAlignment="1">
      <x:alignment horizontal="right" vertical="center"/>
    </x:xf>
    <x:xf numFmtId="205" fontId="27" fillId="33" borderId="15" xfId="0" applyNumberFormat="1" applyFont="1" applyFill="1" applyBorder="1" applyAlignment="1">
      <x:alignment horizontal="right" vertical="center"/>
    </x:xf>
    <x:xf numFmtId="203" fontId="27" fillId="33" borderId="15" xfId="0" applyNumberFormat="1" applyFont="1" applyFill="1" applyBorder="1" applyAlignment="1">
      <x:alignment horizontal="right" vertical="center"/>
    </x:xf>
    <x:xf numFmtId="201" fontId="27" fillId="33" borderId="15" xfId="0" applyNumberFormat="1" applyFont="1" applyFill="1" applyBorder="1" applyAlignment="1">
      <x:alignment horizontal="right" vertical="center"/>
    </x:xf>
    <x:xf numFmtId="0" fontId="27" fillId="3" borderId="12" xfId="0" applyNumberFormat="1" applyFont="1" applyFill="1" applyBorder="1" applyAlignment="1">
      <x:alignment horizontal="left" vertical="center" wrapText="1"/>
    </x:xf>
    <x:xf numFmtId="0" fontId="27" fillId="33" borderId="13" xfId="0" applyNumberFormat="1" applyFont="1" applyFill="1" applyBorder="1" applyAlignment="1">
      <x:alignment horizontal="left" vertical="center" wrapText="1"/>
    </x:xf>
    <x:xf numFmtId="0" fontId="27" fillId="33" borderId="15" xfId="0" applyNumberFormat="1" applyFont="1" applyFill="1" applyBorder="1" applyAlignment="1">
      <x:alignment horizontal="left" vertical="center" wrapText="1"/>
    </x:xf>
    <x:xf numFmtId="0" fontId="27" fillId="3" borderId="12" xfId="0" applyNumberFormat="1" applyFont="1" applyFill="1" applyBorder="1" applyAlignment="1">
      <x:alignment horizontal="left" vertical="top" wrapText="1"/>
    </x:xf>
    <x:xf numFmtId="0" fontId="27" fillId="33" borderId="13" xfId="0" applyNumberFormat="1" applyFont="1" applyFill="1" applyBorder="1" applyAlignment="1">
      <x:alignment horizontal="left" vertical="top" wrapText="1"/>
    </x:xf>
    <x:xf numFmtId="0" fontId="27" fillId="33" borderId="15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0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1" fontId="27" fillId="48" borderId="13" xfId="0" applyNumberFormat="1" applyFont="1" applyFill="1" applyBorder="1" applyAlignment="1">
      <x:alignment horizontal="right" vertical="center"/>
    </x:xf>
    <x:xf numFmtId="201" fontId="26" fillId="48" borderId="13" xfId="0" applyNumberFormat="1" applyFont="1" applyFill="1" applyBorder="1" applyAlignment="1">
      <x:alignment horizontal="right" vertical="center"/>
    </x:xf>
    <x:xf numFmtId="0" fontId="27" fillId="49" borderId="15" xfId="0" applyNumberFormat="1" applyFont="1" applyFill="1" applyBorder="1" applyAlignment="1">
      <x:alignment horizontal="left" vertical="center"/>
    </x:xf>
    <x:xf numFmtId="202" fontId="27" fillId="49" borderId="15" xfId="0" applyNumberFormat="1" applyFont="1" applyFill="1" applyBorder="1" applyAlignment="1">
      <x:alignment horizontal="right" vertical="center"/>
    </x:xf>
    <x:xf numFmtId="202" fontId="31" fillId="49" borderId="13" xfId="0" applyNumberFormat="1" applyFont="1" applyFill="1" applyBorder="1" applyAlignment="1">
      <x:alignment horizontal="right" vertical="center"/>
    </x:xf>
    <x:xf numFmtId="205" fontId="27" fillId="49" borderId="15" xfId="0" applyNumberFormat="1" applyFont="1" applyFill="1" applyBorder="1" applyAlignment="1">
      <x:alignment horizontal="right" vertical="center"/>
    </x:xf>
    <x:xf numFmtId="203" fontId="27" fillId="49" borderId="15" xfId="0" applyNumberFormat="1" applyFont="1" applyFill="1" applyBorder="1" applyAlignment="1">
      <x:alignment horizontal="right" vertical="center"/>
    </x:xf>
    <x:xf numFmtId="201" fontId="31" fillId="49" borderId="13" xfId="0" applyNumberFormat="1" applyFont="1" applyFill="1" applyBorder="1" applyAlignment="1">
      <x:alignment horizontal="right" vertical="center"/>
    </x:xf>
    <x:xf numFmtId="201" fontId="27" fillId="49" borderId="15" xfId="0" applyNumberFormat="1" applyFont="1" applyFill="1" applyBorder="1" applyAlignment="1">
      <x:alignment horizontal="right" vertical="center"/>
    </x:xf>
    <x:xf numFmtId="0" fontId="27" fillId="49" borderId="15" xfId="0" applyNumberFormat="1" applyFont="1" applyFill="1" applyBorder="1" applyAlignment="1">
      <x:alignment horizontal="center" vertical="center"/>
    </x:xf>
    <x:xf numFmtId="0" fontId="27" fillId="49" borderId="15" xfId="0" applyNumberFormat="1" applyFont="1" applyFill="1" applyBorder="1" applyAlignment="1">
      <x:alignment horizontal="left" vertical="top" wrapText="1"/>
    </x:xf>
    <x:xf numFmtId="0" fontId="0" fillId="49" borderId="0" xfId="0" applyNumberFormat="1" applyFont="1" applyFill="1" applyBorder="1" applyAlignment="1">
      <x:alignment vertical="center" wrapText="1"/>
    </x:xf>
    <x:xf numFmtId="202" fontId="33" fillId="49" borderId="13" xfId="0" applyNumberFormat="1" applyFont="1" applyFill="1" applyBorder="1" applyAlignment="1">
      <x:alignment horizontal="right" vertical="center"/>
    </x:xf>
    <x:xf numFmtId="202" fontId="34" fillId="49" borderId="13" xfId="0" applyNumberFormat="1" applyFont="1" applyFill="1" applyBorder="1" applyAlignment="1">
      <x:alignment horizontal="right" vertical="center"/>
    </x:xf>
    <x:xf numFmtId="0" fontId="27" fillId="49" borderId="15" xfId="0" applyNumberFormat="1" applyFont="1" applyFill="1" applyBorder="1" applyAlignment="1">
      <x:alignment horizontal="left" vertical="center" wrapText="1"/>
    </x:xf>
    <x:xf numFmtId="0" fontId="35" fillId="49" borderId="15" xfId="0" applyNumberFormat="1" applyFont="1" applyFill="1" applyBorder="1" applyAlignment="1">
      <x:alignment horizontal="center" vertical="center"/>
    </x:xf>
    <x:xf numFmtId="0" fontId="27" fillId="50" borderId="15" xfId="0" applyNumberFormat="1" applyFont="1" applyFill="1" applyBorder="1" applyAlignment="1">
      <x:alignment horizontal="left" vertical="center"/>
    </x:xf>
    <x:xf numFmtId="202" fontId="27" fillId="50" borderId="15" xfId="0" applyNumberFormat="1" applyFont="1" applyFill="1" applyBorder="1" applyAlignment="1">
      <x:alignment horizontal="right" vertical="center"/>
    </x:xf>
    <x:xf numFmtId="202" fontId="31" fillId="50" borderId="13" xfId="0" applyNumberFormat="1" applyFont="1" applyFill="1" applyBorder="1" applyAlignment="1">
      <x:alignment horizontal="right" vertical="center"/>
    </x:xf>
    <x:xf numFmtId="205" fontId="27" fillId="50" borderId="15" xfId="0" applyNumberFormat="1" applyFont="1" applyFill="1" applyBorder="1" applyAlignment="1">
      <x:alignment horizontal="right" vertical="center"/>
    </x:xf>
    <x:xf numFmtId="203" fontId="27" fillId="50" borderId="15" xfId="0" applyNumberFormat="1" applyFont="1" applyFill="1" applyBorder="1" applyAlignment="1">
      <x:alignment horizontal="right" vertical="center"/>
    </x:xf>
    <x:xf numFmtId="201" fontId="31" fillId="50" borderId="13" xfId="0" applyNumberFormat="1" applyFont="1" applyFill="1" applyBorder="1" applyAlignment="1">
      <x:alignment horizontal="right" vertical="center"/>
    </x:xf>
    <x:xf numFmtId="201" fontId="27" fillId="50" borderId="15" xfId="0" applyNumberFormat="1" applyFont="1" applyFill="1" applyBorder="1" applyAlignment="1">
      <x:alignment horizontal="right" vertical="center"/>
    </x:xf>
    <x:xf numFmtId="0" fontId="27" fillId="50" borderId="15" xfId="0" applyNumberFormat="1" applyFont="1" applyFill="1" applyBorder="1" applyAlignment="1">
      <x:alignment horizontal="center" vertical="center"/>
    </x:xf>
    <x:xf numFmtId="0" fontId="27" fillId="50" borderId="15" xfId="0" applyNumberFormat="1" applyFont="1" applyFill="1" applyBorder="1" applyAlignment="1">
      <x:alignment horizontal="left" vertical="top" wrapText="1"/>
    </x:xf>
    <x:xf numFmtId="0" fontId="0" fillId="50" borderId="0" xfId="0" applyNumberFormat="1" applyFont="1" applyFill="1" applyBorder="1" applyAlignment="1">
      <x:alignment vertical="center" wrapText="1"/>
    </x:xf>
    <x:xf numFmtId="202" fontId="33" fillId="50" borderId="13" xfId="0" applyNumberFormat="1" applyFont="1" applyFill="1" applyBorder="1" applyAlignment="1">
      <x:alignment horizontal="right" vertical="center"/>
    </x:xf>
    <x:xf numFmtId="202" fontId="34" fillId="50" borderId="13" xfId="0" applyNumberFormat="1" applyFont="1" applyFill="1" applyBorder="1" applyAlignment="1">
      <x:alignment horizontal="right" vertical="center"/>
    </x:xf>
    <x:xf numFmtId="0" fontId="27" fillId="50" borderId="15" xfId="0" applyNumberFormat="1" applyFont="1" applyFill="1" applyBorder="1" applyAlignment="1">
      <x:alignment horizontal="left" vertical="center" wrapText="1"/>
    </x:xf>
    <x:xf numFmtId="0" fontId="35" fillId="50" borderId="15" xfId="0" applyNumberFormat="1" applyFont="1" applyFill="1" applyBorder="1" applyAlignment="1">
      <x:alignment horizontal="center" vertical="center"/>
    </x:xf>
    <x:xf numFmtId="0" fontId="36" fillId="49" borderId="15" xfId="0" applyNumberFormat="1" applyFont="1" applyFill="1" applyBorder="1" applyAlignment="1">
      <x:alignment horizontal="center" vertical="center"/>
    </x:xf>
    <x:xf numFmtId="201" fontId="31" fillId="51" borderId="13" xfId="0" applyNumberFormat="1" applyFont="1" applyFill="1" applyBorder="1" applyAlignment="1">
      <x:alignment horizontal="right" vertical="center"/>
    </x:xf>
    <x:xf numFmtId="202" fontId="37" fillId="49" borderId="13" xfId="0" applyNumberFormat="1" applyFont="1" applyFill="1" applyBorder="1" applyAlignment="1">
      <x:alignment horizontal="right" vertical="center"/>
    </x:xf>
    <x:xf numFmtId="0" fontId="38" fillId="7" borderId="16" xfId="0" applyNumberFormat="1" applyFont="1" applyFill="1" applyBorder="1" applyAlignment="1">
      <x:alignment horizontal="center" vertical="center" wrapText="1"/>
    </x:xf>
    <x:xf numFmtId="0" fontId="27" fillId="7" borderId="15" xfId="0" applyNumberFormat="1" applyFont="1" applyFill="1" applyBorder="1" applyAlignment="1">
      <x:alignment horizontal="left" vertical="center"/>
    </x:xf>
    <x:xf numFmtId="202" fontId="27" fillId="7" borderId="15" xfId="0" applyNumberFormat="1" applyFont="1" applyFill="1" applyBorder="1" applyAlignment="1">
      <x:alignment horizontal="right" vertical="center"/>
    </x:xf>
    <x:xf numFmtId="0" fontId="27" fillId="7" borderId="15" xfId="0" applyNumberFormat="1" applyFont="1" applyFill="1" applyBorder="1" applyAlignment="1">
      <x:alignment horizontal="left" vertical="center" wrapText="1"/>
    </x:xf>
    <x:xf numFmtId="202" fontId="34" fillId="7" borderId="13" xfId="0" applyNumberFormat="1" applyFont="1" applyFill="1" applyBorder="1" applyAlignment="1">
      <x:alignment horizontal="right" vertical="center"/>
    </x:xf>
    <x:xf numFmtId="205" fontId="27" fillId="7" borderId="15" xfId="0" applyNumberFormat="1" applyFont="1" applyFill="1" applyBorder="1" applyAlignment="1">
      <x:alignment horizontal="right" vertical="center"/>
    </x:xf>
    <x:xf numFmtId="203" fontId="27" fillId="7" borderId="15" xfId="0" applyNumberFormat="1" applyFont="1" applyFill="1" applyBorder="1" applyAlignment="1">
      <x:alignment horizontal="right" vertical="center"/>
    </x:xf>
    <x:xf numFmtId="201" fontId="31" fillId="7" borderId="13" xfId="0" applyNumberFormat="1" applyFont="1" applyFill="1" applyBorder="1" applyAlignment="1">
      <x:alignment horizontal="right" vertical="center"/>
    </x:xf>
    <x:xf numFmtId="201" fontId="27" fillId="7" borderId="15" xfId="0" applyNumberFormat="1" applyFont="1" applyFill="1" applyBorder="1" applyAlignment="1">
      <x:alignment horizontal="right" vertical="center"/>
    </x:xf>
    <x:xf numFmtId="0" fontId="35" fillId="7" borderId="15" xfId="0" applyNumberFormat="1" applyFont="1" applyFill="1" applyBorder="1" applyAlignment="1">
      <x:alignment horizontal="center" vertical="center"/>
    </x:xf>
    <x:xf numFmtId="0" fontId="27" fillId="7" borderId="15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 applyAlignment="1">
      <x:alignment vertical="center" wrapText="1"/>
    </x:xf>
    <x:xf numFmtId="0" fontId="27" fillId="7" borderId="15" xfId="0" applyNumberFormat="1" applyFont="1" applyFill="1" applyBorder="1" applyAlignment="1">
      <x:alignment horizontal="center" vertical="center"/>
    </x:xf>
    <x:xf numFmtId="0" fontId="27" fillId="52" borderId="15" xfId="0" applyNumberFormat="1" applyFont="1" applyFill="1" applyBorder="1" applyAlignment="1">
      <x:alignment horizontal="left" vertical="center"/>
    </x:xf>
    <x:xf numFmtId="202" fontId="27" fillId="52" borderId="15" xfId="0" applyNumberFormat="1" applyFont="1" applyFill="1" applyBorder="1" applyAlignment="1">
      <x:alignment horizontal="right" vertical="center"/>
    </x:xf>
    <x:xf numFmtId="0" fontId="27" fillId="52" borderId="15" xfId="0" applyNumberFormat="1" applyFont="1" applyFill="1" applyBorder="1" applyAlignment="1">
      <x:alignment horizontal="left" vertical="center" wrapText="1"/>
    </x:xf>
    <x:xf numFmtId="202" fontId="34" fillId="52" borderId="13" xfId="0" applyNumberFormat="1" applyFont="1" applyFill="1" applyBorder="1" applyAlignment="1">
      <x:alignment horizontal="right" vertical="center"/>
    </x:xf>
    <x:xf numFmtId="205" fontId="27" fillId="52" borderId="15" xfId="0" applyNumberFormat="1" applyFont="1" applyFill="1" applyBorder="1" applyAlignment="1">
      <x:alignment horizontal="right" vertical="center"/>
    </x:xf>
    <x:xf numFmtId="203" fontId="27" fillId="52" borderId="15" xfId="0" applyNumberFormat="1" applyFont="1" applyFill="1" applyBorder="1" applyAlignment="1">
      <x:alignment horizontal="right" vertical="center"/>
    </x:xf>
    <x:xf numFmtId="201" fontId="31" fillId="52" borderId="13" xfId="0" applyNumberFormat="1" applyFont="1" applyFill="1" applyBorder="1" applyAlignment="1">
      <x:alignment horizontal="right" vertical="center"/>
    </x:xf>
    <x:xf numFmtId="201" fontId="27" fillId="52" borderId="15" xfId="0" applyNumberFormat="1" applyFont="1" applyFill="1" applyBorder="1" applyAlignment="1">
      <x:alignment horizontal="right" vertical="center"/>
    </x:xf>
    <x:xf numFmtId="0" fontId="35" fillId="52" borderId="15" xfId="0" applyNumberFormat="1" applyFont="1" applyFill="1" applyBorder="1" applyAlignment="1">
      <x:alignment horizontal="center" vertical="center"/>
    </x:xf>
    <x:xf numFmtId="0" fontId="27" fillId="52" borderId="15" xfId="0" applyNumberFormat="1" applyFont="1" applyFill="1" applyBorder="1" applyAlignment="1">
      <x:alignment horizontal="left" vertical="top" wrapText="1"/>
    </x:xf>
    <x:xf numFmtId="0" fontId="0" fillId="52" borderId="0" xfId="0" applyNumberFormat="1" applyFont="1" applyFill="1" applyBorder="1" applyAlignment="1">
      <x:alignment vertical="center" wrapText="1"/>
    </x:xf>
    <x:xf numFmtId="0" fontId="27" fillId="52" borderId="15" xfId="0" applyNumberFormat="1" applyFont="1" applyFill="1" applyBorder="1" applyAlignment="1">
      <x:alignment horizontal="center" vertical="center"/>
    </x:xf>
    <x:xf numFmtId="0" fontId="39" fillId="52" borderId="15" xfId="0" applyNumberFormat="1" applyFont="1" applyFill="1" applyBorder="1" applyAlignment="1">
      <x:alignment horizontal="left" vertical="center"/>
    </x:xf>
    <x:xf numFmtId="202" fontId="39" fillId="52" borderId="15" xfId="0" applyNumberFormat="1" applyFont="1" applyFill="1" applyBorder="1" applyAlignment="1">
      <x:alignment horizontal="right" vertical="center"/>
    </x:xf>
    <x:xf numFmtId="0" fontId="39" fillId="52" borderId="15" xfId="0" applyNumberFormat="1" applyFont="1" applyFill="1" applyBorder="1" applyAlignment="1">
      <x:alignment horizontal="left" vertical="center" wrapText="1"/>
    </x:xf>
    <x:xf numFmtId="202" fontId="40" fillId="52" borderId="13" xfId="0" applyNumberFormat="1" applyFont="1" applyFill="1" applyBorder="1" applyAlignment="1">
      <x:alignment horizontal="right" vertical="center"/>
    </x:xf>
    <x:xf numFmtId="205" fontId="39" fillId="52" borderId="15" xfId="0" applyNumberFormat="1" applyFont="1" applyFill="1" applyBorder="1" applyAlignment="1">
      <x:alignment horizontal="right" vertical="center"/>
    </x:xf>
    <x:xf numFmtId="203" fontId="39" fillId="52" borderId="15" xfId="0" applyNumberFormat="1" applyFont="1" applyFill="1" applyBorder="1" applyAlignment="1">
      <x:alignment horizontal="right" vertical="center"/>
    </x:xf>
    <x:xf numFmtId="201" fontId="41" fillId="52" borderId="13" xfId="0" applyNumberFormat="1" applyFont="1" applyFill="1" applyBorder="1" applyAlignment="1">
      <x:alignment horizontal="right" vertical="center"/>
    </x:xf>
    <x:xf numFmtId="201" fontId="39" fillId="52" borderId="15" xfId="0" applyNumberFormat="1" applyFont="1" applyFill="1" applyBorder="1" applyAlignment="1">
      <x:alignment horizontal="right" vertical="center"/>
    </x:xf>
    <x:xf numFmtId="0" fontId="42" fillId="52" borderId="15" xfId="0" applyNumberFormat="1" applyFont="1" applyFill="1" applyBorder="1" applyAlignment="1">
      <x:alignment horizontal="center" vertical="center"/>
    </x:xf>
    <x:xf numFmtId="0" fontId="39" fillId="52" borderId="15" xfId="0" applyNumberFormat="1" applyFont="1" applyFill="1" applyBorder="1" applyAlignment="1">
      <x:alignment horizontal="left" vertical="top" wrapText="1"/>
    </x:xf>
    <x:xf numFmtId="0" fontId="43" fillId="52" borderId="0" xfId="0" applyNumberFormat="1" applyFont="1" applyFill="1" applyBorder="1" applyAlignment="1">
      <x:alignment vertical="center" wrapText="1"/>
    </x:xf>
    <x:xf numFmtId="0" fontId="39" fillId="52" borderId="15" xfId="0" applyNumberFormat="1" applyFont="1" applyFill="1" applyBorder="1" applyAlignment="1">
      <x:alignment horizontal="center" vertical="center"/>
    </x:xf>
    <x:xf numFmtId="0" fontId="40" fillId="52" borderId="15" xfId="0" applyNumberFormat="1" applyFont="1" applyFill="1" applyBorder="1" applyAlignment="1">
      <x:alignment horizontal="left" vertical="center"/>
    </x:xf>
    <x:xf numFmtId="202" fontId="40" fillId="52" borderId="15" xfId="0" applyNumberFormat="1" applyFont="1" applyFill="1" applyBorder="1" applyAlignment="1">
      <x:alignment horizontal="right" vertical="center"/>
    </x:xf>
    <x:xf numFmtId="0" fontId="40" fillId="52" borderId="15" xfId="0" applyNumberFormat="1" applyFont="1" applyFill="1" applyBorder="1" applyAlignment="1">
      <x:alignment horizontal="left" vertical="center" wrapText="1"/>
    </x:xf>
    <x:xf numFmtId="205" fontId="40" fillId="52" borderId="15" xfId="0" applyNumberFormat="1" applyFont="1" applyFill="1" applyBorder="1" applyAlignment="1">
      <x:alignment horizontal="right" vertical="center"/>
    </x:xf>
    <x:xf numFmtId="203" fontId="40" fillId="52" borderId="15" xfId="0" applyNumberFormat="1" applyFont="1" applyFill="1" applyBorder="1" applyAlignment="1">
      <x:alignment horizontal="right" vertical="center"/>
    </x:xf>
    <x:xf numFmtId="201" fontId="40" fillId="52" borderId="13" xfId="0" applyNumberFormat="1" applyFont="1" applyFill="1" applyBorder="1" applyAlignment="1">
      <x:alignment horizontal="right" vertical="center"/>
    </x:xf>
    <x:xf numFmtId="201" fontId="40" fillId="52" borderId="15" xfId="0" applyNumberFormat="1" applyFont="1" applyFill="1" applyBorder="1" applyAlignment="1">
      <x:alignment horizontal="right" vertical="center"/>
    </x:xf>
    <x:xf numFmtId="0" fontId="40" fillId="52" borderId="15" xfId="0" applyNumberFormat="1" applyFont="1" applyFill="1" applyBorder="1" applyAlignment="1">
      <x:alignment horizontal="center" vertical="center"/>
    </x:xf>
    <x:xf numFmtId="0" fontId="40" fillId="52" borderId="15" xfId="0" applyNumberFormat="1" applyFont="1" applyFill="1" applyBorder="1" applyAlignment="1">
      <x:alignment horizontal="left" vertical="top" wrapText="1"/>
    </x:xf>
    <x:xf numFmtId="0" fontId="44" fillId="52" borderId="0" xfId="0" applyNumberFormat="1" applyFont="1" applyFill="1" applyBorder="1" applyAlignment="1">
      <x:alignment vertical="center" wrapText="1"/>
    </x:xf>
    <x:xf numFmtId="0" fontId="41" fillId="52" borderId="15" xfId="0" applyNumberFormat="1" applyFont="1" applyFill="1" applyBorder="1" applyAlignment="1">
      <x:alignment horizontal="center" vertical="center"/>
    </x:xf>
    <x:xf numFmtId="202" fontId="37" fillId="52" borderId="13" xfId="0" applyNumberFormat="1" applyFont="1" applyFill="1" applyBorder="1" applyAlignment="1">
      <x:alignment horizontal="right" vertical="center"/>
    </x:xf>
    <x:xf numFmtId="202" fontId="31" fillId="52" borderId="13" xfId="0" applyNumberFormat="1" applyFont="1" applyFill="1" applyBorder="1" applyAlignment="1">
      <x:alignment horizontal="right" vertical="center"/>
    </x:xf>
    <x:xf numFmtId="201" fontId="40" fillId="53" borderId="13" xfId="0" applyNumberFormat="1" applyFont="1" applyFill="1" applyBorder="1" applyAlignment="1">
      <x:alignment horizontal="right" vertical="center"/>
    </x:xf>
    <x:xf numFmtId="201" fontId="37" fillId="53" borderId="13" xfId="0" applyNumberFormat="1" applyFont="1" applyFill="1" applyBorder="1" applyAlignment="1">
      <x:alignment horizontal="right" vertical="center"/>
    </x:xf>
    <x:xf numFmtId="201" fontId="31" fillId="53" borderId="13" xfId="0" applyNumberFormat="1" applyFont="1" applyFill="1" applyBorder="1" applyAlignment="1">
      <x:alignment horizontal="right" vertical="center"/>
    </x:xf>
    <x:xf numFmtId="0" fontId="33" fillId="33" borderId="15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 applyAlignment="1">
      <x:alignment vertical="center" wrapText="1"/>
    </x:xf>
    <x:xf numFmtId="0" fontId="27" fillId="54" borderId="15" xfId="0" applyNumberFormat="1" applyFont="1" applyFill="1" applyBorder="1" applyAlignment="1">
      <x:alignment horizontal="left" vertical="center"/>
    </x:xf>
    <x:xf numFmtId="202" fontId="27" fillId="54" borderId="15" xfId="0" applyNumberFormat="1" applyFont="1" applyFill="1" applyBorder="1" applyAlignment="1">
      <x:alignment horizontal="right" vertical="center"/>
    </x:xf>
    <x:xf numFmtId="0" fontId="27" fillId="54" borderId="15" xfId="0" applyNumberFormat="1" applyFont="1" applyFill="1" applyBorder="1" applyAlignment="1">
      <x:alignment horizontal="left" vertical="center" wrapText="1"/>
    </x:xf>
    <x:xf numFmtId="202" fontId="31" fillId="54" borderId="13" xfId="0" applyNumberFormat="1" applyFont="1" applyFill="1" applyBorder="1" applyAlignment="1">
      <x:alignment horizontal="right" vertical="center"/>
    </x:xf>
    <x:xf numFmtId="205" fontId="27" fillId="54" borderId="15" xfId="0" applyNumberFormat="1" applyFont="1" applyFill="1" applyBorder="1" applyAlignment="1">
      <x:alignment horizontal="right" vertical="center"/>
    </x:xf>
    <x:xf numFmtId="203" fontId="27" fillId="54" borderId="15" xfId="0" applyNumberFormat="1" applyFont="1" applyFill="1" applyBorder="1" applyAlignment="1">
      <x:alignment horizontal="right" vertical="center"/>
    </x:xf>
    <x:xf numFmtId="201" fontId="31" fillId="54" borderId="13" xfId="0" applyNumberFormat="1" applyFont="1" applyFill="1" applyBorder="1" applyAlignment="1">
      <x:alignment horizontal="right" vertical="center"/>
    </x:xf>
    <x:xf numFmtId="201" fontId="27" fillId="54" borderId="15" xfId="0" applyNumberFormat="1" applyFont="1" applyFill="1" applyBorder="1" applyAlignment="1">
      <x:alignment horizontal="right" vertical="center"/>
    </x:xf>
    <x:xf numFmtId="0" fontId="33" fillId="54" borderId="15" xfId="0" applyNumberFormat="1" applyFont="1" applyFill="1" applyBorder="1" applyAlignment="1">
      <x:alignment horizontal="center" vertical="center"/>
    </x:xf>
    <x:xf numFmtId="0" fontId="27" fillId="54" borderId="15" xfId="0" applyNumberFormat="1" applyFont="1" applyFill="1" applyBorder="1" applyAlignment="1">
      <x:alignment horizontal="left" vertical="top" wrapText="1"/>
    </x:xf>
    <x:xf numFmtId="0" fontId="0" fillId="54" borderId="0" xfId="0" applyNumberFormat="1" applyFont="1" applyFill="1" applyBorder="1" applyAlignment="1">
      <x:alignment vertical="center" wrapText="1"/>
    </x:xf>
    <x:xf numFmtId="0" fontId="27" fillId="54" borderId="15" xfId="0" applyNumberFormat="1" applyFont="1" applyFill="1" applyBorder="1" applyAlignment="1">
      <x:alignment horizontal="center" vertical="center"/>
    </x:xf>
    <x:xf numFmtId="0" fontId="39" fillId="54" borderId="15" xfId="0" applyNumberFormat="1" applyFont="1" applyFill="1" applyBorder="1" applyAlignment="1">
      <x:alignment horizontal="left" vertical="center"/>
    </x:xf>
    <x:xf numFmtId="202" fontId="39" fillId="54" borderId="15" xfId="0" applyNumberFormat="1" applyFont="1" applyFill="1" applyBorder="1" applyAlignment="1">
      <x:alignment horizontal="right" vertical="center"/>
    </x:xf>
    <x:xf numFmtId="0" fontId="39" fillId="54" borderId="15" xfId="0" applyNumberFormat="1" applyFont="1" applyFill="1" applyBorder="1" applyAlignment="1">
      <x:alignment horizontal="left" vertical="center" wrapText="1"/>
    </x:xf>
    <x:xf numFmtId="202" fontId="41" fillId="54" borderId="13" xfId="0" applyNumberFormat="1" applyFont="1" applyFill="1" applyBorder="1" applyAlignment="1">
      <x:alignment horizontal="right" vertical="center"/>
    </x:xf>
    <x:xf numFmtId="205" fontId="39" fillId="54" borderId="15" xfId="0" applyNumberFormat="1" applyFont="1" applyFill="1" applyBorder="1" applyAlignment="1">
      <x:alignment horizontal="right" vertical="center"/>
    </x:xf>
    <x:xf numFmtId="203" fontId="39" fillId="54" borderId="15" xfId="0" applyNumberFormat="1" applyFont="1" applyFill="1" applyBorder="1" applyAlignment="1">
      <x:alignment horizontal="right" vertical="center"/>
    </x:xf>
    <x:xf numFmtId="201" fontId="41" fillId="54" borderId="13" xfId="0" applyNumberFormat="1" applyFont="1" applyFill="1" applyBorder="1" applyAlignment="1">
      <x:alignment horizontal="right" vertical="center"/>
    </x:xf>
    <x:xf numFmtId="201" fontId="39" fillId="54" borderId="15" xfId="0" applyNumberFormat="1" applyFont="1" applyFill="1" applyBorder="1" applyAlignment="1">
      <x:alignment horizontal="right" vertical="center"/>
    </x:xf>
    <x:xf numFmtId="0" fontId="41" fillId="54" borderId="15" xfId="0" applyNumberFormat="1" applyFont="1" applyFill="1" applyBorder="1" applyAlignment="1">
      <x:alignment horizontal="center" vertical="center"/>
    </x:xf>
    <x:xf numFmtId="0" fontId="39" fillId="54" borderId="15" xfId="0" applyNumberFormat="1" applyFont="1" applyFill="1" applyBorder="1" applyAlignment="1">
      <x:alignment horizontal="left" vertical="top" wrapText="1"/>
    </x:xf>
    <x:xf numFmtId="0" fontId="43" fillId="54" borderId="0" xfId="0" applyNumberFormat="1" applyFont="1" applyFill="1" applyBorder="1" applyAlignment="1">
      <x:alignment vertical="center" wrapText="1"/>
    </x:xf>
    <x:xf numFmtId="0" fontId="39" fillId="54" borderId="15" xfId="0" applyNumberFormat="1" applyFont="1" applyFill="1" applyBorder="1" applyAlignment="1">
      <x:alignment horizontal="center" vertical="center"/>
    </x:xf>
    <x:xf numFmtId="0" fontId="40" fillId="54" borderId="15" xfId="0" applyNumberFormat="1" applyFont="1" applyFill="1" applyBorder="1" applyAlignment="1">
      <x:alignment horizontal="left" vertical="center"/>
    </x:xf>
    <x:xf numFmtId="202" fontId="40" fillId="54" borderId="15" xfId="0" applyNumberFormat="1" applyFont="1" applyFill="1" applyBorder="1" applyAlignment="1">
      <x:alignment horizontal="right" vertical="center"/>
    </x:xf>
    <x:xf numFmtId="0" fontId="40" fillId="54" borderId="15" xfId="0" applyNumberFormat="1" applyFont="1" applyFill="1" applyBorder="1" applyAlignment="1">
      <x:alignment horizontal="left" vertical="center" wrapText="1"/>
    </x:xf>
    <x:xf numFmtId="202" fontId="40" fillId="54" borderId="13" xfId="0" applyNumberFormat="1" applyFont="1" applyFill="1" applyBorder="1" applyAlignment="1">
      <x:alignment horizontal="right" vertical="center"/>
    </x:xf>
    <x:xf numFmtId="205" fontId="40" fillId="54" borderId="15" xfId="0" applyNumberFormat="1" applyFont="1" applyFill="1" applyBorder="1" applyAlignment="1">
      <x:alignment horizontal="right" vertical="center"/>
    </x:xf>
    <x:xf numFmtId="203" fontId="40" fillId="54" borderId="15" xfId="0" applyNumberFormat="1" applyFont="1" applyFill="1" applyBorder="1" applyAlignment="1">
      <x:alignment horizontal="right" vertical="center"/>
    </x:xf>
    <x:xf numFmtId="201" fontId="40" fillId="54" borderId="13" xfId="0" applyNumberFormat="1" applyFont="1" applyFill="1" applyBorder="1" applyAlignment="1">
      <x:alignment horizontal="right" vertical="center"/>
    </x:xf>
    <x:xf numFmtId="201" fontId="40" fillId="54" borderId="15" xfId="0" applyNumberFormat="1" applyFont="1" applyFill="1" applyBorder="1" applyAlignment="1">
      <x:alignment horizontal="right" vertical="center"/>
    </x:xf>
    <x:xf numFmtId="0" fontId="40" fillId="54" borderId="15" xfId="0" applyNumberFormat="1" applyFont="1" applyFill="1" applyBorder="1" applyAlignment="1">
      <x:alignment horizontal="center" vertical="center"/>
    </x:xf>
    <x:xf numFmtId="0" fontId="40" fillId="54" borderId="15" xfId="0" applyNumberFormat="1" applyFont="1" applyFill="1" applyBorder="1" applyAlignment="1">
      <x:alignment horizontal="left" vertical="top" wrapText="1"/>
    </x:xf>
    <x:xf numFmtId="0" fontId="44" fillId="54" borderId="0" xfId="0" applyNumberFormat="1" applyFont="1" applyFill="1" applyBorder="1" applyAlignment="1">
      <x:alignment vertical="center" wrapText="1"/>
    </x:xf>
    <x:xf numFmtId="0" fontId="42" fillId="54" borderId="15" xfId="0" applyNumberFormat="1" applyFont="1" applyFill="1" applyBorder="1" applyAlignment="1">
      <x:alignment horizontal="center" vertical="center"/>
    </x:xf>
    <x:xf numFmtId="202" fontId="37" fillId="54" borderId="13" xfId="0" applyNumberFormat="1" applyFont="1" applyFill="1" applyBorder="1" applyAlignment="1">
      <x:alignment horizontal="right" vertical="center"/>
    </x:xf>
    <x:xf numFmtId="0" fontId="31" fillId="33" borderId="16" xfId="0" applyNumberFormat="1" applyFont="1" applyFill="1" applyBorder="1" applyAlignment="1">
      <x:alignment horizontal="center" vertical="center" wrapText="1"/>
    </x:xf>
    <x:xf numFmtId="0" fontId="31" fillId="33" borderId="16" xfId="0" applyNumberFormat="1" applyFont="1" applyFill="1" applyBorder="1" applyAlignment="1">
      <x:alignment horizontal="left" vertical="top" wrapText="1"/>
    </x:xf>
    <x:xf numFmtId="0" fontId="34" fillId="7" borderId="15" xfId="0" applyNumberFormat="1" applyFont="1" applyFill="1" applyBorder="1" applyAlignment="1">
      <x:alignment horizontal="left" vertical="center"/>
    </x:xf>
    <x:xf numFmtId="202" fontId="34" fillId="7" borderId="15" xfId="0" applyNumberFormat="1" applyFont="1" applyFill="1" applyBorder="1" applyAlignment="1">
      <x:alignment horizontal="right" vertical="center"/>
    </x:xf>
    <x:xf numFmtId="0" fontId="34" fillId="7" borderId="15" xfId="0" applyNumberFormat="1" applyFont="1" applyFill="1" applyBorder="1" applyAlignment="1">
      <x:alignment horizontal="left" vertical="center" wrapText="1"/>
    </x:xf>
    <x:xf numFmtId="205" fontId="34" fillId="7" borderId="15" xfId="0" applyNumberFormat="1" applyFont="1" applyFill="1" applyBorder="1" applyAlignment="1">
      <x:alignment horizontal="right" vertical="center"/>
    </x:xf>
    <x:xf numFmtId="203" fontId="34" fillId="7" borderId="15" xfId="0" applyNumberFormat="1" applyFont="1" applyFill="1" applyBorder="1" applyAlignment="1">
      <x:alignment horizontal="right" vertical="center"/>
    </x:xf>
    <x:xf numFmtId="201" fontId="34" fillId="7" borderId="15" xfId="0" applyNumberFormat="1" applyFont="1" applyFill="1" applyBorder="1" applyAlignment="1">
      <x:alignment horizontal="right" vertical="center"/>
    </x:xf>
    <x:xf numFmtId="0" fontId="33" fillId="7" borderId="15" xfId="0" applyNumberFormat="1" applyFont="1" applyFill="1" applyBorder="1" applyAlignment="1">
      <x:alignment horizontal="center" vertical="center"/>
    </x:xf>
    <x:xf numFmtId="0" fontId="44" fillId="7" borderId="0" xfId="0" applyNumberFormat="1" applyFont="1" applyFill="1" applyBorder="1" applyAlignment="1">
      <x:alignment vertical="center" wrapText="1"/>
    </x:xf>
    <x:xf numFmtId="0" fontId="34" fillId="7" borderId="15" xfId="0" applyNumberFormat="1" applyFont="1" applyFill="1" applyBorder="1" applyAlignment="1">
      <x:alignment horizontal="center" vertical="center"/>
    </x:xf>
    <x:xf numFmtId="0" fontId="34" fillId="33" borderId="15" xfId="0" applyNumberFormat="1" applyFont="1" applyFill="1" applyBorder="1" applyAlignment="1">
      <x:alignment horizontal="left" vertical="center"/>
    </x:xf>
    <x:xf numFmtId="202" fontId="34" fillId="33" borderId="15" xfId="0" applyNumberFormat="1" applyFont="1" applyFill="1" applyBorder="1" applyAlignment="1">
      <x:alignment horizontal="right" vertical="center"/>
    </x:xf>
    <x:xf numFmtId="0" fontId="34" fillId="33" borderId="15" xfId="0" applyNumberFormat="1" applyFont="1" applyFill="1" applyBorder="1" applyAlignment="1">
      <x:alignment horizontal="left" vertical="center" wrapText="1"/>
    </x:xf>
    <x:xf numFmtId="205" fontId="34" fillId="33" borderId="15" xfId="0" applyNumberFormat="1" applyFont="1" applyFill="1" applyBorder="1" applyAlignment="1">
      <x:alignment horizontal="right" vertical="center"/>
    </x:xf>
    <x:xf numFmtId="203" fontId="34" fillId="33" borderId="15" xfId="0" applyNumberFormat="1" applyFont="1" applyFill="1" applyBorder="1" applyAlignment="1">
      <x:alignment horizontal="right" vertical="center"/>
    </x:xf>
    <x:xf numFmtId="201" fontId="34" fillId="33" borderId="15" xfId="0" applyNumberFormat="1" applyFont="1" applyFill="1" applyBorder="1" applyAlignment="1">
      <x:alignment horizontal="right" vertical="center"/>
    </x:xf>
    <x:xf numFmtId="0" fontId="44" fillId="33" borderId="0" xfId="0" applyNumberFormat="1" applyFont="1" applyFill="1" applyBorder="1" applyAlignment="1">
      <x:alignment vertical="center" wrapText="1"/>
    </x:xf>
    <x:xf numFmtId="0" fontId="34" fillId="33" borderId="15" xfId="0" applyNumberFormat="1" applyFont="1" applyFill="1" applyBorder="1" applyAlignment="1">
      <x:alignment horizontal="center" vertical="center"/>
    </x:xf>
    <x:xf numFmtId="0" fontId="27" fillId="33" borderId="16" xfId="0" applyNumberFormat="1" applyFont="1" applyFill="1" applyBorder="1" applyAlignment="1">
      <x:alignment horizontal="left" vertical="top" wrapText="1"/>
    </x:xf>
    <x:xf numFmtId="0" fontId="16" fillId="5" borderId="11" xfId="0" applyNumberFormat="1" applyFont="1" applyFill="1" applyBorder="1" applyAlignment="1">
      <x:alignment horizontal="center" vertical="center" wrapText="1"/>
    </x:xf>
    <x:xf numFmtId="0" fontId="0" fillId="55" borderId="0" xfId="0" applyNumberFormat="1" applyFont="1" applyFill="1" applyBorder="1"/>
    <x:xf numFmtId="0" fontId="7" fillId="55" borderId="0" xfId="0" applyNumberFormat="1" applyFont="1" applyFill="1" applyBorder="1"/>
    <x:xf numFmtId="0" fontId="7" fillId="55" borderId="0" xfId="0" applyNumberFormat="1" applyFont="1" applyFill="1" applyBorder="1" applyAlignment="1">
      <x:alignment wrapText="1"/>
    </x:xf>
    <x:xf numFmtId="0" fontId="7" fillId="55" borderId="0" xfId="0" applyNumberFormat="1" applyFont="1" applyFill="1" applyBorder="1" applyAlignment="1">
      <x:alignment horizontal="center" wrapText="1"/>
    </x:xf>
    <x:xf numFmtId="0" fontId="7" fillId="55" borderId="0" xfId="0" applyNumberFormat="1" applyFont="1" applyFill="1" applyBorder="1" applyAlignment="1">
      <x:alignment horizontal="center" vertical="center" wrapText="1"/>
    </x:xf>
    <x:xf numFmtId="0" fontId="45" fillId="0" borderId="0" xfId="0" applyNumberFormat="1" applyFont="1" applyFill="1" applyBorder="1"/>
    <x:xf numFmtId="0" fontId="45" fillId="0" borderId="0" xfId="0" applyNumberFormat="1" applyFont="1" applyFill="1" applyBorder="1" applyAlignment="1">
      <x:alignment vertical="center"/>
    </x:xf>
    <x:xf numFmtId="0" fontId="45" fillId="0" borderId="0" xfId="0" applyNumberFormat="1" applyFont="1" applyFill="1" applyBorder="1" applyAlignment="1">
      <x:alignment vertical="center" wrapText="1"/>
    </x:xf>
    <x:xf numFmtId="202" fontId="45" fillId="0" borderId="0" xfId="0" applyNumberFormat="1" applyFont="1" applyFill="1" applyBorder="1" applyAlignment="1">
      <x:alignment vertical="center"/>
    </x:xf>
    <x:xf numFmtId="203" fontId="45" fillId="0" borderId="0" xfId="0" applyNumberFormat="1" applyFont="1" applyFill="1" applyBorder="1" applyAlignment="1">
      <x:alignment vertical="center"/>
    </x:xf>
    <x:xf numFmtId="201" fontId="45" fillId="0" borderId="0" xfId="0" applyNumberFormat="1" applyFont="1" applyFill="1" applyBorder="1" applyAlignment="1">
      <x:alignment vertical="center"/>
    </x:xf>
    <x:xf numFmtId="204" fontId="45" fillId="0" borderId="0" xfId="0" applyNumberFormat="1" applyFont="1" applyFill="1" applyBorder="1" applyAlignment="1">
      <x:alignment vertical="center"/>
    </x:xf>
    <x:xf numFmtId="0" fontId="45" fillId="56" borderId="0" xfId="0" applyNumberFormat="1" applyFont="1" applyFill="1" applyBorder="1" applyAlignment="1">
      <x:alignment vertical="center"/>
    </x:xf>
    <x:xf numFmtId="0" fontId="45" fillId="56" borderId="0" xfId="0" applyNumberFormat="1" applyFont="1" applyFill="1" applyBorder="1" applyAlignment="1">
      <x:alignment vertical="center" wrapText="1"/>
    </x:xf>
    <x:xf numFmtId="202" fontId="45" fillId="56" borderId="0" xfId="0" applyNumberFormat="1" applyFont="1" applyFill="1" applyBorder="1" applyAlignment="1">
      <x:alignment vertical="center"/>
    </x:xf>
    <x:xf numFmtId="203" fontId="45" fillId="56" borderId="0" xfId="0" applyNumberFormat="1" applyFont="1" applyFill="1" applyBorder="1" applyAlignment="1">
      <x:alignment vertical="center"/>
    </x:xf>
    <x:xf numFmtId="201" fontId="45" fillId="56" borderId="0" xfId="0" applyNumberFormat="1" applyFont="1" applyFill="1" applyBorder="1" applyAlignment="1">
      <x:alignment vertical="center"/>
    </x:xf>
    <x:xf numFmtId="204" fontId="45" fillId="56" borderId="0" xfId="0" applyNumberFormat="1" applyFont="1" applyFill="1" applyBorder="1" applyAlignment="1">
      <x:alignment vertical="center"/>
    </x:xf>
    <x:xf numFmtId="0" fontId="45" fillId="57" borderId="0" xfId="0" applyNumberFormat="1" applyFont="1" applyFill="1" applyBorder="1" applyAlignment="1">
      <x:alignment vertical="center"/>
    </x:xf>
    <x:xf numFmtId="0" fontId="45" fillId="57" borderId="0" xfId="0" applyNumberFormat="1" applyFont="1" applyFill="1" applyBorder="1" applyAlignment="1">
      <x:alignment vertical="center" wrapText="1"/>
    </x:xf>
    <x:xf numFmtId="202" fontId="45" fillId="57" borderId="0" xfId="0" applyNumberFormat="1" applyFont="1" applyFill="1" applyBorder="1" applyAlignment="1">
      <x:alignment vertical="center"/>
    </x:xf>
    <x:xf numFmtId="203" fontId="45" fillId="57" borderId="0" xfId="0" applyNumberFormat="1" applyFont="1" applyFill="1" applyBorder="1" applyAlignment="1">
      <x:alignment vertical="center"/>
    </x:xf>
    <x:xf numFmtId="201" fontId="45" fillId="57" borderId="0" xfId="0" applyNumberFormat="1" applyFont="1" applyFill="1" applyBorder="1" applyAlignment="1">
      <x:alignment vertical="center"/>
    </x:xf>
    <x:xf numFmtId="204" fontId="45" fillId="57" borderId="0" xfId="0" applyNumberFormat="1" applyFont="1" applyFill="1" applyBorder="1" applyAlignment="1">
      <x:alignment vertical="center"/>
    </x:xf>
    <x:xf numFmtId="0" fontId="45" fillId="4" borderId="0" xfId="0" applyNumberFormat="1" applyFont="1" applyFill="1" applyBorder="1" applyAlignment="1">
      <x:alignment vertical="center"/>
    </x:xf>
    <x:xf numFmtId="0" fontId="45" fillId="4" borderId="0" xfId="0" applyNumberFormat="1" applyFont="1" applyFill="1" applyBorder="1" applyAlignment="1">
      <x:alignment vertical="center" wrapText="1"/>
    </x:xf>
    <x:xf numFmtId="202" fontId="45" fillId="4" borderId="0" xfId="0" applyNumberFormat="1" applyFont="1" applyFill="1" applyBorder="1" applyAlignment="1">
      <x:alignment vertical="center"/>
    </x:xf>
    <x:xf numFmtId="203" fontId="45" fillId="4" borderId="0" xfId="0" applyNumberFormat="1" applyFont="1" applyFill="1" applyBorder="1" applyAlignment="1">
      <x:alignment vertical="center"/>
    </x:xf>
    <x:xf numFmtId="201" fontId="45" fillId="4" borderId="0" xfId="0" applyNumberFormat="1" applyFont="1" applyFill="1" applyBorder="1" applyAlignment="1">
      <x:alignment vertical="center"/>
    </x:xf>
    <x:xf numFmtId="204" fontId="45" fillId="4" borderId="0" xfId="0" applyNumberFormat="1" applyFont="1" applyFill="1" applyBorder="1" applyAlignment="1">
      <x:alignment vertical="center"/>
    </x:xf>
    <x:xf numFmtId="0" fontId="45" fillId="58" borderId="0" xfId="0" applyNumberFormat="1" applyFont="1" applyFill="1" applyBorder="1" applyAlignment="1">
      <x:alignment vertical="center"/>
    </x:xf>
    <x:xf numFmtId="0" fontId="45" fillId="58" borderId="0" xfId="0" applyNumberFormat="1" applyFont="1" applyFill="1" applyBorder="1" applyAlignment="1">
      <x:alignment vertical="center" wrapText="1"/>
    </x:xf>
    <x:xf numFmtId="202" fontId="45" fillId="58" borderId="0" xfId="0" applyNumberFormat="1" applyFont="1" applyFill="1" applyBorder="1" applyAlignment="1">
      <x:alignment vertical="center"/>
    </x:xf>
    <x:xf numFmtId="203" fontId="45" fillId="58" borderId="0" xfId="0" applyNumberFormat="1" applyFont="1" applyFill="1" applyBorder="1" applyAlignment="1">
      <x:alignment vertical="center"/>
    </x:xf>
    <x:xf numFmtId="201" fontId="45" fillId="58" borderId="0" xfId="0" applyNumberFormat="1" applyFont="1" applyFill="1" applyBorder="1" applyAlignment="1">
      <x:alignment vertical="center"/>
    </x:xf>
    <x:xf numFmtId="204" fontId="45" fillId="58" borderId="0" xfId="0" applyNumberFormat="1" applyFont="1" applyFill="1" applyBorder="1" applyAlignment="1">
      <x:alignment vertical="center"/>
    </x:xf>
    <x:xf numFmtId="0" fontId="45" fillId="59" borderId="0" xfId="0" applyNumberFormat="1" applyFont="1" applyFill="1" applyBorder="1" applyAlignment="1">
      <x:alignment vertical="center"/>
    </x:xf>
    <x:xf numFmtId="0" fontId="45" fillId="59" borderId="0" xfId="0" applyNumberFormat="1" applyFont="1" applyFill="1" applyBorder="1" applyAlignment="1">
      <x:alignment vertical="center" wrapText="1"/>
    </x:xf>
    <x:xf numFmtId="202" fontId="45" fillId="59" borderId="0" xfId="0" applyNumberFormat="1" applyFont="1" applyFill="1" applyBorder="1" applyAlignment="1">
      <x:alignment vertical="center"/>
    </x:xf>
    <x:xf numFmtId="203" fontId="45" fillId="59" borderId="0" xfId="0" applyNumberFormat="1" applyFont="1" applyFill="1" applyBorder="1" applyAlignment="1">
      <x:alignment vertical="center"/>
    </x:xf>
    <x:xf numFmtId="201" fontId="45" fillId="59" borderId="0" xfId="0" applyNumberFormat="1" applyFont="1" applyFill="1" applyBorder="1" applyAlignment="1">
      <x:alignment vertical="center"/>
    </x:xf>
    <x:xf numFmtId="204" fontId="45" fillId="59" borderId="0" xfId="0" applyNumberFormat="1" applyFont="1" applyFill="1" applyBorder="1" applyAlignment="1">
      <x:alignment vertical="center"/>
    </x:xf>
    <x:xf numFmtId="0" fontId="45" fillId="60" borderId="0" xfId="0" applyNumberFormat="1" applyFont="1" applyFill="1" applyBorder="1" applyAlignment="1">
      <x:alignment vertical="center"/>
    </x:xf>
    <x:xf numFmtId="0" fontId="45" fillId="60" borderId="0" xfId="0" applyNumberFormat="1" applyFont="1" applyFill="1" applyBorder="1" applyAlignment="1">
      <x:alignment vertical="center" wrapText="1"/>
    </x:xf>
    <x:xf numFmtId="202" fontId="45" fillId="60" borderId="0" xfId="0" applyNumberFormat="1" applyFont="1" applyFill="1" applyBorder="1" applyAlignment="1">
      <x:alignment vertical="center"/>
    </x:xf>
    <x:xf numFmtId="203" fontId="45" fillId="60" borderId="0" xfId="0" applyNumberFormat="1" applyFont="1" applyFill="1" applyBorder="1" applyAlignment="1">
      <x:alignment vertical="center"/>
    </x:xf>
    <x:xf numFmtId="201" fontId="45" fillId="60" borderId="0" xfId="0" applyNumberFormat="1" applyFont="1" applyFill="1" applyBorder="1" applyAlignment="1">
      <x:alignment vertical="center"/>
    </x:xf>
    <x:xf numFmtId="204" fontId="45" fillId="60" borderId="0" xfId="0" applyNumberFormat="1" applyFont="1" applyFill="1" applyBorder="1" applyAlignment="1">
      <x:alignment vertical="center"/>
    </x:xf>
    <x:xf numFmtId="202" fontId="27" fillId="61" borderId="12" xfId="0" applyNumberFormat="1" applyFont="1" applyFill="1" applyBorder="1" applyAlignment="1">
      <x:alignment horizontal="center" vertical="center"/>
    </x:xf>
    <x:xf numFmtId="203" fontId="27" fillId="61" borderId="12" xfId="0" applyNumberFormat="1" applyFont="1" applyFill="1" applyBorder="1" applyAlignment="1">
      <x:alignment horizontal="center" vertical="center"/>
    </x:xf>
    <x:xf numFmtId="201" fontId="27" fillId="61" borderId="12" xfId="0" applyNumberFormat="1" applyFont="1" applyFill="1" applyBorder="1" applyAlignment="1">
      <x:alignment horizontal="center" vertical="center"/>
    </x:xf>
    <x:xf numFmtId="0" fontId="26" fillId="61" borderId="12" xfId="0" applyNumberFormat="1" applyFont="1" applyFill="1" applyBorder="1" applyAlignment="1">
      <x:alignment horizontal="center" vertical="center"/>
    </x:xf>
    <x:xf numFmtId="0" fontId="27" fillId="61" borderId="12" xfId="0" applyNumberFormat="1" applyFont="1" applyFill="1" applyBorder="1" applyAlignment="1">
      <x:alignment vertical="top" wrapText="1"/>
    </x:xf>
    <x:xf numFmtId="202" fontId="46" fillId="61" borderId="12" xfId="0" applyNumberFormat="1" applyFont="1" applyFill="1" applyBorder="1" applyAlignment="1">
      <x:alignment horizontal="center" vertical="center"/>
    </x:xf>
    <x:xf numFmtId="203" fontId="46" fillId="61" borderId="12" xfId="0" applyNumberFormat="1" applyFont="1" applyFill="1" applyBorder="1" applyAlignment="1">
      <x:alignment horizontal="center" vertical="center"/>
    </x:xf>
    <x:xf numFmtId="201" fontId="46" fillId="61" borderId="12" xfId="0" applyNumberFormat="1" applyFont="1" applyFill="1" applyBorder="1" applyAlignment="1">
      <x:alignment horizontal="center" vertical="center"/>
    </x:xf>
    <x:xf numFmtId="0" fontId="46" fillId="61" borderId="12" xfId="0" applyNumberFormat="1" applyFont="1" applyFill="1" applyBorder="1" applyAlignment="1">
      <x:alignment horizontal="center" vertical="center"/>
    </x:xf>
    <x:xf numFmtId="0" fontId="46" fillId="61" borderId="12" xfId="0" applyNumberFormat="1" applyFont="1" applyFill="1" applyBorder="1" applyAlignment="1">
      <x:alignment vertical="top" wrapText="1"/>
    </x:xf>
    <x:xf numFmtId="202" fontId="27" fillId="62" borderId="13" xfId="0" applyNumberFormat="1" applyFont="1" applyFill="1" applyBorder="1" applyAlignment="1">
      <x:alignment horizontal="center" vertical="center"/>
    </x:xf>
    <x:xf numFmtId="203" fontId="27" fillId="62" borderId="13" xfId="0" applyNumberFormat="1" applyFont="1" applyFill="1" applyBorder="1" applyAlignment="1">
      <x:alignment horizontal="center" vertical="center"/>
    </x:xf>
    <x:xf numFmtId="201" fontId="27" fillId="62" borderId="13" xfId="0" applyNumberFormat="1" applyFont="1" applyFill="1" applyBorder="1" applyAlignment="1">
      <x:alignment horizontal="center" vertical="center"/>
    </x:xf>
    <x:xf numFmtId="0" fontId="26" fillId="62" borderId="13" xfId="0" applyNumberFormat="1" applyFont="1" applyFill="1" applyBorder="1" applyAlignment="1">
      <x:alignment horizontal="center" vertical="center"/>
    </x:xf>
    <x:xf numFmtId="0" fontId="27" fillId="62" borderId="13" xfId="0" applyNumberFormat="1" applyFont="1" applyFill="1" applyBorder="1" applyAlignment="1">
      <x:alignment vertical="top" wrapText="1"/>
    </x:xf>
    <x:xf numFmtId="202" fontId="26" fillId="62" borderId="13" xfId="0" applyNumberFormat="1" applyFont="1" applyFill="1" applyBorder="1" applyAlignment="1">
      <x:alignment horizontal="center" vertical="center"/>
    </x:xf>
    <x:xf numFmtId="203" fontId="26" fillId="62" borderId="13" xfId="0" applyNumberFormat="1" applyFont="1" applyFill="1" applyBorder="1" applyAlignment="1">
      <x:alignment horizontal="center" vertical="center"/>
    </x:xf>
    <x:xf numFmtId="201" fontId="26" fillId="62" borderId="13" xfId="0" applyNumberFormat="1" applyFont="1" applyFill="1" applyBorder="1" applyAlignment="1">
      <x:alignment horizontal="center" vertical="center"/>
    </x:xf>
    <x:xf numFmtId="0" fontId="26" fillId="62" borderId="13" xfId="0" applyNumberFormat="1" applyFont="1" applyFill="1" applyBorder="1" applyAlignment="1">
      <x:alignment vertical="top" wrapText="1"/>
    </x:xf>
    <x:xf numFmtId="202" fontId="26" fillId="61" borderId="13" xfId="0" applyNumberFormat="1" applyFont="1" applyFill="1" applyBorder="1" applyAlignment="1">
      <x:alignment horizontal="center" vertical="center"/>
    </x:xf>
    <x:xf numFmtId="203" fontId="26" fillId="61" borderId="13" xfId="0" applyNumberFormat="1" applyFont="1" applyFill="1" applyBorder="1" applyAlignment="1">
      <x:alignment horizontal="center" vertical="center"/>
    </x:xf>
    <x:xf numFmtId="201" fontId="26" fillId="61" borderId="13" xfId="0" applyNumberFormat="1" applyFont="1" applyFill="1" applyBorder="1" applyAlignment="1">
      <x:alignment horizontal="center" vertical="center"/>
    </x:xf>
    <x:xf numFmtId="0" fontId="26" fillId="61" borderId="13" xfId="0" applyNumberFormat="1" applyFont="1" applyFill="1" applyBorder="1" applyAlignment="1">
      <x:alignment horizontal="center" vertical="center"/>
    </x:xf>
    <x:xf numFmtId="0" fontId="26" fillId="61" borderId="13" xfId="0" applyNumberFormat="1" applyFont="1" applyFill="1" applyBorder="1" applyAlignment="1">
      <x:alignment vertical="top" wrapText="1"/>
    </x:xf>
    <x:xf numFmtId="202" fontId="46" fillId="61" borderId="13" xfId="0" applyNumberFormat="1" applyFont="1" applyFill="1" applyBorder="1" applyAlignment="1">
      <x:alignment horizontal="center" vertical="center"/>
    </x:xf>
    <x:xf numFmtId="203" fontId="46" fillId="61" borderId="13" xfId="0" applyNumberFormat="1" applyFont="1" applyFill="1" applyBorder="1" applyAlignment="1">
      <x:alignment horizontal="center" vertical="center"/>
    </x:xf>
    <x:xf numFmtId="201" fontId="46" fillId="61" borderId="13" xfId="0" applyNumberFormat="1" applyFont="1" applyFill="1" applyBorder="1" applyAlignment="1">
      <x:alignment horizontal="center" vertical="center"/>
    </x:xf>
    <x:xf numFmtId="0" fontId="46" fillId="61" borderId="13" xfId="0" applyNumberFormat="1" applyFont="1" applyFill="1" applyBorder="1" applyAlignment="1">
      <x:alignment horizontal="center" vertical="center"/>
    </x:xf>
    <x:xf numFmtId="0" fontId="46" fillId="61" borderId="13" xfId="0" applyNumberFormat="1" applyFont="1" applyFill="1" applyBorder="1" applyAlignment="1">
      <x:alignment vertical="top" wrapText="1"/>
    </x:xf>
    <x:xf numFmtId="202" fontId="27" fillId="61" borderId="13" xfId="0" applyNumberFormat="1" applyFont="1" applyFill="1" applyBorder="1" applyAlignment="1">
      <x:alignment horizontal="center" vertical="center"/>
    </x:xf>
    <x:xf numFmtId="203" fontId="27" fillId="61" borderId="13" xfId="0" applyNumberFormat="1" applyFont="1" applyFill="1" applyBorder="1" applyAlignment="1">
      <x:alignment horizontal="center" vertical="center"/>
    </x:xf>
    <x:xf numFmtId="201" fontId="27" fillId="61" borderId="13" xfId="0" applyNumberFormat="1" applyFont="1" applyFill="1" applyBorder="1" applyAlignment="1">
      <x:alignment horizontal="center" vertical="center"/>
    </x:xf>
    <x:xf numFmtId="0" fontId="27" fillId="61" borderId="13" xfId="0" applyNumberFormat="1" applyFont="1" applyFill="1" applyBorder="1" applyAlignment="1">
      <x:alignment vertical="top" wrapText="1"/>
    </x:xf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47" fillId="7" borderId="15" xfId="0" applyNumberFormat="1" applyFont="1" applyFill="1" applyBorder="1" applyAlignment="1">
      <x:alignment horizontal="left" vertical="center" wrapText="1"/>
    </x:xf>
    <x:xf numFmtId="0" fontId="47" fillId="33" borderId="15" xfId="0" applyNumberFormat="1" applyFont="1" applyFill="1" applyBorder="1" applyAlignment="1">
      <x:alignment horizontal="left" vertical="center" wrapText="1"/>
    </x:xf>
    <x:xf numFmtId="0" fontId="47" fillId="2" borderId="0" xfId="0" applyNumberFormat="1" applyFont="1" applyFill="1" applyBorder="1" applyAlignment="1">
      <x:alignment vertical="center"/>
    </x:xf>
    <x:xf numFmtId="0" fontId="47" fillId="4" borderId="0" xfId="0" applyNumberFormat="1" applyFont="1" applyFill="1" applyBorder="1" applyAlignment="1">
      <x:alignment vertical="center"/>
    </x:xf>
    <x:xf numFmtId="0" fontId="47" fillId="3" borderId="0" xfId="0" applyNumberFormat="1" applyFont="1" applyFill="1" applyBorder="1" applyAlignment="1">
      <x:alignment vertical="center" wrapText="1"/>
    </x:xf>
    <x:xf numFmtId="0" fontId="47" fillId="4" borderId="0" xfId="0" applyNumberFormat="1" applyFont="1" applyFill="1" applyBorder="1" applyAlignment="1">
      <x:alignment vertical="center" wrapText="1"/>
    </x:xf>
    <x:xf numFmtId="0" fontId="47" fillId="7" borderId="0" xfId="0" applyNumberFormat="1" applyFont="1" applyFill="1" applyBorder="1" applyAlignment="1">
      <x:alignment vertical="center" wrapText="1"/>
    </x:xf>
    <x:xf numFmtId="0" fontId="47" fillId="2" borderId="0" xfId="0" applyNumberFormat="1" applyFont="1" applyFill="1" applyBorder="1" applyAlignment="1">
      <x:alignment vertical="center" wrapText="1"/>
    </x:xf>
    <x:xf numFmtId="0" fontId="47" fillId="3" borderId="16" xfId="0" applyNumberFormat="1" applyFont="1" applyFill="1" applyBorder="1" applyAlignment="1">
      <x:alignment horizontal="left" vertical="top" wrapText="1"/>
    </x:xf>
    <x:xf numFmtId="0" fontId="47" fillId="3" borderId="13" xfId="0" applyNumberFormat="1" applyFont="1" applyFill="1" applyBorder="1" applyAlignment="1">
      <x:alignment horizontal="left" vertical="top" wrapText="1"/>
    </x:xf>
    <x:xf numFmtId="0" fontId="47" fillId="4" borderId="16" xfId="0" applyNumberFormat="1" applyFont="1" applyFill="1" applyBorder="1" applyAlignment="1">
      <x:alignment horizontal="left" vertical="top" wrapText="1"/>
    </x:xf>
    <x:xf numFmtId="0" fontId="47" fillId="4" borderId="13" xfId="0" applyNumberFormat="1" applyFont="1" applyFill="1" applyBorder="1" applyAlignment="1">
      <x:alignment horizontal="left" vertical="top" wrapText="1"/>
    </x:xf>
    <x:xf numFmtId="0" fontId="47" fillId="7" borderId="16" xfId="0" applyNumberFormat="1" applyFont="1" applyFill="1" applyBorder="1" applyAlignment="1">
      <x:alignment horizontal="left" vertical="top" wrapText="1"/>
    </x:xf>
    <x:xf numFmtId="0" fontId="47" fillId="7" borderId="13" xfId="0" applyNumberFormat="1" applyFont="1" applyFill="1" applyBorder="1" applyAlignment="1">
      <x:alignment horizontal="left" vertical="top" wrapText="1"/>
    </x:xf>
    <x:xf numFmtId="0" fontId="47" fillId="33" borderId="16" xfId="0" applyNumberFormat="1" applyFont="1" applyFill="1" applyBorder="1" applyAlignment="1">
      <x:alignment horizontal="left" vertical="top" wrapText="1"/>
    </x:xf>
    <x:xf numFmtId="204" fontId="27" fillId="33" borderId="16" xfId="0" applyNumberFormat="1" applyFont="1" applyFill="1" applyBorder="1" applyAlignment="1">
      <x:alignment horizontal="right" vertical="center" wrapText="1"/>
    </x:xf>
    <x:xf numFmtId="202" fontId="27" fillId="33" borderId="16" xfId="0" applyNumberFormat="1" applyFont="1" applyFill="1" applyBorder="1" applyAlignment="1">
      <x:alignment horizontal="right" vertical="center" wrapText="1"/>
    </x:xf>
    <x:xf numFmtId="201" fontId="26" fillId="9" borderId="13" xfId="0" applyNumberFormat="1" applyFont="1" applyFill="1" applyBorder="1" applyAlignment="1">
      <x:alignment horizontal="right" vertical="center"/>
    </x:xf>
    <x:xf numFmtId="0" fontId="48" fillId="0" borderId="0" xfId="0" applyNumberFormat="1" applyFont="1" applyFill="1" applyBorder="1" applyAlignment="1">
      <x:alignment wrapText="1"/>
    </x:xf>
    <x:xf numFmtId="0" fontId="33" fillId="4" borderId="13" xfId="0" applyNumberFormat="1" applyFont="1" applyFill="1" applyBorder="1" applyAlignment="1">
      <x:alignment horizontal="center" vertical="center"/>
    </x:xf>
    <x:xf numFmtId="202" fontId="26" fillId="4" borderId="13" xfId="0" applyNumberFormat="1" applyFont="1" applyFill="1" applyBorder="1" applyAlignment="1">
      <x:alignment horizontal="right" vertical="center"/>
    </x:xf>
    <x:xf numFmtId="201" fontId="26" fillId="63" borderId="13" xfId="0" applyNumberFormat="1" applyFont="1" applyFill="1" applyBorder="1" applyAlignment="1">
      <x:alignment horizontal="right" vertical="center"/>
    </x:xf>
    <x:xf numFmtId="202" fontId="49" fillId="4" borderId="13" xfId="0" applyNumberFormat="1" applyFont="1" applyFill="1" applyBorder="1" applyAlignment="1">
      <x:alignment horizontal="right" vertical="center"/>
    </x:xf>
    <x:xf numFmtId="201" fontId="26" fillId="64" borderId="13" xfId="0" applyNumberFormat="1" applyFont="1" applyFill="1" applyBorder="1" applyAlignment="1">
      <x:alignment horizontal="right" vertical="center"/>
    </x:xf>
    <x:xf numFmtId="0" fontId="35" fillId="4" borderId="13" xfId="0" applyNumberFormat="1" applyFont="1" applyFill="1" applyBorder="1" applyAlignment="1">
      <x:alignment horizontal="center" vertical="center"/>
    </x:xf>
    <x:xf numFmtId="0" fontId="50" fillId="0" borderId="0" xfId="0" applyNumberFormat="1" applyFont="1" applyFill="1" applyBorder="1"/>
    <x:xf numFmtId="0" fontId="50" fillId="0" borderId="0" xfId="0" applyNumberFormat="1" applyFont="1" applyFill="1" applyBorder="1" applyAlignment="1">
      <x:alignment wrapText="1"/>
    </x:xf>
    <x:xf numFmtId="0" fontId="27" fillId="33" borderId="16" xfId="0" applyNumberFormat="1" applyFont="1" applyFill="1" applyBorder="1" applyAlignment="1">
      <x:alignment horizontal="left" vertical="center" wrapText="1"/>
    </x:xf>
    <x:xf numFmtId="0" fontId="27" fillId="33" borderId="16" xfId="0" applyNumberFormat="1" applyFont="1" applyFill="1" applyBorder="1" applyAlignment="1">
      <x:alignment horizontal="center" vertical="center" wrapText="1"/>
    </x:xf>
    <x:xf numFmtId="200" fontId="27" fillId="33" borderId="16" xfId="0" applyNumberFormat="1" applyFont="1" applyFill="1" applyBorder="1" applyAlignment="1">
      <x:alignment horizontal="right" vertical="center" wrapText="1"/>
    </x:xf>
    <x:xf numFmtId="201" fontId="27" fillId="33" borderId="16" xfId="0" applyNumberFormat="1" applyFont="1" applyFill="1" applyBorder="1" applyAlignment="1">
      <x:alignment horizontal="right" vertical="center" wrapText="1"/>
    </x:xf>
    <x:xf numFmtId="203" fontId="27" fillId="33" borderId="16" xfId="0" applyNumberFormat="1" applyFont="1" applyFill="1" applyBorder="1" applyAlignment="1">
      <x:alignment horizontal="right" vertical="center" wrapText="1"/>
    </x:xf>
    <x:xf numFmtId="202" fontId="26" fillId="2" borderId="16" xfId="0" applyNumberFormat="1" applyFont="1" applyFill="1" applyBorder="1" applyAlignment="1">
      <x:alignment horizontal="right" vertical="center" wrapText="1"/>
    </x:xf>
    <x:xf numFmtId="203" fontId="26" fillId="2" borderId="16" xfId="0" applyNumberFormat="1" applyFont="1" applyFill="1" applyBorder="1" applyAlignment="1">
      <x:alignment horizontal="right" vertical="center" wrapText="1"/>
    </x:xf>
    <x:xf numFmtId="201" fontId="26" fillId="2" borderId="16" xfId="0" applyNumberFormat="1" applyFont="1" applyFill="1" applyBorder="1" applyAlignment="1">
      <x:alignment horizontal="right" vertical="center" wrapText="1"/>
    </x:xf>
    <x:xf numFmtId="204" fontId="26" fillId="2" borderId="16" xfId="0" applyNumberFormat="1" applyFont="1" applyFill="1" applyBorder="1" applyAlignment="1">
      <x:alignment horizontal="right" vertical="center" wrapText="1"/>
    </x:xf>
    <x:xf numFmtId="0" fontId="37" fillId="2" borderId="16" xfId="0" applyNumberFormat="1" applyFont="1" applyFill="1" applyBorder="1" applyAlignment="1">
      <x:alignment horizontal="center" vertical="center" wrapText="1"/>
    </x:xf>
    <x:xf numFmtId="0" fontId="27" fillId="2" borderId="17" xfId="0" applyNumberFormat="1" applyFont="1" applyFill="1" applyBorder="1" applyAlignment="1">
      <x:alignment horizontal="left" vertical="center" wrapText="1"/>
    </x:xf>
    <x:xf numFmtId="0" fontId="27" fillId="2" borderId="17" xfId="0" applyNumberFormat="1" applyFont="1" applyFill="1" applyBorder="1" applyAlignment="1">
      <x:alignment horizontal="center" vertical="center" wrapText="1"/>
    </x:xf>
    <x:xf numFmtId="200" fontId="27" fillId="2" borderId="17" xfId="0" applyNumberFormat="1" applyFont="1" applyFill="1" applyBorder="1" applyAlignment="1">
      <x:alignment horizontal="right" vertical="center" wrapText="1"/>
    </x:xf>
    <x:xf numFmtId="201" fontId="27" fillId="2" borderId="17" xfId="0" applyNumberFormat="1" applyFont="1" applyFill="1" applyBorder="1" applyAlignment="1">
      <x:alignment horizontal="right" vertical="center" wrapText="1"/>
    </x:xf>
    <x:xf numFmtId="202" fontId="26" fillId="2" borderId="17" xfId="0" applyNumberFormat="1" applyFont="1" applyFill="1" applyBorder="1" applyAlignment="1">
      <x:alignment horizontal="right" vertical="center" wrapText="1"/>
    </x:xf>
    <x:xf numFmtId="203" fontId="26" fillId="2" borderId="17" xfId="0" applyNumberFormat="1" applyFont="1" applyFill="1" applyBorder="1" applyAlignment="1">
      <x:alignment horizontal="right" vertical="center" wrapText="1"/>
    </x:xf>
    <x:xf numFmtId="201" fontId="26" fillId="2" borderId="17" xfId="0" applyNumberFormat="1" applyFont="1" applyFill="1" applyBorder="1" applyAlignment="1">
      <x:alignment horizontal="right" vertical="center" wrapText="1"/>
    </x:xf>
    <x:xf numFmtId="204" fontId="26" fillId="2" borderId="17" xfId="0" applyNumberFormat="1" applyFont="1" applyFill="1" applyBorder="1" applyAlignment="1">
      <x:alignment horizontal="right" vertical="center" wrapText="1"/>
    </x:xf>
    <x:xf numFmtId="0" fontId="37" fillId="2" borderId="17" xfId="0" applyNumberFormat="1" applyFont="1" applyFill="1" applyBorder="1" applyAlignment="1">
      <x:alignment horizontal="center" vertical="center" wrapText="1"/>
    </x:xf>
    <x:xf numFmtId="0" fontId="27" fillId="2" borderId="17" xfId="0" applyNumberFormat="1" applyFont="1" applyFill="1" applyBorder="1" applyAlignment="1">
      <x:alignment horizontal="left" vertical="top" wrapText="1"/>
    </x:xf>
    <x:xf numFmtId="0" fontId="47" fillId="0" borderId="18" xfId="0" applyNumberFormat="1" applyFont="1" applyFill="1" applyBorder="1" applyAlignment="1">
      <x:alignment wrapText="1"/>
    </x:xf>
    <x:xf numFmtId="202" fontId="26" fillId="2" borderId="13" xfId="0" applyNumberFormat="1" applyFont="1" applyFill="1" applyBorder="1" applyAlignment="1">
      <x:alignment horizontal="right" vertical="center" wrapText="1"/>
    </x:xf>
    <x:xf numFmtId="203" fontId="26" fillId="2" borderId="13" xfId="0" applyNumberFormat="1" applyFont="1" applyFill="1" applyBorder="1" applyAlignment="1">
      <x:alignment horizontal="right" vertical="center" wrapText="1"/>
    </x:xf>
    <x:xf numFmtId="201" fontId="26" fillId="2" borderId="13" xfId="0" applyNumberFormat="1" applyFont="1" applyFill="1" applyBorder="1" applyAlignment="1">
      <x:alignment horizontal="right" vertical="center" wrapText="1"/>
    </x:xf>
    <x:xf numFmtId="204" fontId="26" fillId="2" borderId="13" xfId="0" applyNumberFormat="1" applyFont="1" applyFill="1" applyBorder="1" applyAlignment="1">
      <x:alignment horizontal="right" vertical="center" wrapText="1"/>
    </x:xf>
    <x:xf numFmtId="0" fontId="51" fillId="2" borderId="13" xfId="0" applyNumberFormat="1" applyFont="1" applyFill="1" applyBorder="1" applyAlignment="1">
      <x:alignment horizontal="center" vertical="center" wrapText="1"/>
    </x:xf>
    <x:xf numFmtId="0" fontId="27" fillId="2" borderId="19" xfId="0" applyNumberFormat="1" applyFont="1" applyFill="1" applyBorder="1" applyAlignment="1">
      <x:alignment horizontal="left" vertical="center" wrapText="1"/>
    </x:xf>
    <x:xf numFmtId="0" fontId="27" fillId="2" borderId="19" xfId="0" applyNumberFormat="1" applyFont="1" applyFill="1" applyBorder="1" applyAlignment="1">
      <x:alignment horizontal="center" vertical="center" wrapText="1"/>
    </x:xf>
    <x:xf numFmtId="200" fontId="27" fillId="2" borderId="19" xfId="0" applyNumberFormat="1" applyFont="1" applyFill="1" applyBorder="1" applyAlignment="1">
      <x:alignment horizontal="right" vertical="center" wrapText="1"/>
    </x:xf>
    <x:xf numFmtId="201" fontId="27" fillId="2" borderId="19" xfId="0" applyNumberFormat="1" applyFont="1" applyFill="1" applyBorder="1" applyAlignment="1">
      <x:alignment horizontal="right" vertical="center" wrapText="1"/>
    </x:xf>
    <x:xf numFmtId="202" fontId="26" fillId="2" borderId="19" xfId="0" applyNumberFormat="1" applyFont="1" applyFill="1" applyBorder="1" applyAlignment="1">
      <x:alignment horizontal="right" vertical="center" wrapText="1"/>
    </x:xf>
    <x:xf numFmtId="203" fontId="26" fillId="2" borderId="19" xfId="0" applyNumberFormat="1" applyFont="1" applyFill="1" applyBorder="1" applyAlignment="1">
      <x:alignment horizontal="right" vertical="center" wrapText="1"/>
    </x:xf>
    <x:xf numFmtId="201" fontId="26" fillId="2" borderId="19" xfId="0" applyNumberFormat="1" applyFont="1" applyFill="1" applyBorder="1" applyAlignment="1">
      <x:alignment horizontal="right" vertical="center" wrapText="1"/>
    </x:xf>
    <x:xf numFmtId="204" fontId="26" fillId="2" borderId="19" xfId="0" applyNumberFormat="1" applyFont="1" applyFill="1" applyBorder="1" applyAlignment="1">
      <x:alignment horizontal="right" vertical="center" wrapText="1"/>
    </x:xf>
    <x:xf numFmtId="0" fontId="51" fillId="2" borderId="19" xfId="0" applyNumberFormat="1" applyFont="1" applyFill="1" applyBorder="1" applyAlignment="1">
      <x:alignment horizontal="center" vertical="center" wrapText="1"/>
    </x:xf>
    <x:xf numFmtId="0" fontId="27" fillId="2" borderId="19" xfId="0" applyNumberFormat="1" applyFont="1" applyFill="1" applyBorder="1" applyAlignment="1">
      <x:alignment horizontal="left" vertical="top" wrapText="1"/>
    </x:xf>
    <x:xf numFmtId="0" fontId="37" fillId="2" borderId="13" xfId="0" applyNumberFormat="1" applyFont="1" applyFill="1" applyBorder="1" applyAlignment="1">
      <x:alignment horizontal="center" vertical="center" wrapText="1"/>
    </x:xf>
    <x:xf numFmtId="0" fontId="37" fillId="2" borderId="19" xfId="0" applyNumberFormat="1" applyFont="1" applyFill="1" applyBorder="1" applyAlignment="1">
      <x:alignment horizontal="center" vertical="center" wrapText="1"/>
    </x:xf>
    <x:xf numFmtId="0" fontId="45" fillId="7" borderId="0" xfId="0" applyNumberFormat="1" applyFont="1" applyFill="1" applyBorder="1" applyAlignment="1">
      <x:alignment vertical="center"/>
    </x:xf>
    <x:xf numFmtId="0" fontId="45" fillId="7" borderId="0" xfId="0" applyNumberFormat="1" applyFont="1" applyFill="1" applyBorder="1" applyAlignment="1">
      <x:alignment vertical="center" wrapText="1"/>
    </x:xf>
    <x:xf numFmtId="202" fontId="45" fillId="7" borderId="0" xfId="0" applyNumberFormat="1" applyFont="1" applyFill="1" applyBorder="1" applyAlignment="1">
      <x:alignment vertical="center"/>
    </x:xf>
    <x:xf numFmtId="203" fontId="45" fillId="7" borderId="0" xfId="0" applyNumberFormat="1" applyFont="1" applyFill="1" applyBorder="1" applyAlignment="1">
      <x:alignment vertical="center"/>
    </x:xf>
    <x:xf numFmtId="201" fontId="45" fillId="7" borderId="0" xfId="0" applyNumberFormat="1" applyFont="1" applyFill="1" applyBorder="1" applyAlignment="1">
      <x:alignment vertical="center"/>
    </x:xf>
    <x:xf numFmtId="204" fontId="45" fillId="7" borderId="0" xfId="0" applyNumberFormat="1" applyFont="1" applyFill="1" applyBorder="1" applyAlignment="1">
      <x:alignment vertical="center"/>
    </x:xf>
    <x:xf numFmtId="202" fontId="26" fillId="3" borderId="16" xfId="0" applyNumberFormat="1" applyFont="1" applyFill="1" applyBorder="1" applyAlignment="1">
      <x:alignment horizontal="right" vertical="center" wrapText="1"/>
    </x:xf>
    <x:xf numFmtId="203" fontId="26" fillId="3" borderId="16" xfId="0" applyNumberFormat="1" applyFont="1" applyFill="1" applyBorder="1" applyAlignment="1">
      <x:alignment horizontal="right" vertical="center" wrapText="1"/>
    </x:xf>
    <x:xf numFmtId="201" fontId="26" fillId="3" borderId="16" xfId="0" applyNumberFormat="1" applyFont="1" applyFill="1" applyBorder="1" applyAlignment="1">
      <x:alignment horizontal="right" vertical="center" wrapText="1"/>
    </x:xf>
    <x:xf numFmtId="204" fontId="26" fillId="3" borderId="16" xfId="0" applyNumberFormat="1" applyFont="1" applyFill="1" applyBorder="1" applyAlignment="1">
      <x:alignment horizontal="right" vertical="center" wrapText="1"/>
    </x:xf>
    <x:xf numFmtId="0" fontId="37" fillId="3" borderId="16" xfId="0" applyNumberFormat="1" applyFont="1" applyFill="1" applyBorder="1" applyAlignment="1">
      <x:alignment horizontal="center" vertical="center" wrapText="1"/>
    </x:xf>
    <x:xf numFmtId="0" fontId="27" fillId="3" borderId="17" xfId="0" applyNumberFormat="1" applyFont="1" applyFill="1" applyBorder="1" applyAlignment="1">
      <x:alignment horizontal="left" vertical="center" wrapText="1"/>
    </x:xf>
    <x:xf numFmtId="0" fontId="27" fillId="3" borderId="17" xfId="0" applyNumberFormat="1" applyFont="1" applyFill="1" applyBorder="1" applyAlignment="1">
      <x:alignment horizontal="center" vertical="center" wrapText="1"/>
    </x:xf>
    <x:xf numFmtId="200" fontId="27" fillId="3" borderId="17" xfId="0" applyNumberFormat="1" applyFont="1" applyFill="1" applyBorder="1" applyAlignment="1">
      <x:alignment horizontal="right" vertical="center" wrapText="1"/>
    </x:xf>
    <x:xf numFmtId="201" fontId="27" fillId="3" borderId="17" xfId="0" applyNumberFormat="1" applyFont="1" applyFill="1" applyBorder="1" applyAlignment="1">
      <x:alignment horizontal="right" vertical="center" wrapText="1"/>
    </x:xf>
    <x:xf numFmtId="202" fontId="26" fillId="3" borderId="17" xfId="0" applyNumberFormat="1" applyFont="1" applyFill="1" applyBorder="1" applyAlignment="1">
      <x:alignment horizontal="right" vertical="center" wrapText="1"/>
    </x:xf>
    <x:xf numFmtId="203" fontId="26" fillId="3" borderId="17" xfId="0" applyNumberFormat="1" applyFont="1" applyFill="1" applyBorder="1" applyAlignment="1">
      <x:alignment horizontal="right" vertical="center" wrapText="1"/>
    </x:xf>
    <x:xf numFmtId="201" fontId="26" fillId="3" borderId="17" xfId="0" applyNumberFormat="1" applyFont="1" applyFill="1" applyBorder="1" applyAlignment="1">
      <x:alignment horizontal="right" vertical="center" wrapText="1"/>
    </x:xf>
    <x:xf numFmtId="204" fontId="26" fillId="3" borderId="17" xfId="0" applyNumberFormat="1" applyFont="1" applyFill="1" applyBorder="1" applyAlignment="1">
      <x:alignment horizontal="right" vertical="center" wrapText="1"/>
    </x:xf>
    <x:xf numFmtId="0" fontId="37" fillId="3" borderId="17" xfId="0" applyNumberFormat="1" applyFont="1" applyFill="1" applyBorder="1" applyAlignment="1">
      <x:alignment horizontal="center" vertical="center" wrapText="1"/>
    </x:xf>
    <x:xf numFmtId="0" fontId="27" fillId="3" borderId="17" xfId="0" applyNumberFormat="1" applyFont="1" applyFill="1" applyBorder="1" applyAlignment="1">
      <x:alignment horizontal="left" vertical="top" wrapText="1"/>
    </x:xf>
    <x:xf numFmtId="0" fontId="47" fillId="3" borderId="17" xfId="0" applyNumberFormat="1" applyFont="1" applyFill="1" applyBorder="1" applyAlignment="1">
      <x:alignment horizontal="left" vertical="top" wrapText="1"/>
    </x:xf>
    <x:xf numFmtId="202" fontId="26" fillId="3" borderId="13" xfId="0" applyNumberFormat="1" applyFont="1" applyFill="1" applyBorder="1" applyAlignment="1">
      <x:alignment horizontal="right" vertical="center" wrapText="1"/>
    </x:xf>
    <x:xf numFmtId="203" fontId="26" fillId="3" borderId="13" xfId="0" applyNumberFormat="1" applyFont="1" applyFill="1" applyBorder="1" applyAlignment="1">
      <x:alignment horizontal="right" vertical="center" wrapText="1"/>
    </x:xf>
    <x:xf numFmtId="201" fontId="26" fillId="3" borderId="13" xfId="0" applyNumberFormat="1" applyFont="1" applyFill="1" applyBorder="1" applyAlignment="1">
      <x:alignment horizontal="right" vertical="center" wrapText="1"/>
    </x:xf>
    <x:xf numFmtId="204" fontId="26" fillId="3" borderId="13" xfId="0" applyNumberFormat="1" applyFont="1" applyFill="1" applyBorder="1" applyAlignment="1">
      <x:alignment horizontal="right" vertical="center" wrapText="1"/>
    </x:xf>
    <x:xf numFmtId="0" fontId="51" fillId="3" borderId="13" xfId="0" applyNumberFormat="1" applyFont="1" applyFill="1" applyBorder="1" applyAlignment="1">
      <x:alignment horizontal="center" vertical="center" wrapText="1"/>
    </x:xf>
    <x:xf numFmtId="0" fontId="27" fillId="3" borderId="19" xfId="0" applyNumberFormat="1" applyFont="1" applyFill="1" applyBorder="1" applyAlignment="1">
      <x:alignment horizontal="left" vertical="center" wrapText="1"/>
    </x:xf>
    <x:xf numFmtId="0" fontId="27" fillId="3" borderId="19" xfId="0" applyNumberFormat="1" applyFont="1" applyFill="1" applyBorder="1" applyAlignment="1">
      <x:alignment horizontal="center" vertical="center" wrapText="1"/>
    </x:xf>
    <x:xf numFmtId="200" fontId="27" fillId="3" borderId="19" xfId="0" applyNumberFormat="1" applyFont="1" applyFill="1" applyBorder="1" applyAlignment="1">
      <x:alignment horizontal="right" vertical="center" wrapText="1"/>
    </x:xf>
    <x:xf numFmtId="201" fontId="27" fillId="3" borderId="19" xfId="0" applyNumberFormat="1" applyFont="1" applyFill="1" applyBorder="1" applyAlignment="1">
      <x:alignment horizontal="right" vertical="center" wrapText="1"/>
    </x:xf>
    <x:xf numFmtId="202" fontId="26" fillId="3" borderId="19" xfId="0" applyNumberFormat="1" applyFont="1" applyFill="1" applyBorder="1" applyAlignment="1">
      <x:alignment horizontal="right" vertical="center" wrapText="1"/>
    </x:xf>
    <x:xf numFmtId="203" fontId="26" fillId="3" borderId="19" xfId="0" applyNumberFormat="1" applyFont="1" applyFill="1" applyBorder="1" applyAlignment="1">
      <x:alignment horizontal="right" vertical="center" wrapText="1"/>
    </x:xf>
    <x:xf numFmtId="201" fontId="26" fillId="3" borderId="19" xfId="0" applyNumberFormat="1" applyFont="1" applyFill="1" applyBorder="1" applyAlignment="1">
      <x:alignment horizontal="right" vertical="center" wrapText="1"/>
    </x:xf>
    <x:xf numFmtId="204" fontId="26" fillId="3" borderId="19" xfId="0" applyNumberFormat="1" applyFont="1" applyFill="1" applyBorder="1" applyAlignment="1">
      <x:alignment horizontal="right" vertical="center" wrapText="1"/>
    </x:xf>
    <x:xf numFmtId="0" fontId="51" fillId="3" borderId="19" xfId="0" applyNumberFormat="1" applyFont="1" applyFill="1" applyBorder="1" applyAlignment="1">
      <x:alignment horizontal="center" vertical="center" wrapText="1"/>
    </x:xf>
    <x:xf numFmtId="0" fontId="27" fillId="3" borderId="19" xfId="0" applyNumberFormat="1" applyFont="1" applyFill="1" applyBorder="1" applyAlignment="1">
      <x:alignment horizontal="left" vertical="top" wrapText="1"/>
    </x:xf>
    <x:xf numFmtId="0" fontId="37" fillId="3" borderId="13" xfId="0" applyNumberFormat="1" applyFont="1" applyFill="1" applyBorder="1" applyAlignment="1">
      <x:alignment horizontal="center" vertical="center" wrapText="1"/>
    </x:xf>
    <x:xf numFmtId="0" fontId="37" fillId="3" borderId="19" xfId="0" applyNumberFormat="1" applyFont="1" applyFill="1" applyBorder="1" applyAlignment="1">
      <x:alignment horizontal="center" vertical="center" wrapText="1"/>
    </x:xf>
    <x:xf numFmtId="0" fontId="47" fillId="3" borderId="19" xfId="0" applyNumberFormat="1" applyFont="1" applyFill="1" applyBorder="1" applyAlignment="1">
      <x:alignment horizontal="left" vertical="top" wrapText="1"/>
    </x:xf>
    <x:xf numFmtId="202" fontId="26" fillId="4" borderId="16" xfId="0" applyNumberFormat="1" applyFont="1" applyFill="1" applyBorder="1" applyAlignment="1">
      <x:alignment horizontal="right" vertical="center" wrapText="1"/>
    </x:xf>
    <x:xf numFmtId="203" fontId="26" fillId="4" borderId="16" xfId="0" applyNumberFormat="1" applyFont="1" applyFill="1" applyBorder="1" applyAlignment="1">
      <x:alignment horizontal="right" vertical="center" wrapText="1"/>
    </x:xf>
    <x:xf numFmtId="201" fontId="26" fillId="4" borderId="16" xfId="0" applyNumberFormat="1" applyFont="1" applyFill="1" applyBorder="1" applyAlignment="1">
      <x:alignment horizontal="right" vertical="center" wrapText="1"/>
    </x:xf>
    <x:xf numFmtId="204" fontId="26" fillId="4" borderId="16" xfId="0" applyNumberFormat="1" applyFont="1" applyFill="1" applyBorder="1" applyAlignment="1">
      <x:alignment horizontal="right" vertical="center" wrapText="1"/>
    </x:xf>
    <x:xf numFmtId="0" fontId="37" fillId="4" borderId="16" xfId="0" applyNumberFormat="1" applyFont="1" applyFill="1" applyBorder="1" applyAlignment="1">
      <x:alignment horizontal="center" vertical="center" wrapText="1"/>
    </x:xf>
    <x:xf numFmtId="0" fontId="27" fillId="4" borderId="17" xfId="0" applyNumberFormat="1" applyFont="1" applyFill="1" applyBorder="1" applyAlignment="1">
      <x:alignment horizontal="left" vertical="center" wrapText="1"/>
    </x:xf>
    <x:xf numFmtId="0" fontId="27" fillId="4" borderId="17" xfId="0" applyNumberFormat="1" applyFont="1" applyFill="1" applyBorder="1" applyAlignment="1">
      <x:alignment horizontal="center" vertical="center" wrapText="1"/>
    </x:xf>
    <x:xf numFmtId="200" fontId="27" fillId="4" borderId="17" xfId="0" applyNumberFormat="1" applyFont="1" applyFill="1" applyBorder="1" applyAlignment="1">
      <x:alignment horizontal="right" vertical="center" wrapText="1"/>
    </x:xf>
    <x:xf numFmtId="201" fontId="27" fillId="4" borderId="17" xfId="0" applyNumberFormat="1" applyFont="1" applyFill="1" applyBorder="1" applyAlignment="1">
      <x:alignment horizontal="right" vertical="center" wrapText="1"/>
    </x:xf>
    <x:xf numFmtId="202" fontId="26" fillId="4" borderId="17" xfId="0" applyNumberFormat="1" applyFont="1" applyFill="1" applyBorder="1" applyAlignment="1">
      <x:alignment horizontal="right" vertical="center" wrapText="1"/>
    </x:xf>
    <x:xf numFmtId="203" fontId="26" fillId="4" borderId="17" xfId="0" applyNumberFormat="1" applyFont="1" applyFill="1" applyBorder="1" applyAlignment="1">
      <x:alignment horizontal="right" vertical="center" wrapText="1"/>
    </x:xf>
    <x:xf numFmtId="201" fontId="26" fillId="4" borderId="17" xfId="0" applyNumberFormat="1" applyFont="1" applyFill="1" applyBorder="1" applyAlignment="1">
      <x:alignment horizontal="right" vertical="center" wrapText="1"/>
    </x:xf>
    <x:xf numFmtId="204" fontId="26" fillId="4" borderId="17" xfId="0" applyNumberFormat="1" applyFont="1" applyFill="1" applyBorder="1" applyAlignment="1">
      <x:alignment horizontal="right" vertical="center" wrapText="1"/>
    </x:xf>
    <x:xf numFmtId="0" fontId="37" fillId="4" borderId="17" xfId="0" applyNumberFormat="1" applyFont="1" applyFill="1" applyBorder="1" applyAlignment="1">
      <x:alignment horizontal="center" vertical="center" wrapText="1"/>
    </x:xf>
    <x:xf numFmtId="0" fontId="27" fillId="4" borderId="17" xfId="0" applyNumberFormat="1" applyFont="1" applyFill="1" applyBorder="1" applyAlignment="1">
      <x:alignment horizontal="left" vertical="top" wrapText="1"/>
    </x:xf>
    <x:xf numFmtId="0" fontId="47" fillId="4" borderId="17" xfId="0" applyNumberFormat="1" applyFont="1" applyFill="1" applyBorder="1" applyAlignment="1">
      <x:alignment horizontal="left" vertical="top" wrapText="1"/>
    </x:xf>
    <x:xf numFmtId="202" fontId="26" fillId="4" borderId="13" xfId="0" applyNumberFormat="1" applyFont="1" applyFill="1" applyBorder="1" applyAlignment="1">
      <x:alignment horizontal="right" vertical="center" wrapText="1"/>
    </x:xf>
    <x:xf numFmtId="203" fontId="26" fillId="4" borderId="13" xfId="0" applyNumberFormat="1" applyFont="1" applyFill="1" applyBorder="1" applyAlignment="1">
      <x:alignment horizontal="right" vertical="center" wrapText="1"/>
    </x:xf>
    <x:xf numFmtId="201" fontId="26" fillId="4" borderId="13" xfId="0" applyNumberFormat="1" applyFont="1" applyFill="1" applyBorder="1" applyAlignment="1">
      <x:alignment horizontal="right" vertical="center" wrapText="1"/>
    </x:xf>
    <x:xf numFmtId="204" fontId="26" fillId="4" borderId="13" xfId="0" applyNumberFormat="1" applyFont="1" applyFill="1" applyBorder="1" applyAlignment="1">
      <x:alignment horizontal="right" vertical="center" wrapText="1"/>
    </x:xf>
    <x:xf numFmtId="0" fontId="51" fillId="4" borderId="13" xfId="0" applyNumberFormat="1" applyFont="1" applyFill="1" applyBorder="1" applyAlignment="1">
      <x:alignment horizontal="center" vertical="center" wrapText="1"/>
    </x:xf>
    <x:xf numFmtId="0" fontId="27" fillId="4" borderId="19" xfId="0" applyNumberFormat="1" applyFont="1" applyFill="1" applyBorder="1" applyAlignment="1">
      <x:alignment horizontal="left" vertical="center" wrapText="1"/>
    </x:xf>
    <x:xf numFmtId="0" fontId="27" fillId="4" borderId="19" xfId="0" applyNumberFormat="1" applyFont="1" applyFill="1" applyBorder="1" applyAlignment="1">
      <x:alignment horizontal="center" vertical="center" wrapText="1"/>
    </x:xf>
    <x:xf numFmtId="200" fontId="27" fillId="4" borderId="19" xfId="0" applyNumberFormat="1" applyFont="1" applyFill="1" applyBorder="1" applyAlignment="1">
      <x:alignment horizontal="right" vertical="center" wrapText="1"/>
    </x:xf>
    <x:xf numFmtId="201" fontId="27" fillId="4" borderId="19" xfId="0" applyNumberFormat="1" applyFont="1" applyFill="1" applyBorder="1" applyAlignment="1">
      <x:alignment horizontal="right" vertical="center" wrapText="1"/>
    </x:xf>
    <x:xf numFmtId="202" fontId="26" fillId="4" borderId="19" xfId="0" applyNumberFormat="1" applyFont="1" applyFill="1" applyBorder="1" applyAlignment="1">
      <x:alignment horizontal="right" vertical="center" wrapText="1"/>
    </x:xf>
    <x:xf numFmtId="203" fontId="26" fillId="4" borderId="19" xfId="0" applyNumberFormat="1" applyFont="1" applyFill="1" applyBorder="1" applyAlignment="1">
      <x:alignment horizontal="right" vertical="center" wrapText="1"/>
    </x:xf>
    <x:xf numFmtId="201" fontId="26" fillId="4" borderId="19" xfId="0" applyNumberFormat="1" applyFont="1" applyFill="1" applyBorder="1" applyAlignment="1">
      <x:alignment horizontal="right" vertical="center" wrapText="1"/>
    </x:xf>
    <x:xf numFmtId="204" fontId="26" fillId="4" borderId="19" xfId="0" applyNumberFormat="1" applyFont="1" applyFill="1" applyBorder="1" applyAlignment="1">
      <x:alignment horizontal="right" vertical="center" wrapText="1"/>
    </x:xf>
    <x:xf numFmtId="0" fontId="51" fillId="4" borderId="19" xfId="0" applyNumberFormat="1" applyFont="1" applyFill="1" applyBorder="1" applyAlignment="1">
      <x:alignment horizontal="center" vertical="center" wrapText="1"/>
    </x:xf>
    <x:xf numFmtId="0" fontId="27" fillId="4" borderId="19" xfId="0" applyNumberFormat="1" applyFont="1" applyFill="1" applyBorder="1" applyAlignment="1">
      <x:alignment horizontal="left" vertical="top" wrapText="1"/>
    </x:xf>
    <x:xf numFmtId="0" fontId="37" fillId="4" borderId="13" xfId="0" applyNumberFormat="1" applyFont="1" applyFill="1" applyBorder="1" applyAlignment="1">
      <x:alignment horizontal="center" vertical="center" wrapText="1"/>
    </x:xf>
    <x:xf numFmtId="0" fontId="37" fillId="4" borderId="19" xfId="0" applyNumberFormat="1" applyFont="1" applyFill="1" applyBorder="1" applyAlignment="1">
      <x:alignment horizontal="center" vertical="center" wrapText="1"/>
    </x:xf>
    <x:xf numFmtId="0" fontId="47" fillId="4" borderId="19" xfId="0" applyNumberFormat="1" applyFont="1" applyFill="1" applyBorder="1" applyAlignment="1">
      <x:alignment horizontal="left" vertical="top" wrapText="1"/>
    </x:xf>
    <x:xf numFmtId="202" fontId="26" fillId="7" borderId="16" xfId="0" applyNumberFormat="1" applyFont="1" applyFill="1" applyBorder="1" applyAlignment="1">
      <x:alignment horizontal="right" vertical="center" wrapText="1"/>
    </x:xf>
    <x:xf numFmtId="203" fontId="26" fillId="7" borderId="16" xfId="0" applyNumberFormat="1" applyFont="1" applyFill="1" applyBorder="1" applyAlignment="1">
      <x:alignment horizontal="right" vertical="center" wrapText="1"/>
    </x:xf>
    <x:xf numFmtId="201" fontId="26" fillId="7" borderId="16" xfId="0" applyNumberFormat="1" applyFont="1" applyFill="1" applyBorder="1" applyAlignment="1">
      <x:alignment horizontal="right" vertical="center" wrapText="1"/>
    </x:xf>
    <x:xf numFmtId="204" fontId="26" fillId="7" borderId="16" xfId="0" applyNumberFormat="1" applyFont="1" applyFill="1" applyBorder="1" applyAlignment="1">
      <x:alignment horizontal="right" vertical="center" wrapText="1"/>
    </x:xf>
    <x:xf numFmtId="0" fontId="37" fillId="7" borderId="16" xfId="0" applyNumberFormat="1" applyFont="1" applyFill="1" applyBorder="1" applyAlignment="1">
      <x:alignment horizontal="center" vertical="center" wrapText="1"/>
    </x:xf>
    <x:xf numFmtId="0" fontId="27" fillId="7" borderId="17" xfId="0" applyNumberFormat="1" applyFont="1" applyFill="1" applyBorder="1" applyAlignment="1">
      <x:alignment horizontal="left" vertical="center" wrapText="1"/>
    </x:xf>
    <x:xf numFmtId="0" fontId="27" fillId="7" borderId="17" xfId="0" applyNumberFormat="1" applyFont="1" applyFill="1" applyBorder="1" applyAlignment="1">
      <x:alignment horizontal="center" vertical="center" wrapText="1"/>
    </x:xf>
    <x:xf numFmtId="200" fontId="27" fillId="7" borderId="17" xfId="0" applyNumberFormat="1" applyFont="1" applyFill="1" applyBorder="1" applyAlignment="1">
      <x:alignment horizontal="right" vertical="center" wrapText="1"/>
    </x:xf>
    <x:xf numFmtId="201" fontId="27" fillId="7" borderId="17" xfId="0" applyNumberFormat="1" applyFont="1" applyFill="1" applyBorder="1" applyAlignment="1">
      <x:alignment horizontal="right" vertical="center" wrapText="1"/>
    </x:xf>
    <x:xf numFmtId="202" fontId="26" fillId="7" borderId="17" xfId="0" applyNumberFormat="1" applyFont="1" applyFill="1" applyBorder="1" applyAlignment="1">
      <x:alignment horizontal="right" vertical="center" wrapText="1"/>
    </x:xf>
    <x:xf numFmtId="203" fontId="26" fillId="7" borderId="17" xfId="0" applyNumberFormat="1" applyFont="1" applyFill="1" applyBorder="1" applyAlignment="1">
      <x:alignment horizontal="right" vertical="center" wrapText="1"/>
    </x:xf>
    <x:xf numFmtId="201" fontId="26" fillId="7" borderId="17" xfId="0" applyNumberFormat="1" applyFont="1" applyFill="1" applyBorder="1" applyAlignment="1">
      <x:alignment horizontal="right" vertical="center" wrapText="1"/>
    </x:xf>
    <x:xf numFmtId="204" fontId="26" fillId="7" borderId="17" xfId="0" applyNumberFormat="1" applyFont="1" applyFill="1" applyBorder="1" applyAlignment="1">
      <x:alignment horizontal="right" vertical="center" wrapText="1"/>
    </x:xf>
    <x:xf numFmtId="0" fontId="37" fillId="7" borderId="17" xfId="0" applyNumberFormat="1" applyFont="1" applyFill="1" applyBorder="1" applyAlignment="1">
      <x:alignment horizontal="center" vertical="center" wrapText="1"/>
    </x:xf>
    <x:xf numFmtId="0" fontId="27" fillId="7" borderId="17" xfId="0" applyNumberFormat="1" applyFont="1" applyFill="1" applyBorder="1" applyAlignment="1">
      <x:alignment horizontal="left" vertical="top" wrapText="1"/>
    </x:xf>
    <x:xf numFmtId="0" fontId="47" fillId="7" borderId="17" xfId="0" applyNumberFormat="1" applyFont="1" applyFill="1" applyBorder="1" applyAlignment="1">
      <x:alignment horizontal="left" vertical="top" wrapText="1"/>
    </x:xf>
    <x:xf numFmtId="202" fontId="26" fillId="7" borderId="13" xfId="0" applyNumberFormat="1" applyFont="1" applyFill="1" applyBorder="1" applyAlignment="1">
      <x:alignment horizontal="right" vertical="center" wrapText="1"/>
    </x:xf>
    <x:xf numFmtId="203" fontId="26" fillId="7" borderId="13" xfId="0" applyNumberFormat="1" applyFont="1" applyFill="1" applyBorder="1" applyAlignment="1">
      <x:alignment horizontal="right" vertical="center" wrapText="1"/>
    </x:xf>
    <x:xf numFmtId="201" fontId="26" fillId="7" borderId="13" xfId="0" applyNumberFormat="1" applyFont="1" applyFill="1" applyBorder="1" applyAlignment="1">
      <x:alignment horizontal="right" vertical="center" wrapText="1"/>
    </x:xf>
    <x:xf numFmtId="204" fontId="26" fillId="7" borderId="13" xfId="0" applyNumberFormat="1" applyFont="1" applyFill="1" applyBorder="1" applyAlignment="1">
      <x:alignment horizontal="right" vertical="center" wrapText="1"/>
    </x:xf>
    <x:xf numFmtId="0" fontId="51" fillId="7" borderId="13" xfId="0" applyNumberFormat="1" applyFont="1" applyFill="1" applyBorder="1" applyAlignment="1">
      <x:alignment horizontal="center" vertical="center" wrapText="1"/>
    </x:xf>
    <x:xf numFmtId="0" fontId="27" fillId="7" borderId="19" xfId="0" applyNumberFormat="1" applyFont="1" applyFill="1" applyBorder="1" applyAlignment="1">
      <x:alignment horizontal="left" vertical="center" wrapText="1"/>
    </x:xf>
    <x:xf numFmtId="0" fontId="27" fillId="7" borderId="19" xfId="0" applyNumberFormat="1" applyFont="1" applyFill="1" applyBorder="1" applyAlignment="1">
      <x:alignment horizontal="center" vertical="center" wrapText="1"/>
    </x:xf>
    <x:xf numFmtId="200" fontId="27" fillId="7" borderId="19" xfId="0" applyNumberFormat="1" applyFont="1" applyFill="1" applyBorder="1" applyAlignment="1">
      <x:alignment horizontal="right" vertical="center" wrapText="1"/>
    </x:xf>
    <x:xf numFmtId="201" fontId="27" fillId="7" borderId="19" xfId="0" applyNumberFormat="1" applyFont="1" applyFill="1" applyBorder="1" applyAlignment="1">
      <x:alignment horizontal="right" vertical="center" wrapText="1"/>
    </x:xf>
    <x:xf numFmtId="202" fontId="26" fillId="7" borderId="19" xfId="0" applyNumberFormat="1" applyFont="1" applyFill="1" applyBorder="1" applyAlignment="1">
      <x:alignment horizontal="right" vertical="center" wrapText="1"/>
    </x:xf>
    <x:xf numFmtId="203" fontId="26" fillId="7" borderId="19" xfId="0" applyNumberFormat="1" applyFont="1" applyFill="1" applyBorder="1" applyAlignment="1">
      <x:alignment horizontal="right" vertical="center" wrapText="1"/>
    </x:xf>
    <x:xf numFmtId="201" fontId="26" fillId="7" borderId="19" xfId="0" applyNumberFormat="1" applyFont="1" applyFill="1" applyBorder="1" applyAlignment="1">
      <x:alignment horizontal="right" vertical="center" wrapText="1"/>
    </x:xf>
    <x:xf numFmtId="204" fontId="26" fillId="7" borderId="19" xfId="0" applyNumberFormat="1" applyFont="1" applyFill="1" applyBorder="1" applyAlignment="1">
      <x:alignment horizontal="right" vertical="center" wrapText="1"/>
    </x:xf>
    <x:xf numFmtId="0" fontId="51" fillId="7" borderId="19" xfId="0" applyNumberFormat="1" applyFont="1" applyFill="1" applyBorder="1" applyAlignment="1">
      <x:alignment horizontal="center" vertical="center" wrapText="1"/>
    </x:xf>
    <x:xf numFmtId="0" fontId="27" fillId="7" borderId="19" xfId="0" applyNumberFormat="1" applyFont="1" applyFill="1" applyBorder="1" applyAlignment="1">
      <x:alignment horizontal="left" vertical="top" wrapText="1"/>
    </x:xf>
    <x:xf numFmtId="0" fontId="37" fillId="7" borderId="13" xfId="0" applyNumberFormat="1" applyFont="1" applyFill="1" applyBorder="1" applyAlignment="1">
      <x:alignment horizontal="center" vertical="center" wrapText="1"/>
    </x:xf>
    <x:xf numFmtId="0" fontId="37" fillId="7" borderId="19" xfId="0" applyNumberFormat="1" applyFont="1" applyFill="1" applyBorder="1" applyAlignment="1">
      <x:alignment horizontal="center" vertical="center" wrapText="1"/>
    </x:xf>
    <x:xf numFmtId="0" fontId="47" fillId="7" borderId="19" xfId="0" applyNumberFormat="1" applyFont="1" applyFill="1" applyBorder="1" applyAlignment="1">
      <x:alignment horizontal="left" vertical="top" wrapText="1"/>
    </x:xf>
    <x:xf numFmtId="201" fontId="31" fillId="65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bab309da54684" /><Relationship Type="http://schemas.openxmlformats.org/officeDocument/2006/relationships/theme" Target="/xl/theme/theme1.xml" Id="R7fff1e8d1f0b4375" /><Relationship Type="http://schemas.openxmlformats.org/officeDocument/2006/relationships/sharedStrings" Target="/xl/sharedStrings.xml" Id="Rde96b84fd4a54a7c" /><Relationship Type="http://schemas.openxmlformats.org/officeDocument/2006/relationships/worksheet" Target="/xl/worksheets/sheet1.xml" Id="Ra55c6f2844614778" /><Relationship Type="http://schemas.openxmlformats.org/officeDocument/2006/relationships/worksheet" Target="/xl/worksheets/sheet2.xml" Id="R7dab48781dd445c9" /><Relationship Type="http://schemas.openxmlformats.org/officeDocument/2006/relationships/worksheet" Target="/xl/worksheets/sheet3.xml" Id="R77935ba99bc44502" /><Relationship Type="http://schemas.openxmlformats.org/officeDocument/2006/relationships/worksheet" Target="/xl/worksheets/sheet4.xml" Id="Rc697bd345b6f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cc4881edd8c94650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8ad21ccccee4407e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29ea4dbbfe614152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800a887673c74074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68bdf532efc34181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cfbe0e6da2d848b3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6a1deb836125430b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fa20094f78984fce" /><Relationship Type="http://schemas.openxmlformats.org/officeDocument/2006/relationships/hyperlink" Target="https://github.com/PTO-ISA/SuperNPUBench/blob/main/benchmark/one-level-arch/kernels/basic_op/fa/fa_gmma_kchains.hpp#L40" TargetMode="External" Id="Rece4c68ffcf14ce7" /><Relationship Type="http://schemas.openxmlformats.org/officeDocument/2006/relationships/hyperlink" Target="https://github.com/PTO-ISA/SuperNPUBench/blob/main/benchmark/one-level-arch/kernels/basic_op/fa/fa_gmma_kchains.hpp#L40" TargetMode="External" Id="R94356859acf54e93" /><Relationship Type="http://schemas.openxmlformats.org/officeDocument/2006/relationships/hyperlink" Target="https://github.com/PTO-ISA/SuperNPUBench/blob/main/benchmark/one-level-arch/kernels/basic_op/fa/fa_gmma_kchains.hpp#L40" TargetMode="External" Id="Ref0d38bb2e594741" /><Relationship Type="http://schemas.openxmlformats.org/officeDocument/2006/relationships/hyperlink" Target="https://github.com/PTO-ISA/SuperNPUBench/blob/main/benchmark/one-level-arch/kernels/basic_op/fa/fa_gmma_kchains.hpp#L40" TargetMode="External" Id="Rda6467c539c944f0" /><Relationship Type="http://schemas.openxmlformats.org/officeDocument/2006/relationships/hyperlink" Target="https://github.com/PTO-ISA/SuperNPUBench/blob/main/benchmark/one-level-arch/kernels/basic_op/fa/fa_gmma_kchains.hpp#L40" TargetMode="External" Id="R02b5168fd40a4b19" /><Relationship Type="http://schemas.openxmlformats.org/officeDocument/2006/relationships/hyperlink" Target="https://github.com/PTO-ISA/SuperNPUBench/blob/main/benchmark/one-level-arch/kernels/basic_op/fa/fa_gmma_kchains.hpp#L40" TargetMode="External" Id="R1270e73c24c34e75" /><Relationship Type="http://schemas.openxmlformats.org/officeDocument/2006/relationships/hyperlink" Target="https://github.com/PTO-ISA/SuperNPUBench/blob/main/benchmark/one-level-arch/kernels/basic_op/fa/fa_gmma_kchains.hpp#L40" TargetMode="External" Id="R7ea7b1ed0d9544a8" /><Relationship Type="http://schemas.openxmlformats.org/officeDocument/2006/relationships/hyperlink" Target="https://github.com/PTO-ISA/SuperNPUBench/blob/main/benchmark/one-level-arch/kernels/basic_op/fa/fa_gmma_kchains.hpp#L40" TargetMode="External" Id="Ra9f97768b4624601" /><Relationship Type="http://schemas.openxmlformats.org/officeDocument/2006/relationships/hyperlink" Target="https://github.com/PTO-ISA/SuperNPUBench/blob/main/benchmark/one-level-arch/kernels/basic_op/fa/fa_gmma_kchains.hpp#L40" TargetMode="External" Id="Rfce25e2abcea40fb" /><Relationship Type="http://schemas.openxmlformats.org/officeDocument/2006/relationships/hyperlink" Target="https://github.com/PTO-ISA/SuperNPUBench/blob/main/benchmark/one-level-arch/kernels/basic_op/fa/fa_gmma_kchains.hpp#L40" TargetMode="External" Id="R1b0f06e672dc45aa" /><Relationship Type="http://schemas.openxmlformats.org/officeDocument/2006/relationships/hyperlink" Target="https://github.com/PTO-ISA/SuperNPUBench/blob/main/benchmark/one-level-arch/kernels/basic_op/fa/fa_gmma_kchains.hpp#L40" TargetMode="External" Id="R6dce6855734843f3" /><Relationship Type="http://schemas.openxmlformats.org/officeDocument/2006/relationships/hyperlink" Target="https://github.com/PTO-ISA/SuperNPUBench/blob/main/benchmark/one-level-arch/kernels/basic_op/fa/fa_gmma_kchains.hpp#L40" TargetMode="External" Id="R415b3f5060454b30" /><Relationship Type="http://schemas.openxmlformats.org/officeDocument/2006/relationships/hyperlink" Target="https://github.com/PTO-ISA/SuperNPUBench/blob/main/benchmark/one-level-arch/kernels/basic_op/fa/fa_gmma_kchains.hpp#L40" TargetMode="External" Id="Ref4cf975a2b74c43" /><Relationship Type="http://schemas.openxmlformats.org/officeDocument/2006/relationships/hyperlink" Target="https://github.com/PTO-ISA/SuperNPUBench/blob/main/benchmark/one-level-arch/kernels/basic_op/fa/fa_gmma_kchains.hpp#L40" TargetMode="External" Id="Rfce337f661cd4ac7" /><Relationship Type="http://schemas.openxmlformats.org/officeDocument/2006/relationships/hyperlink" Target="https://github.com/PTO-ISA/SuperNPUBench/blob/main/benchmark/one-level-arch/kernels/basic_op/fa/fa_gmma_kchains.hpp#L40" TargetMode="External" Id="Rf05bbc162e4740ea" /><Relationship Type="http://schemas.openxmlformats.org/officeDocument/2006/relationships/hyperlink" Target="https://github.com/PTO-ISA/SuperNPUBench/blob/main/benchmark/one-level-arch/kernels/basic_op/fa/fa_gmma_kchains.hpp#L40" TargetMode="External" Id="R6881f018b0ba48bf" /><Relationship Type="http://schemas.openxmlformats.org/officeDocument/2006/relationships/hyperlink" Target="https://github.com/PTO-ISA/SuperNPUBench/blob/main/benchmark/one-level-arch/kernels/basic_op/fa/fa_gmma_kchains.hpp#L40" TargetMode="External" Id="R9d49251d1bf144b5" /><Relationship Type="http://schemas.openxmlformats.org/officeDocument/2006/relationships/hyperlink" Target="https://github.com/PTO-ISA/SuperNPUBench/blob/main/benchmark/one-level-arch/kernels/basic_op/fa/fa_gmma_kchains.hpp#L40" TargetMode="External" Id="R87910730539041ee" /><Relationship Type="http://schemas.openxmlformats.org/officeDocument/2006/relationships/hyperlink" Target="https://github.com/PTO-ISA/SuperNPUBench/blob/main/benchmark/one-level-arch/kernels/basic_op/fa/fa_gmma_kchains.hpp#L40" TargetMode="External" Id="R8d62e1459f3a4ef5" /><Relationship Type="http://schemas.openxmlformats.org/officeDocument/2006/relationships/hyperlink" Target="https://github.com/PTO-ISA/SuperNPUBench/blob/main/benchmark/one-level-arch/kernels/basic_op/fa/fa_gmma_kchains.hpp#L40" TargetMode="External" Id="Rbdd0e59a04874738" /><Relationship Type="http://schemas.openxmlformats.org/officeDocument/2006/relationships/hyperlink" Target="https://github.com/PTO-ISA/SuperNPUBench/blob/main/benchmark/one-level-arch/kernels/basic_op/fa/fa_gmma_kchains.hpp#L40" TargetMode="External" Id="R5f7cf5c0d60c4d66" /><Relationship Type="http://schemas.openxmlformats.org/officeDocument/2006/relationships/hyperlink" Target="https://github.com/PTO-ISA/SuperNPUBench/blob/main/benchmark/one-level-arch/kernels/basic_op/fa/fa_gmma_kchains.hpp#L40" TargetMode="External" Id="R31298ab627274a27" /><Relationship Type="http://schemas.openxmlformats.org/officeDocument/2006/relationships/hyperlink" Target="https://github.com/PTO-ISA/SuperNPUBench/blob/main/benchmark/one-level-arch/kernels/basic_op/fa/fa_gmma_kchains.hpp#L40" TargetMode="External" Id="R2ad4bea745d147d3" /><Relationship Type="http://schemas.openxmlformats.org/officeDocument/2006/relationships/hyperlink" Target="https://github.com/PTO-ISA/SuperNPUBench/blob/main/benchmark/one-level-arch/kernels/basic_op/fa/fa_gmma_kchains.hpp#L40" TargetMode="External" Id="R5a2ad02b43354369" /><Relationship Type="http://schemas.openxmlformats.org/officeDocument/2006/relationships/hyperlink" Target="https://github.com/PTO-ISA/SuperNPUBench/blob/main/benchmark/one-level-arch/kernels/basic_op/matmul/matmul_shared.hpp#L24" TargetMode="External" Id="R0b13810ebb9f413f" /><Relationship Type="http://schemas.openxmlformats.org/officeDocument/2006/relationships/hyperlink" Target="https://github.com/PTO-ISA/SuperNPUBench/blob/main/benchmark/one-level-arch/kernels/basic_op/matmul/matmul_reuseB.hpp#L308" TargetMode="External" Id="Re96c354e04004b3a" /><Relationship Type="http://schemas.openxmlformats.org/officeDocument/2006/relationships/hyperlink" Target="https://github.com/PTO-ISA/SuperNPUBench/blob/main/benchmark/one-level-arch/kernels/basic_op/matmul/matmul_shared.hpp#L24" TargetMode="External" Id="R00e35dd8806944d3" /><Relationship Type="http://schemas.openxmlformats.org/officeDocument/2006/relationships/hyperlink" Target="https://github.com/PTO-ISA/SuperNPUBench/blob/main/benchmark/one-level-arch/kernels/basic_op/matmul/matmul_reuseB.hpp#L308" TargetMode="External" Id="R4e76c0f0d35f415d" /><Relationship Type="http://schemas.openxmlformats.org/officeDocument/2006/relationships/hyperlink" Target="https://github.com/PTO-ISA/SuperNPUBench/blob/main/benchmark/one-level-arch/kernels/basic_op/matmul/matmul_shared.hpp#L24" TargetMode="External" Id="R3613f0b806a1422e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14ce49f14b2d4e30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b02c5bf4c6294dff" /><Relationship Type="http://schemas.openxmlformats.org/officeDocument/2006/relationships/hyperlink" Target="https://github.com/PTO-ISA/SuperNPUBench/blob/main/benchmark/one-level-arch/kernels/solution/normalization/rms_norm/rms_norm_dynamic_tree_32k.hpp#L405" TargetMode="External" Id="R249b3885be15470a" /><Relationship Type="http://schemas.openxmlformats.org/officeDocument/2006/relationships/hyperlink" Target="https://github.com/PTO-ISA/SuperNPUBench/blob/main/benchmark/one-level-arch/kernels/basic_op/mxquant/mxquant.hpp#L180" TargetMode="External" Id="R0680b21eda1c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PTO-ISA/SuperNPUBench/blob/main/benchmark/one-level-arch/kernels/basic_op/matmul/matmul_shared.hpp#L24" TargetMode="External" Id="Rb0b6bd8ef7624478" /><Relationship Type="http://schemas.openxmlformats.org/officeDocument/2006/relationships/hyperlink" Target="https://github.com/PTO-ISA/SuperNPUBench/blob/main/benchmark/one-level-arch/kernels/basic_op/matmul/matmul_reuseA.hpp#L281" TargetMode="External" Id="R1bf7f0374b394228" /><Relationship Type="http://schemas.openxmlformats.org/officeDocument/2006/relationships/hyperlink" Target="https://github.com/PTO-ISA/SuperNPUBench/blob/main/benchmark/one-level-arch/kernels/basic_op/matmul/matmul_reuseA.hpp#L281" TargetMode="External" Id="R795dda06887d40d1" /><Relationship Type="http://schemas.openxmlformats.org/officeDocument/2006/relationships/hyperlink" Target="https://github.com/PTO-ISA/SuperNPUBench/blob/main/benchmark/one-level-arch/kernels/basic_op/matmul/matmul_reuseA.hpp#L281" TargetMode="External" Id="Rdb552a64558d4cde" /><Relationship Type="http://schemas.openxmlformats.org/officeDocument/2006/relationships/hyperlink" Target="https://github.com/PTO-ISA/SuperNPUBench/blob/main/benchmark/one-level-arch/kernels/basic_op/matmul/matmul_reuseA.hpp#L281" TargetMode="External" Id="R695f7b6cd92142ed" /><Relationship Type="http://schemas.openxmlformats.org/officeDocument/2006/relationships/hyperlink" Target="https://github.com/PTO-ISA/SuperNPUBench/blob/main/benchmark/one-level-arch/kernels/basic_op/matmul/matmul_reuseA.hpp#L281" TargetMode="External" Id="R4248e15c339341d6" /><Relationship Type="http://schemas.openxmlformats.org/officeDocument/2006/relationships/hyperlink" Target="https://github.com/PTO-ISA/SuperNPUBench/blob/main/benchmark/one-level-arch/kernels/basic_op/matmul/matmul_reuseA.hpp#L281" TargetMode="External" Id="Rb706a72e888448e6" /><Relationship Type="http://schemas.openxmlformats.org/officeDocument/2006/relationships/hyperlink" Target="https://github.com/PTO-ISA/SuperNPUBench/blob/main/benchmark/one-level-arch/kernels/basic_op/matmul/matmul_reuseA.hpp#L281" TargetMode="External" Id="R815240619cd54ebc" /><Relationship Type="http://schemas.openxmlformats.org/officeDocument/2006/relationships/hyperlink" Target="https://github.com/PTO-ISA/SuperNPUBench/blob/main/benchmark/one-level-arch/kernels/basic_op/matmul/matmul_reuseA.hpp#L281" TargetMode="External" Id="Raa089e06d15549d2" /><Relationship Type="http://schemas.openxmlformats.org/officeDocument/2006/relationships/hyperlink" Target="https://github.com/PTO-ISA/SuperNPUBench/blob/main/benchmark/one-level-arch/kernels/basic_op/matmul/matmul_reuseA.hpp#L281" TargetMode="External" Id="Rcb93f1a207584de2" /><Relationship Type="http://schemas.openxmlformats.org/officeDocument/2006/relationships/hyperlink" Target="https://github.com/PTO-ISA/SuperNPUBench/blob/main/benchmark/one-level-arch/kernels/basic_op/matmul/matmul_reuseA.hpp#L281" TargetMode="External" Id="R7dfc3fd14a0c4d1b" /><Relationship Type="http://schemas.openxmlformats.org/officeDocument/2006/relationships/hyperlink" Target="https://github.com/PTO-ISA/SuperNPUBench/blob/main/benchmark/one-level-arch/kernels/basic_op/matmul/matmul_reuseA.hpp#L281" TargetMode="External" Id="R4cc5665d7c0f481c" /><Relationship Type="http://schemas.openxmlformats.org/officeDocument/2006/relationships/hyperlink" Target="https://github.com/PTO-ISA/SuperNPUBench/blob/main/benchmark/one-level-arch/kernels/basic_op/matmul/matmul_reuseA.hpp#L281" TargetMode="External" Id="R664c9457f0a540e0" /><Relationship Type="http://schemas.openxmlformats.org/officeDocument/2006/relationships/hyperlink" Target="https://github.com/PTO-ISA/SuperNPUBench/blob/main/benchmark/one-level-arch/kernels/basic_op/matmul/matmul_shared.hpp#L24" TargetMode="External" Id="Rb821d1c348a74895" /><Relationship Type="http://schemas.openxmlformats.org/officeDocument/2006/relationships/hyperlink" Target="https://github.com/PTO-ISA/SuperNPUBench/blob/main/benchmark/one-level-arch/kernels/basic_op/matmul/matmul_shared.hpp#L24" TargetMode="External" Id="R0e5e148187594052" /><Relationship Type="http://schemas.openxmlformats.org/officeDocument/2006/relationships/hyperlink" Target="https://github.com/PTO-ISA/SuperNPUBench/blob/main/benchmark/one-level-arch/kernels/basic_op/matmul/matmul_shared.hpp#L24" TargetMode="External" Id="R860953d4048f4c11" /><Relationship Type="http://schemas.openxmlformats.org/officeDocument/2006/relationships/hyperlink" Target="https://github.com/PTO-ISA/SuperNPUBench/blob/main/benchmark/one-level-arch/kernels/basic_op/matmul/matmul_shared.hpp#L24" TargetMode="External" Id="R4b314bb1023e41ca" /><Relationship Type="http://schemas.openxmlformats.org/officeDocument/2006/relationships/hyperlink" Target="https://github.com/PTO-ISA/SuperNPUBench/blob/main/benchmark/one-level-arch/kernels/basic_op/matmul/matmul_shared.hpp#L24" TargetMode="External" Id="R5fb0d7b1faf745d8" /><Relationship Type="http://schemas.openxmlformats.org/officeDocument/2006/relationships/hyperlink" Target="https://github.com/PTO-ISA/SuperNPUBench/blob/main/benchmark/one-level-arch/kernels/basic_op/matmul/matmul_shared.hpp#L24" TargetMode="External" Id="R04fdd1f554c94126" /><Relationship Type="http://schemas.openxmlformats.org/officeDocument/2006/relationships/hyperlink" Target="https://github.com/PTO-ISA/SuperNPUBench/blob/main/benchmark/one-level-arch/kernels/basic_op/matmul/matmul_reuseA.hpp#L281" TargetMode="External" Id="R887c1cf1a22d4da8" /><Relationship Type="http://schemas.openxmlformats.org/officeDocument/2006/relationships/hyperlink" Target="https://github.com/PTO-ISA/SuperNPUBench/blob/main/benchmark/one-level-arch/kernels/basic_op/matmul/matmul_reuseA.hpp#L281" TargetMode="External" Id="R7565ec45cfb740af" /><Relationship Type="http://schemas.openxmlformats.org/officeDocument/2006/relationships/hyperlink" Target="https://github.com/PTO-ISA/SuperNPUBench/blob/main/benchmark/one-level-arch/kernels/basic_op/matmul/matmul_reuseA.hpp#L281" TargetMode="External" Id="R50acac60b22b4562" /><Relationship Type="http://schemas.openxmlformats.org/officeDocument/2006/relationships/hyperlink" Target="https://github.com/PTO-ISA/SuperNPUBench/blob/main/benchmark/one-level-arch/kernels/basic_op/matmul/matmul_reuseA.hpp#L281" TargetMode="External" Id="R372e09a492c34922" /><Relationship Type="http://schemas.openxmlformats.org/officeDocument/2006/relationships/hyperlink" Target="https://github.com/PTO-ISA/SuperNPUBench/blob/main/benchmark/one-level-arch/kernels/basic_op/matmul/matmul_reuseA.hpp#L281" TargetMode="External" Id="R13227166e1524fbe" /><Relationship Type="http://schemas.openxmlformats.org/officeDocument/2006/relationships/hyperlink" Target="https://github.com/PTO-ISA/SuperNPUBench/blob/main/benchmark/one-level-arch/kernels/basic_op/matmul/matmul_reuseA.hpp#L281" TargetMode="External" Id="R248496879a9b4869" /><Relationship Type="http://schemas.openxmlformats.org/officeDocument/2006/relationships/hyperlink" Target="https://github.com/PTO-ISA/SuperNPUBench/blob/main/benchmark/one-level-arch/kernels/basic_op/matmul/matmul_shared.hpp#L24" TargetMode="External" Id="Rb2b0a38b9a9147f6" /><Relationship Type="http://schemas.openxmlformats.org/officeDocument/2006/relationships/hyperlink" Target="https://github.com/PTO-ISA/SuperNPUBench/blob/main/benchmark/one-level-arch/kernels/basic_op/matmul/matmul_shared.hpp#L24" TargetMode="External" Id="R9c0797aa8e4848b1" /><Relationship Type="http://schemas.openxmlformats.org/officeDocument/2006/relationships/hyperlink" Target="https://github.com/PTO-ISA/SuperNPUBench/blob/main/benchmark/one-level-arch/kernels/basic_op/matmul/matmul_shared.hpp#L24" TargetMode="External" Id="R4e4b3ea7c8d241d3" /><Relationship Type="http://schemas.openxmlformats.org/officeDocument/2006/relationships/hyperlink" Target="https://github.com/PTO-ISA/SuperNPUBench/blob/main/benchmark/one-level-arch/kernels/basic_op/matmul/matmul_shared.hpp#L24" TargetMode="External" Id="Rb60da97fd65a4f32" /><Relationship Type="http://schemas.openxmlformats.org/officeDocument/2006/relationships/hyperlink" Target="https://github.com/PTO-ISA/SuperNPUBench/blob/main/benchmark/one-level-arch/kernels/basic_op/matmul/matmul_shared.hpp#L24" TargetMode="External" Id="R40fe60fa9c3d4994" /><Relationship Type="http://schemas.openxmlformats.org/officeDocument/2006/relationships/hyperlink" Target="https://github.com/PTO-ISA/SuperNPUBench/blob/main/benchmark/one-level-arch/kernels/basic_op/matmul/matmul_shared.hpp#L24" TargetMode="External" Id="R879dc5eb58894798" /><Relationship Type="http://schemas.openxmlformats.org/officeDocument/2006/relationships/hyperlink" Target="https://github.com/PTO-ISA/SuperNPUBench/blob/main/benchmark/one-level-arch/kernels/basic_op/matmul/matmul_shared.hpp#L24" TargetMode="External" Id="R5367a2bfce2e4d14" /><Relationship Type="http://schemas.openxmlformats.org/officeDocument/2006/relationships/hyperlink" Target="https://github.com/PTO-ISA/SuperNPUBench/blob/main/benchmark/one-level-arch/kernels/basic_op/matmul/matmul_shared.hpp#L24" TargetMode="External" Id="R52e26440a5cc4375" /><Relationship Type="http://schemas.openxmlformats.org/officeDocument/2006/relationships/hyperlink" Target="https://github.com/PTO-ISA/SuperNPUBench/blob/main/benchmark/one-level-arch/kernels/basic_op/matmul/matmul_shared.hpp#L24" TargetMode="External" Id="R2d976bc37ac44a14" /><Relationship Type="http://schemas.openxmlformats.org/officeDocument/2006/relationships/hyperlink" Target="https://github.com/PTO-ISA/SuperNPUBench/blob/main/benchmark/one-level-arch/kernels/basic_op/matmul/matmul_reuseA.hpp#L281" TargetMode="External" Id="Rc8ac8b74e8c64074" /><Relationship Type="http://schemas.openxmlformats.org/officeDocument/2006/relationships/hyperlink" Target="https://github.com/PTO-ISA/SuperNPUBench/blob/main/benchmark/one-level-arch/kernels/basic_op/matmul/matmul_reuseA.hpp#L281" TargetMode="External" Id="Rddf78dc94c6e4c33" /><Relationship Type="http://schemas.openxmlformats.org/officeDocument/2006/relationships/hyperlink" Target="https://github.com/PTO-ISA/SuperNPUBench/blob/main/benchmark/one-level-arch/kernels/basic_op/matmul/matmul_reuseA.hpp#L281" TargetMode="External" Id="R265cbe53d1924444" /><Relationship Type="http://schemas.openxmlformats.org/officeDocument/2006/relationships/hyperlink" Target="https://github.com/PTO-ISA/SuperNPUBench/blob/main/benchmark/one-level-arch/kernels/basic_op/matmul/matmul_reuseA.hpp#L281" TargetMode="External" Id="R0f7f39b7309f41ce" /><Relationship Type="http://schemas.openxmlformats.org/officeDocument/2006/relationships/hyperlink" Target="https://github.com/PTO-ISA/SuperNPUBench/blob/main/benchmark/one-level-arch/kernels/basic_op/matmul/matmul_reuseA.hpp#L281" TargetMode="External" Id="R9db425a2cd874d91" /><Relationship Type="http://schemas.openxmlformats.org/officeDocument/2006/relationships/hyperlink" Target="https://github.com/PTO-ISA/SuperNPUBench/blob/main/benchmark/one-level-arch/kernels/basic_op/matmul/matmul_reuseA.hpp#L281" TargetMode="External" Id="Rb0dce5fdce014bbd" /><Relationship Type="http://schemas.openxmlformats.org/officeDocument/2006/relationships/hyperlink" Target="https://github.com/PTO-ISA/SuperNPUBench/blob/main/benchmark/one-level-arch/kernels/basic_op/matmul/matmul_reuseA.hpp#L281" TargetMode="External" Id="R9faf7477f5fc4cc5" /><Relationship Type="http://schemas.openxmlformats.org/officeDocument/2006/relationships/hyperlink" Target="https://github.com/PTO-ISA/SuperNPUBench/blob/main/benchmark/one-level-arch/kernels/basic_op/matmul/matmul_reuseA.hpp#L281" TargetMode="External" Id="Rdf56003e7cd24055" /><Relationship Type="http://schemas.openxmlformats.org/officeDocument/2006/relationships/hyperlink" Target="https://github.com/PTO-ISA/SuperNPUBench/blob/main/benchmark/one-level-arch/kernels/basic_op/matmul/matmul_reuseA.hpp#L281" TargetMode="External" Id="R7d9071d351124491" /><Relationship Type="http://schemas.openxmlformats.org/officeDocument/2006/relationships/hyperlink" Target="https://github.com/PTO-ISA/SuperNPUBench/blob/main/benchmark/one-level-arch/kernels/basic_op/matmul/matmul_shared_lowp.hpp#L20" TargetMode="External" Id="R5b50561c6e7f417c" /><Relationship Type="http://schemas.openxmlformats.org/officeDocument/2006/relationships/hyperlink" Target="https://github.com/PTO-ISA/SuperNPUBench/blob/main/benchmark/one-level-arch/kernels/basic_op/matmul/matmul_shared_lowp.hpp#L20" TargetMode="External" Id="R214539bcacbb4ffe" /><Relationship Type="http://schemas.openxmlformats.org/officeDocument/2006/relationships/hyperlink" Target="https://github.com/PTO-ISA/SuperNPUBench/blob/main/benchmark/one-level-arch/kernels/basic_op/matmul/matmul_shared_lowp.hpp#L20" TargetMode="External" Id="R5bffda62d768427b" /><Relationship Type="http://schemas.openxmlformats.org/officeDocument/2006/relationships/hyperlink" Target="https://github.com/PTO-ISA/SuperNPUBench/blob/main/benchmark/one-level-arch/kernels/basic_op/matmul/matmul_shared_lowp.hpp#L20" TargetMode="External" Id="R1b118a9b8b1b47d5" /><Relationship Type="http://schemas.openxmlformats.org/officeDocument/2006/relationships/hyperlink" Target="https://github.com/PTO-ISA/SuperNPUBench/blob/main/benchmark/one-level-arch/kernels/basic_op/matmul/matmul_shared_lowp.hpp#L20" TargetMode="External" Id="R7324ebb987b24442" /><Relationship Type="http://schemas.openxmlformats.org/officeDocument/2006/relationships/hyperlink" Target="https://github.com/PTO-ISA/SuperNPUBench/blob/main/benchmark/one-level-arch/kernels/basic_op/matmul/matmul_shared_lowp.hpp#L20" TargetMode="External" Id="R4c40342ea27043f9" /><Relationship Type="http://schemas.openxmlformats.org/officeDocument/2006/relationships/hyperlink" Target="https://github.com/PTO-ISA/SuperNPUBench/blob/main/benchmark/one-level-arch/kernels/basic_op/matmul/matmul_shared_lowp.hpp#L20" TargetMode="External" Id="R14319d78aab649e4" /><Relationship Type="http://schemas.openxmlformats.org/officeDocument/2006/relationships/hyperlink" Target="https://github.com/PTO-ISA/SuperNPUBench/blob/main/benchmark/one-level-arch/kernels/basic_op/matmul/matmul_shared_lowp.hpp#L20" TargetMode="External" Id="Rf1d93f66c10b4f83" /><Relationship Type="http://schemas.openxmlformats.org/officeDocument/2006/relationships/hyperlink" Target="https://github.com/PTO-ISA/SuperNPUBench/blob/main/benchmark/one-level-arch/kernels/basic_op/matmul/matmul_shared_lowp.hpp#L20" TargetMode="External" Id="R3d7167df1e5d4657" /><Relationship Type="http://schemas.openxmlformats.org/officeDocument/2006/relationships/hyperlink" Target="https://github.com/PTO-ISA/SuperNPUBench/blob/main/benchmark/one-level-arch/kernels/basic_op/matmul/matmul_shared_lowp.hpp#L20" TargetMode="External" Id="R40baf70e6d91430d" /><Relationship Type="http://schemas.openxmlformats.org/officeDocument/2006/relationships/hyperlink" Target="https://github.com/PTO-ISA/SuperNPUBench/blob/main/benchmark/one-level-arch/kernels/basic_op/matmul/matmul_shared.hpp#L24" TargetMode="External" Id="R1930b4ef08754a29" /><Relationship Type="http://schemas.openxmlformats.org/officeDocument/2006/relationships/hyperlink" Target="https://github.com/PTO-ISA/SuperNPUBench/blob/main/benchmark/one-level-arch/kernels/basic_op/matmul/matmul_reuseA.hpp#L281" TargetMode="External" Id="R49b69e50762b4e8b" /><Relationship Type="http://schemas.openxmlformats.org/officeDocument/2006/relationships/hyperlink" Target="https://github.com/PTO-ISA/SuperNPUBench/blob/main/benchmark/one-level-arch/kernels/basic_op/matmul/matmul_reuseB.hpp#L308" TargetMode="External" Id="R0f9441d7d5bb4ccd" /><Relationship Type="http://schemas.openxmlformats.org/officeDocument/2006/relationships/hyperlink" Target="https://github.com/PTO-ISA/SuperNPUBench/blob/main/benchmark/one-level-arch/kernels/basic_op/matmul/matmul_reuseB.hpp#L308" TargetMode="External" Id="Ra848627b1abc42d8" /><Relationship Type="http://schemas.openxmlformats.org/officeDocument/2006/relationships/hyperlink" Target="https://github.com/PTO-ISA/SuperNPUBench/blob/main/benchmark/one-level-arch/kernels/basic_op/matmul/matmul_reuseB.hpp#L308" TargetMode="External" Id="R87be6fa55e2c44bb" /><Relationship Type="http://schemas.openxmlformats.org/officeDocument/2006/relationships/hyperlink" Target="https://github.com/PTO-ISA/SuperNPUBench/blob/main/benchmark/one-level-arch/kernels/basic_op/matmul/matmul_shared.hpp#L24" TargetMode="External" Id="R062594633c7b45cc" /><Relationship Type="http://schemas.openxmlformats.org/officeDocument/2006/relationships/hyperlink" Target="https://github.com/PTO-ISA/SuperNPUBench/blob/main/benchmark/one-level-arch/kernels/basic_op/matmul/matmul_reuseA.hpp#L281" TargetMode="External" Id="R5d2e4fcab7a94acc" /><Relationship Type="http://schemas.openxmlformats.org/officeDocument/2006/relationships/hyperlink" Target="https://github.com/PTO-ISA/SuperNPUBench/blob/main/benchmark/one-level-arch/kernels/basic_op/matmul/matmul_reuseB.hpp#L308" TargetMode="External" Id="Ra7cc6a1a98134d8a" /><Relationship Type="http://schemas.openxmlformats.org/officeDocument/2006/relationships/hyperlink" Target="https://github.com/PTO-ISA/SuperNPUBench/blob/main/benchmark/one-level-arch/kernels/basic_op/matmul/matmul_reuseB.hpp#L308" TargetMode="External" Id="Rd4a9435965f2488a" /><Relationship Type="http://schemas.openxmlformats.org/officeDocument/2006/relationships/hyperlink" Target="https://github.com/PTO-ISA/SuperNPUBench/blob/main/benchmark/one-level-arch/kernels/basic_op/matmul/matmul_reuseB.hpp#L308" TargetMode="External" Id="R05882b4825cc4577" /><Relationship Type="http://schemas.openxmlformats.org/officeDocument/2006/relationships/hyperlink" Target="https://github.com/PTO-ISA/SuperNPUBench/blob/main/benchmark/one-level-arch/kernels/basic_op/matmul/matmul_reuseA.hpp#L281" TargetMode="External" Id="R99cc51c7e07d41e6" /><Relationship Type="http://schemas.openxmlformats.org/officeDocument/2006/relationships/hyperlink" Target="https://github.com/PTO-ISA/SuperNPUBench/blob/main/benchmark/one-level-arch/kernels/basic_op/matmul/matmul_reuseB.hpp#L308" TargetMode="External" Id="Rcbf02fac684449a5" /><Relationship Type="http://schemas.openxmlformats.org/officeDocument/2006/relationships/hyperlink" Target="https://github.com/PTO-ISA/SuperNPUBench/blob/main/benchmark/one-level-arch/kernels/basic_op/matmul/matmul_shared.hpp#L24" TargetMode="External" Id="Rd68e9bbf129d41af" /><Relationship Type="http://schemas.openxmlformats.org/officeDocument/2006/relationships/hyperlink" Target="https://github.com/PTO-ISA/SuperNPUBench/blob/main/benchmark/one-level-arch/kernels/basic_op/matmul/matmul_reuseA.hpp#L281" TargetMode="External" Id="R6a49dafc511b4d21" /><Relationship Type="http://schemas.openxmlformats.org/officeDocument/2006/relationships/hyperlink" Target="https://github.com/PTO-ISA/SuperNPUBench/blob/main/benchmark/one-level-arch/kernels/basic_op/matmul/matmul_reuseB.hpp#L308" TargetMode="External" Id="Rfcd0f4d0714a4d1d" /><Relationship Type="http://schemas.openxmlformats.org/officeDocument/2006/relationships/hyperlink" Target="https://github.com/PTO-ISA/SuperNPUBench/blob/main/benchmark/one-level-arch/kernels/basic_op/matmul/matmul_reuseB.hpp#L308" TargetMode="External" Id="R79d9ca4030434e9f" /><Relationship Type="http://schemas.openxmlformats.org/officeDocument/2006/relationships/hyperlink" Target="https://github.com/PTO-ISA/SuperNPUBench/blob/main/benchmark/one-level-arch/kernels/basic_op/matmul/matmul_reuseB.hpp#L308" TargetMode="External" Id="Rdfaf5de47f664474" /><Relationship Type="http://schemas.openxmlformats.org/officeDocument/2006/relationships/hyperlink" Target="https://github.com/PTO-ISA/SuperNPUBench/blob/main/benchmark/one-level-arch/kernels/basic_op/matmul/matmul_reuseA.hpp#L281" TargetMode="External" Id="R90ff30325d7742c2" /><Relationship Type="http://schemas.openxmlformats.org/officeDocument/2006/relationships/hyperlink" Target="https://github.com/PTO-ISA/SuperNPUBench/blob/main/benchmark/one-level-arch/kernels/basic_op/matmul/matmul_reuseA.hpp#L281" TargetMode="External" Id="R944d6ecb32ad4209" /><Relationship Type="http://schemas.openxmlformats.org/officeDocument/2006/relationships/hyperlink" Target="https://github.com/PTO-ISA/SuperNPUBench/blob/main/benchmark/one-level-arch/kernels/basic_op/matmul/matmul_reuseA.hpp#L281" TargetMode="External" Id="R7818e005d8384101" /><Relationship Type="http://schemas.openxmlformats.org/officeDocument/2006/relationships/hyperlink" Target="https://github.com/PTO-ISA/SuperNPUBench/blob/main/benchmark/one-level-arch/kernels/basic_op/matmul/matmul_reuseA.hpp#L281" TargetMode="External" Id="R06376c01102849f6" /><Relationship Type="http://schemas.openxmlformats.org/officeDocument/2006/relationships/hyperlink" Target="https://github.com/PTO-ISA/SuperNPUBench/blob/main/benchmark/one-level-arch/kernels/basic_op/matmul/matmul_reuseA.hpp#L281" TargetMode="External" Id="R6aff807c7ec4414e" /><Relationship Type="http://schemas.openxmlformats.org/officeDocument/2006/relationships/hyperlink" Target="https://github.com/PTO-ISA/SuperNPUBench/blob/main/benchmark/one-level-arch/kernels/basic_op/matmul/matmul_shared.hpp#L24" TargetMode="External" Id="R504f30690b364703" /><Relationship Type="http://schemas.openxmlformats.org/officeDocument/2006/relationships/hyperlink" Target="https://github.com/PTO-ISA/SuperNPUBench/blob/main/benchmark/one-level-arch/kernels/basic_op/matmul/matmul_reuseA.hpp#L281" TargetMode="External" Id="R4e32ebaa78954733" /><Relationship Type="http://schemas.openxmlformats.org/officeDocument/2006/relationships/hyperlink" Target="https://github.com/PTO-ISA/SuperNPUBench/blob/main/benchmark/one-level-arch/kernels/basic_op/matmul/matmul_reuseB.hpp#L308" TargetMode="External" Id="Rfd1718e5900c40ea" /><Relationship Type="http://schemas.openxmlformats.org/officeDocument/2006/relationships/hyperlink" Target="https://github.com/PTO-ISA/SuperNPUBench/blob/main/benchmark/one-level-arch/kernels/basic_op/matmul/matmul_reuseA.hpp#L281" TargetMode="External" Id="R42dfe3c6fb3c4956" /><Relationship Type="http://schemas.openxmlformats.org/officeDocument/2006/relationships/hyperlink" Target="https://github.com/PTO-ISA/SuperNPUBench/blob/main/benchmark/one-level-arch/kernels/basic_op/matmul/matmul_reuseB.hpp#L308" TargetMode="External" Id="Rc2a8fc09fb984e3b" /><Relationship Type="http://schemas.openxmlformats.org/officeDocument/2006/relationships/hyperlink" Target="https://github.com/PTO-ISA/SuperNPUBench/blob/main/benchmark/one-level-arch/kernels/basic_op/matmul/matmul_reuseA.hpp#L281" TargetMode="External" Id="Rcc30757cad3b4a18" /><Relationship Type="http://schemas.openxmlformats.org/officeDocument/2006/relationships/hyperlink" Target="https://github.com/PTO-ISA/SuperNPUBench/blob/main/benchmark/one-level-arch/kernels/basic_op/matmul/matmul_reuseB.hpp#L308" TargetMode="External" Id="R1ea9483618884e5d" /><Relationship Type="http://schemas.openxmlformats.org/officeDocument/2006/relationships/hyperlink" Target="https://github.com/PTO-ISA/SuperNPUBench/blob/main/benchmark/one-level-arch/kernels/basic_op/matmul/matmul_shared.hpp#L24" TargetMode="External" Id="R4ce57cdb9c5a49f5" /><Relationship Type="http://schemas.openxmlformats.org/officeDocument/2006/relationships/hyperlink" Target="https://github.com/PTO-ISA/SuperNPUBench/blob/main/benchmark/one-level-arch/kernels/basic_op/matmul/matmul_reuseA.hpp#L281" TargetMode="External" Id="R653372e564f14b89" /><Relationship Type="http://schemas.openxmlformats.org/officeDocument/2006/relationships/hyperlink" Target="https://github.com/PTO-ISA/SuperNPUBench/blob/main/benchmark/one-level-arch/kernels/basic_op/matmul/matmul_reuseB.hpp#L308" TargetMode="External" Id="Rfec490b87e124cd7" /><Relationship Type="http://schemas.openxmlformats.org/officeDocument/2006/relationships/hyperlink" Target="https://github.com/PTO-ISA/SuperNPUBench/blob/main/benchmark/one-level-arch/kernels/basic_op/matmul/matmul_reuseA.hpp#L281" TargetMode="External" Id="Reb5c03bd35be402c" /><Relationship Type="http://schemas.openxmlformats.org/officeDocument/2006/relationships/hyperlink" Target="https://github.com/PTO-ISA/SuperNPUBench/blob/main/benchmark/one-level-arch/kernels/basic_op/matmul/matmul_reuseB.hpp#L308" TargetMode="External" Id="Rcfb559bd58494e29" /><Relationship Type="http://schemas.openxmlformats.org/officeDocument/2006/relationships/hyperlink" Target="https://github.com/PTO-ISA/SuperNPUBench/blob/main/benchmark/one-level-arch/kernels/basic_op/matmul/matmul_shared.hpp#L24" TargetMode="External" Id="R4e4e51986e934b49" /><Relationship Type="http://schemas.openxmlformats.org/officeDocument/2006/relationships/hyperlink" Target="https://github.com/PTO-ISA/SuperNPUBench/blob/main/benchmark/one-level-arch/kernels/basic_op/matmul/matmul_reuseA.hpp#L281" TargetMode="External" Id="R91414a76e58d46c0" /><Relationship Type="http://schemas.openxmlformats.org/officeDocument/2006/relationships/hyperlink" Target="https://github.com/PTO-ISA/SuperNPUBench/blob/main/benchmark/one-level-arch/kernels/basic_op/matmul/matmul_reuseB.hpp#L308" TargetMode="External" Id="R1aad2bfd03fb4bc6" /><Relationship Type="http://schemas.openxmlformats.org/officeDocument/2006/relationships/hyperlink" Target="https://github.com/PTO-ISA/SuperNPUBench/blob/main/benchmark/one-level-arch/kernels/basic_op/matmul/matmul_reuseA.hpp#L281" TargetMode="External" Id="R6b29f2244547414b" /><Relationship Type="http://schemas.openxmlformats.org/officeDocument/2006/relationships/hyperlink" Target="https://github.com/PTO-ISA/SuperNPUBench/blob/main/benchmark/one-level-arch/kernels/basic_op/matmul/matmul_reuseB.hpp#L308" TargetMode="External" Id="R78099d57e0eb48bc" /><Relationship Type="http://schemas.openxmlformats.org/officeDocument/2006/relationships/hyperlink" Target="https://github.com/PTO-ISA/SuperNPUBench/blob/main/benchmark/one-level-arch/kernels/basic_op/matmul/matmul_shared_lowp.hpp#L20" TargetMode="External" Id="R15cd4e0fb1e44a07" /><Relationship Type="http://schemas.openxmlformats.org/officeDocument/2006/relationships/hyperlink" Target="https://github.com/PTO-ISA/SuperNPUBench/blob/main/benchmark/one-level-arch/kernels/basic_op/matmul/matmul_shared_lowp.hpp#L20" TargetMode="External" Id="Rb2ea188a6bb24861" /><Relationship Type="http://schemas.openxmlformats.org/officeDocument/2006/relationships/hyperlink" Target="https://github.com/PTO-ISA/SuperNPUBench/blob/main/benchmark/one-level-arch/kernels/basic_op/matmul/matmul_shared_lowp.hpp#L20" TargetMode="External" Id="R5a95a6667b314eb6" /><Relationship Type="http://schemas.openxmlformats.org/officeDocument/2006/relationships/hyperlink" Target="https://github.com/PTO-ISA/SuperNPUBench/blob/main/benchmark/one-level-arch/kernels/basic_op/matmul/matmul_shared_lowp.hpp#L20" TargetMode="External" Id="Re2798a614630449c" /><Relationship Type="http://schemas.openxmlformats.org/officeDocument/2006/relationships/hyperlink" Target="https://github.com/PTO-ISA/SuperNPUBench/blob/main/benchmark/one-level-arch/kernels/basic_op/matmul/matmul_shared_lowp.hpp#L20" TargetMode="External" Id="Rc7ae9f0c37df469a" /><Relationship Type="http://schemas.openxmlformats.org/officeDocument/2006/relationships/hyperlink" Target="https://github.com/PTO-ISA/SuperNPUBench/blob/a96a6ec94723ce4d78ae8cb6938e6b65d6b7ac48/eval/perf_data/source_snapshots/20261019/matmul_reuseB_ktail.hpp#L187" TargetMode="External" Id="R47f799cdecc54c02" /><Relationship Type="http://schemas.openxmlformats.org/officeDocument/2006/relationships/hyperlink" Target="https://github.com/PTO-ISA/SuperNPUBench/blob/main/benchmark/one-level-arch/kernels/basic_op/matmul/matmul_reuseB.hpp#L308" TargetMode="External" Id="R2f17c6c0551f42b5" /><Relationship Type="http://schemas.openxmlformats.org/officeDocument/2006/relationships/hyperlink" Target="https://github.com/PTO-ISA/SuperNPUBench/blob/main/benchmark/one-level-arch/kernels/basic_op/matmul/matmul_reuseB.hpp#L308" TargetMode="External" Id="R1d0663fe3d224861" /><Relationship Type="http://schemas.openxmlformats.org/officeDocument/2006/relationships/hyperlink" Target="https://github.com/PTO-ISA/SuperNPUBench/blob/main/benchmark/one-level-arch/kernels/basic_op/matmul/matmul_reuseA.hpp#L281" TargetMode="External" Id="Rfcec35c52cd043dd" /><Relationship Type="http://schemas.openxmlformats.org/officeDocument/2006/relationships/hyperlink" Target="https://github.com/PTO-ISA/SuperNPUBench/blob/a96a6ec94723ce4d78ae8cb6938e6b65d6b7ac48/eval/perf_data/source_snapshots/20261019/matmul_reuseA_mtail_cellA.hpp#L112" TargetMode="External" Id="Rd0ac24f893b6436b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f04e45849936412e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0254aadb704d4487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f0ac146957c0414d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82fd04477f9a498e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22ec8e27701144ae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4af5d48da1304b7d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96b26b5dd6d34f8a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c2bfc422f05241c7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c60324401d214c93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6c60691002cc41c2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5468fd4e22344190" /><Relationship Type="http://schemas.openxmlformats.org/officeDocument/2006/relationships/hyperlink" Target="https://github.com/PTO-ISA/SuperNPUBench/blob/a96a6ec94723ce4d78ae8cb6938e6b65d6b7ac48/eval/perf_data/source_snapshots/20261019/matmul_lowp_reuseA.hpp#L77" TargetMode="External" Id="R202c6ac5d9c1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github.com/PTO-ISA/SuperNPUBench/blob/main/benchmark/one-level-arch/kernels/basic_op/fa/fa_lowp_algC_final.hpp#L29" TargetMode="External" Id="R069a073c22f2466b" /><Relationship Type="http://schemas.openxmlformats.org/officeDocument/2006/relationships/hyperlink" Target="https://github.com/PTO-ISA/SuperNPUBench/blob/main/benchmark/one-level-arch/kernels/basic_op/fa/fa_lowp_algC_final.hpp#L29" TargetMode="External" Id="Rb76ac501a81a44f4" /><Relationship Type="http://schemas.openxmlformats.org/officeDocument/2006/relationships/hyperlink" Target="https://github.com/PTO-ISA/SuperNPUBench/blob/main/benchmark/one-level-arch/kernels/basic_op/fa/fa_lowp_algC_final.hpp#L29" TargetMode="External" Id="R8fab597a81e349b9" /><Relationship Type="http://schemas.openxmlformats.org/officeDocument/2006/relationships/hyperlink" Target="https://github.com/PTO-ISA/SuperNPUBench/blob/main/benchmark/one-level-arch/kernels/basic_op/fa/fa_lowp_algC_final.hpp#L29" TargetMode="External" Id="R3146a27832984d25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d482be6d040f4b0b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0d0b73c5034d4d7e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944c87a173f14b44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e88691e8cc2c4c0b" /><Relationship Type="http://schemas.openxmlformats.org/officeDocument/2006/relationships/hyperlink" Target="https://github.com/PTO-ISA/SuperNPUBench/blob/main/benchmark/one-level-arch/kernels/basic_op/fa/fa_gmma_kchains.hpp#L40" TargetMode="External" Id="R447e0c1e13194ca3" /><Relationship Type="http://schemas.openxmlformats.org/officeDocument/2006/relationships/hyperlink" Target="https://github.com/PTO-ISA/SuperNPUBench/blob/main/benchmark/one-level-arch/kernels/basic_op/fa/fa_gmma_kchains.hpp#L40" TargetMode="External" Id="R9b66b7a1df6346ae" /><Relationship Type="http://schemas.openxmlformats.org/officeDocument/2006/relationships/hyperlink" Target="https://github.com/PTO-ISA/SuperNPUBench/blob/main/benchmark/one-level-arch/kernels/basic_op/fa/fa_gmma_kchains.hpp#L40" TargetMode="External" Id="R9f1388692ab24584" /><Relationship Type="http://schemas.openxmlformats.org/officeDocument/2006/relationships/hyperlink" Target="https://github.com/PTO-ISA/SuperNPUBench/blob/main/benchmark/one-level-arch/kernels/basic_op/fa/fa_gmma_kchains.hpp#L40" TargetMode="External" Id="R4ca15f3077f3444e" /><Relationship Type="http://schemas.openxmlformats.org/officeDocument/2006/relationships/hyperlink" Target="https://github.com/PTO-ISA/SuperNPUBench/blob/main/benchmark/one-level-arch/kernels/basic_op/fa/fa_gmma_kchains.hpp#L40" TargetMode="External" Id="R9e09e7186be24247" /><Relationship Type="http://schemas.openxmlformats.org/officeDocument/2006/relationships/hyperlink" Target="https://github.com/PTO-ISA/SuperNPUBench/blob/main/benchmark/one-level-arch/kernels/basic_op/fa/fa_gmma_kchains.hpp#L40" TargetMode="External" Id="Re4ce57c1ce5c4542" /><Relationship Type="http://schemas.openxmlformats.org/officeDocument/2006/relationships/hyperlink" Target="https://github.com/PTO-ISA/SuperNPUBench/blob/main/benchmark/one-level-arch/kernels/basic_op/fa/fa_gmma_kchains.hpp#L40" TargetMode="External" Id="R494c099ebd0b48cc" /><Relationship Type="http://schemas.openxmlformats.org/officeDocument/2006/relationships/hyperlink" Target="https://github.com/PTO-ISA/SuperNPUBench/blob/main/benchmark/one-level-arch/kernels/basic_op/fa/fa_gmma_kchains.hpp#L40" TargetMode="External" Id="Rd8a0eb2758c14e4f" /><Relationship Type="http://schemas.openxmlformats.org/officeDocument/2006/relationships/hyperlink" Target="https://github.com/PTO-ISA/SuperNPUBench/blob/main/benchmark/one-level-arch/kernels/basic_op/fa/fa_gmma_kchains.hpp#L40" TargetMode="External" Id="R4e9c32351e044b2c" /><Relationship Type="http://schemas.openxmlformats.org/officeDocument/2006/relationships/hyperlink" Target="https://github.com/PTO-ISA/SuperNPUBench/blob/main/benchmark/one-level-arch/kernels/basic_op/fa/fa_gmma_kchains.hpp#L40" TargetMode="External" Id="R9fcf6af0c0e04977" /><Relationship Type="http://schemas.openxmlformats.org/officeDocument/2006/relationships/hyperlink" Target="https://github.com/PTO-ISA/SuperNPUBench/blob/main/benchmark/one-level-arch/kernels/basic_op/fa/fa_gmma_kchains.hpp#L40" TargetMode="External" Id="R2c2108b5f45d4b2d" /><Relationship Type="http://schemas.openxmlformats.org/officeDocument/2006/relationships/hyperlink" Target="https://github.com/PTO-ISA/SuperNPUBench/blob/main/benchmark/one-level-arch/kernels/basic_op/fa/fa_gmma_kchains.hpp#L40" TargetMode="External" Id="R4b1c0dadeb5f4040" /><Relationship Type="http://schemas.openxmlformats.org/officeDocument/2006/relationships/hyperlink" Target="https://github.com/PTO-ISA/SuperNPUBench/blob/main/benchmark/one-level-arch/kernels/basic_op/fa/fa_gmma_kchains.hpp#L40" TargetMode="External" Id="R056c5ddf3a6441ef" /><Relationship Type="http://schemas.openxmlformats.org/officeDocument/2006/relationships/hyperlink" Target="https://github.com/PTO-ISA/SuperNPUBench/blob/main/benchmark/one-level-arch/kernels/basic_op/fa/fa_gmma_kchains.hpp#L40" TargetMode="External" Id="R1f1f8a022a2340a2" /><Relationship Type="http://schemas.openxmlformats.org/officeDocument/2006/relationships/hyperlink" Target="https://github.com/PTO-ISA/SuperNPUBench/blob/main/benchmark/one-level-arch/kernels/basic_op/fa/fa_gmma_kchains.hpp#L40" TargetMode="External" Id="Rff54d7a6906849ff" /><Relationship Type="http://schemas.openxmlformats.org/officeDocument/2006/relationships/hyperlink" Target="https://github.com/PTO-ISA/SuperNPUBench/blob/main/benchmark/one-level-arch/kernels/basic_op/fa/fa_gmma_kchains.hpp#L40" TargetMode="External" Id="Rb15faea1b3864e1a" /><Relationship Type="http://schemas.openxmlformats.org/officeDocument/2006/relationships/hyperlink" Target="https://github.com/PTO-ISA/SuperNPUBench/blob/main/benchmark/one-level-arch/kernels/basic_op/fa/fa_gmma_kchains.hpp#L40" TargetMode="External" Id="R11080a135419489a" /><Relationship Type="http://schemas.openxmlformats.org/officeDocument/2006/relationships/hyperlink" Target="https://github.com/PTO-ISA/SuperNPUBench/blob/main/benchmark/one-level-arch/kernels/basic_op/fa/fa_gmma_kchains.hpp#L40" TargetMode="External" Id="Rc55f177ff4bd44eb" /><Relationship Type="http://schemas.openxmlformats.org/officeDocument/2006/relationships/hyperlink" Target="https://github.com/PTO-ISA/SuperNPUBench/blob/main/benchmark/one-level-arch/kernels/basic_op/fa/fa_gmma_kchains.hpp#L40" TargetMode="External" Id="Ra56518e272694e17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b1f058550e8b4089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8d102fe776124435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079fc3fd621f4d3d" /><Relationship Type="http://schemas.openxmlformats.org/officeDocument/2006/relationships/hyperlink" Target="https://github.com/PTO-ISA/SuperNPUBench/blob/a96a6ec94723ce4d78ae8cb6938e6b65d6b7ac48/eval/perf_data/source_snapshots/20261019/fa_lowp_algD.hpp#L74" TargetMode="External" Id="Re700a0bb942648a5" /><Relationship Type="http://schemas.openxmlformats.org/officeDocument/2006/relationships/hyperlink" Target="https://github.com/PTO-ISA/SuperNPUBench/blob/main/benchmark/one-level-arch/kernels/basic_op/fa/fa_gmma_kchains.hpp#L40" TargetMode="External" Id="Rf582074930b54bd2" /><Relationship Type="http://schemas.openxmlformats.org/officeDocument/2006/relationships/hyperlink" Target="https://github.com/PTO-ISA/SuperNPUBench/blob/main/benchmark/one-level-arch/kernels/basic_op/fa/fa_gmma_kchains.hpp#L40" TargetMode="External" Id="Rb14cf330ddc24fda" /><Relationship Type="http://schemas.openxmlformats.org/officeDocument/2006/relationships/hyperlink" Target="https://github.com/PTO-ISA/SuperNPUBench/blob/main/benchmark/one-level-arch/kernels/basic_op/fa/fa_gmma_kchains.hpp#L40" TargetMode="External" Id="R4a54cfa65a5f4eff" /><Relationship Type="http://schemas.openxmlformats.org/officeDocument/2006/relationships/hyperlink" Target="https://github.com/PTO-ISA/SuperNPUBench/blob/main/benchmark/one-level-arch/kernels/basic_op/fa/fa_gmma_kchains.hpp#L40" TargetMode="External" Id="Rc1de46e1b53946bf" /><Relationship Type="http://schemas.openxmlformats.org/officeDocument/2006/relationships/hyperlink" Target="https://github.com/PTO-ISA/SuperNPUBench/blob/main/benchmark/one-level-arch/kernels/basic_op/fa/fa_gmma_kchains.hpp#L40" TargetMode="External" Id="Rccd84f4a30194c7f" /><Relationship Type="http://schemas.openxmlformats.org/officeDocument/2006/relationships/hyperlink" Target="https://github.com/PTO-ISA/SuperNPUBench/blob/main/benchmark/one-level-arch/kernels/basic_op/fa/fa_gmma_kchains.hpp#L40" TargetMode="External" Id="R7b222c31752749bf" /><Relationship Type="http://schemas.openxmlformats.org/officeDocument/2006/relationships/hyperlink" Target="https://github.com/PTO-ISA/SuperNPUBench/blob/main/benchmark/one-level-arch/kernels/basic_op/fa/fa_gmma_kchains.hpp#L40" TargetMode="External" Id="R7044d9fbc341437b" /><Relationship Type="http://schemas.openxmlformats.org/officeDocument/2006/relationships/hyperlink" Target="https://github.com/PTO-ISA/SuperNPUBench/blob/main/benchmark/one-level-arch/kernels/basic_op/fa/fa_gmma_kchains.hpp#L40" TargetMode="External" Id="R324a62b842a24360" /><Relationship Type="http://schemas.openxmlformats.org/officeDocument/2006/relationships/hyperlink" Target="https://github.com/PTO-ISA/SuperNPUBench/blob/main/benchmark/one-level-arch/kernels/basic_op/fa/fa_gmma_kchains.hpp#L40" TargetMode="External" Id="Rcd3856cca1f74473" /><Relationship Type="http://schemas.openxmlformats.org/officeDocument/2006/relationships/hyperlink" Target="https://github.com/PTO-ISA/SuperNPUBench/blob/main/benchmark/one-level-arch/kernels/basic_op/fa/fa_gmma_kchains.hpp#L40" TargetMode="External" Id="Rcc8a78027c3d44a5" /><Relationship Type="http://schemas.openxmlformats.org/officeDocument/2006/relationships/hyperlink" Target="https://github.com/PTO-ISA/SuperNPUBench/blob/main/benchmark/one-level-arch/kernels/basic_op/fa/fa_gmma_kchains.hpp#L40" TargetMode="External" Id="R3dd08971fc224b03" /><Relationship Type="http://schemas.openxmlformats.org/officeDocument/2006/relationships/hyperlink" Target="https://github.com/PTO-ISA/SuperNPUBench/blob/main/benchmark/one-level-arch/kernels/basic_op/fa/fa_gmma_kchains.hpp#L40" TargetMode="External" Id="Re154139d67be40b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.4399995803833" hidden="0" customWidth="1"/>
    <x:col min="2" max="2" width="12.220000267028809" hidden="0" customWidth="1"/>
    <x:col min="3" max="3" width="11.5600004196167" hidden="0" customWidth="1"/>
    <x:col min="4" max="4" width="7.559999942779541" hidden="0" customWidth="1"/>
    <x:col min="5" max="5" width="16.889999389648438" hidden="0" customWidth="1"/>
    <x:col min="6" max="6" width="9.109999656677246" hidden="0" customWidth="1"/>
    <x:col min="7" max="7" width="9.779999732971191" hidden="0" customWidth="1"/>
    <x:col min="8" max="8" width="9.329999923706055" hidden="0" customWidth="1"/>
    <x:col min="9" max="9" width="9.5600004196167" hidden="0" customWidth="1"/>
    <x:col min="10" max="10" width="9.5600004196167" hidden="0" customWidth="1"/>
    <x:col min="11" max="11" width="11.109999656677246" hidden="0" customWidth="1"/>
    <x:col min="12" max="12" width="11.779999732971191" hidden="0" customWidth="1"/>
    <x:col min="13" max="13" width="22" hidden="0" customWidth="1"/>
    <x:col min="14" max="14" width="24" hidden="0" customWidth="1"/>
    <x:col min="15" max="15" width="8.670000076293945" hidden="0" customWidth="1"/>
    <x:col min="16" max="16" width="10.220000267028809" hidden="0" customWidth="1"/>
    <x:col min="17" max="17" width="13.109999656677246" hidden="0" customWidth="1"/>
    <x:col min="18" max="18" width="30" hidden="0" customWidth="1"/>
    <x:col min="19" max="19" width="32.220001220703125" hidden="0" customWidth="1"/>
    <x:col min="20" max="20" width="44.439998626708984" hidden="0" customWidth="1"/>
    <x:col min="21" max="21" width="180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/>
      <x:c r="N1"/>
      <x:c r="O1" s="363"/>
      <x:c r="P1" s="363"/>
      <x:c r="Q1" s="363"/>
      <x:c r="R1" s="363"/>
      <x:c r="S1" s="363"/>
      <x:c r="T1" s="363"/>
      <x:c r="U1"/>
    </x:row>
    <x:row r="2" ht="19.5" customHeight="1">
      <x:c r="A2" s="364" t="str">
        <x:v>Markdown 算子配置与性能完整列表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/>
      <x:c r="N2"/>
      <x:c r="O2" s="364"/>
      <x:c r="P2" s="364"/>
      <x:c r="Q2" s="364"/>
      <x:c r="R2" s="364"/>
      <x:c r="S2" s="364"/>
      <x:c r="T2" s="364"/>
      <x:c r="U2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/>
      <x:c r="N3"/>
      <x:c r="O3" s="363"/>
      <x:c r="P3" s="363"/>
      <x:c r="Q3" s="363"/>
      <x:c r="R3" s="363"/>
      <x:c r="S3" s="363"/>
      <x:c r="T3" s="363"/>
      <x:c r="U3"/>
    </x:row>
    <x:row r="4" ht="21" customHeight="1">
      <x:c r="A4" s="365" t="str">
        <x:v>时钟频率 (GHz)</x:v>
      </x:c>
      <x:c r="B4" s="274" t="n">
        <x:v>1.6</x:v>
      </x:c>
      <x:c r="C4" s="363"/>
      <x:c r="D4" s="366" t="str">
        <x:v>用时公式</x:v>
      </x:c>
      <x:c r="E4" s="367" t="str">
        <x:v>= cycles / (1.6 × 1000) = cycles / 1600 μs</x:v>
      </x:c>
      <x:c r="F4" s="363"/>
      <x:c r="G4" s="368"/>
      <x:c r="H4" s="368"/>
      <x:c r="I4" s="368"/>
      <x:c r="J4" s="368"/>
      <x:c r="K4" s="368"/>
      <x:c r="L4" s="368"/>
      <x:c r="M4"/>
      <x:c r="N4"/>
      <x:c r="O4" s="368"/>
      <x:c r="P4" s="368"/>
      <x:c r="Q4" s="368"/>
      <x:c r="R4" s="368"/>
      <x:c r="S4" s="368"/>
      <x:c r="T4" s="368"/>
      <x:c r="U4"/>
    </x:row>
    <x:row r="5" ht="22.5" customHeight="1">
      <x:c r="A5" s="365" t="str">
        <x:v>FA MFU 公式（QK+PV）</x:v>
      </x:c>
      <x:c r="B5" s="274" t="str">
        <x:v>= [2 × Sq × Skv × HeadDim / Peak MAC/cycle] / cycles</x:v>
      </x:c>
      <x:c r="C5" s="363"/>
      <x:c r="D5" s="366" t="str">
        <x:v>实测映射</x:v>
      </x:c>
      <x:c r="E5" s="367" t="str">
        <x:v>HiF4/MXFP4 FA：AlgoD double-Q 使用 Sq=256；其他 FA 保留 Sq=128。DV200 仍为历史 Sq=128，AlgoD 行时间比不适用。</x:v>
      </x:c>
      <x:c r="F5" s="363"/>
      <x:c r="G5" s="368"/>
      <x:c r="H5" s="368"/>
      <x:c r="I5" s="368"/>
      <x:c r="J5" s="368"/>
      <x:c r="K5" s="368"/>
      <x:c r="L5" s="368"/>
      <x:c r="M5"/>
      <x:c r="N5"/>
      <x:c r="O5" s="368"/>
      <x:c r="P5" s="368"/>
      <x:c r="Q5" s="368"/>
      <x:c r="R5" s="368"/>
      <x:c r="S5" s="368"/>
      <x:c r="T5" s="368"/>
      <x:c r="U5" s="1026" t="str">
        <x:v>源码版本说明：https://github.com/PTO-ISA/SuperNPUBench/blob/a96a6ec94723ce4d78ae8cb6938e6b65d6b7ac48/eval/perf_data/source_snapshots/20261019/README.md</x:v>
      </x:c>
    </x:row>
    <x:row r="6" ht="33" customHeight="1">
      <x:c r="A6" s="365" t="str">
        <x:v>峰值 MAC/cycle</x:v>
      </x:c>
      <x:c r="B6" s="274" t="str">
        <x:v>BF16=4096; FP8=8192; MXFP4/HIF4=32768 MAC/cycle（峰值比 1:2:8）</x:v>
      </x:c>
      <x:c r="C6" s="363"/>
      <x:c r="D6" s="366" t="str">
        <x:v>运行配置</x:v>
      </x:c>
      <x:c r="E6" s="367" t="str">
        <x:v>Matmul shape 按 M/K/N。FP16 [288,7392,256] 已于2026-10-17更新：reuseB保留ELF重测最优；当前源码缺失cellA尾块定义，暂不能源码重编。其余算子保留历史数据，精确命令与证据见原始数据。</x:v>
      </x:c>
      <x:c r="F6" s="363"/>
      <x:c r="G6" s="368"/>
      <x:c r="H6" s="368"/>
      <x:c r="I6" s="368"/>
      <x:c r="J6" s="368"/>
      <x:c r="K6" s="368"/>
      <x:c r="L6" s="368"/>
      <x:c r="M6"/>
      <x:c r="N6"/>
      <x:c r="O6" s="368"/>
      <x:c r="P6" s="368"/>
      <x:c r="Q6" s="368"/>
      <x:c r="R6" s="368"/>
      <x:c r="S6" s="368"/>
      <x:c r="T6" s="368"/>
      <x:c r="U6"/>
    </x:row>
    <x:row r="7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  <x:c r="K7" s="363"/>
      <x:c r="L7" s="363"/>
      <x:c r="M7"/>
      <x:c r="N7"/>
      <x:c r="O7" s="363"/>
      <x:c r="P7" s="363"/>
      <x:c r="Q7" s="363"/>
      <x:c r="R7" s="363"/>
      <x:c r="S7" s="363"/>
      <x:c r="T7" s="363"/>
      <x:c r="U7"/>
    </x:row>
    <x:row r="8" ht="21" customHeight="1">
      <x:c r="A8" s="199" t="str">
        <x:v>算子配置</x:v>
      </x:c>
      <x:c r="B8" s="200" t="str">
        <x:v>Markdown 配置</x:v>
      </x:c>
      <x:c r="C8" s="200" t="str">
        <x:v>Markdown 配置</x:v>
      </x:c>
      <x:c r="D8" s="200" t="str">
        <x:v>Markdown 配置</x:v>
      </x:c>
      <x:c r="E8" s="200" t="str">
        <x:v>Markdown 配置</x:v>
      </x:c>
      <x:c r="F8" s="201" t="str">
        <x:v>Markdown 配置</x:v>
      </x:c>
      <x:c r="G8" s="209" t="str">
        <x:v>DV200</x:v>
      </x:c>
      <x:c r="H8" s="210" t="str">
        <x:v>DV200</x:v>
      </x:c>
      <x:c r="I8" s="216" t="str">
        <x:v>SuperScalarNPU</x:v>
      </x:c>
      <x:c r="J8" s="217" t="str">
        <x:v>本次 gfsim 实测与 MFU 计算</x:v>
      </x:c>
      <x:c r="K8" s="217" t="str">
        <x:v>本次 gfsim 实测与 MFU 计算</x:v>
      </x:c>
      <x:c r="L8" s="217" t="str">
        <x:v>本次 gfsim 实测与 MFU 计算</x:v>
      </x:c>
      <x:c r="M8" s="217"/>
      <x:c r="N8" s="217"/>
      <x:c r="O8" s="218" t="str">
        <x:v>本次 gfsim 实测与 MFU 计算</x:v>
      </x:c>
      <x:c r="P8" s="224" t="str">
        <x:v>对比</x:v>
      </x:c>
      <x:c r="Q8" s="230" t="str">
        <x:v>状态与复现</x:v>
      </x:c>
      <x:c r="R8" s="231" t="str">
        <x:v>状态与复现</x:v>
      </x:c>
      <x:c r="S8" s="232" t="str">
        <x:v>状态与复现</x:v>
      </x:c>
      <x:c r="T8" s="232" t="str">
        <x:v>状态与复现</x:v>
      </x:c>
      <x:c r="U8" s="232" t="str">
        <x:v>代码路径</x:v>
      </x:c>
    </x:row>
    <x:row r="9" ht="30" customHeight="1">
      <x:c r="A9" s="435" t="str">
        <x:v>category</x:v>
      </x:c>
      <x:c r="B9" s="435" t="str">
        <x:v>cube quant</x:v>
      </x:c>
      <x:c r="C9" s="435" t="str">
        <x:v>vector quant</x:v>
      </x:c>
      <x:c r="D9" s="435" t="str">
        <x:v>head-dim</x:v>
      </x:c>
      <x:c r="E9" s="435" t="str">
        <x:v>shape</x:v>
      </x:c>
      <x:c r="F9" s="435" t="str">
        <x:v>排布</x:v>
      </x:c>
      <x:c r="G9" s="436" t="str">
        <x:v>dv200 time (us)</x:v>
      </x:c>
      <x:c r="H9" s="436" t="str">
        <x:v>dv200 mfu</x:v>
      </x:c>
      <x:c r="I9" s="437" t="str">
        <x:v>cycles</x:v>
      </x:c>
      <x:c r="J9" s="437" t="str">
        <x:v>time (us)</x:v>
      </x:c>
      <x:c r="K9" s="437" t="str">
        <x:v>Peak MAC/cycle</x:v>
      </x:c>
      <x:c r="L9" s="437" t="str">
        <x:v>理论 cycles（Cube）</x:v>
      </x:c>
      <x:c r="M9" s="437" t="str">
        <x:v>理论 cycles（Vector）</x:v>
      </x:c>
      <x:c r="N9" s="437" t="str">
        <x:v>理论 cycles（实际下界）</x:v>
      </x:c>
      <x:c r="O9" s="437" t="str">
        <x:v>MFU</x:v>
      </x:c>
      <x:c r="P9" s="438" t="str">
        <x:v>time / dv200</x:v>
      </x:c>
      <x:c r="Q9" s="439" t="str">
        <x:v>状态</x:v>
      </x:c>
      <x:c r="R9" s="439" t="str">
        <x:v>算子配置 / Tile Size</x:v>
      </x:c>
      <x:c r="S9" s="439" t="str">
        <x:v>复现命令</x:v>
      </x:c>
      <x:c r="T9" s="439" t="str">
        <x:v>证据 / 说明</x:v>
      </x:c>
      <x:c r="U9" s="439" t="str">
        <x:v>函数体代码（main 优先）</x:v>
      </x:c>
    </x:row>
    <x:row r="10" ht="48" customHeight="1">
      <x:c r="A10" s="850" t="str">
        <x:v>FA</x:v>
      </x:c>
      <x:c r="B10" s="819" t="str">
        <x:v>mxfp4/hif4一阶</x:v>
      </x:c>
      <x:c r="C10" s="819" t="str">
        <x:v>bf16</x:v>
      </x:c>
      <x:c r="D10" s="819" t="n">
        <x:v>256</x:v>
      </x:c>
      <x:c r="E10" s="819" t="str">
        <x:v>[1,8,65536,256]</x:v>
      </x:c>
      <x:c r="F10" s="819" t="str">
        <x:v>BNSD</x:v>
      </x:c>
      <x:c r="G10" s="866" t="n">
        <x:v>217.23</x:v>
      </x:c>
      <x:c r="H10" s="867" t="n">
        <x:v>0.8045</x:v>
      </x:c>
      <x:c r="I10" s="868" t="n">
        <x:f>'FA原始数据'!J12</x:f>
        <x:v>285589</x:v>
      </x:c>
      <x:c r="J10" s="869" t="n">
        <x:f>'FA原始数据'!K12</x:f>
        <x:v>178.493125</x:v>
      </x:c>
      <x:c r="K10" s="868" t="n">
        <x:f>'FA原始数据'!L12</x:f>
        <x:v>32768</x:v>
      </x:c>
      <x:c r="L10" s="868" t="n">
        <x:f>'FA原始数据'!M12</x:f>
        <x:v>262144</x:v>
      </x:c>
      <x:c r="M10" s="868" t="n">
        <x:f>'FA原始数据'!N12</x:f>
        <x:v>138242</x:v>
      </x:c>
      <x:c r="N10" s="868" t="n">
        <x:f>MAX(L10,M10)</x:f>
        <x:v>262144</x:v>
      </x:c>
      <x:c r="O10" s="867" t="n">
        <x:f>'FA原始数据'!O12</x:f>
        <x:v>0.9179065020011274</x:v>
      </x:c>
      <x:c r="P10" s="870" t="str">
        <x:f>'FA原始数据'!Q12</x:f>
        <x:v>n.a.</x:v>
      </x:c>
      <x:c r="Q10" s="918" t="str">
        <x:f>'FA原始数据'!R12</x:f>
        <x:v>完成，有告警</x:v>
      </x:c>
      <x:c r="R10" s="939" t="str">
        <x:v>原记录
AlgoD double-Q; Sq=256; Skv=65536
QD=VD=256; Tm=128; Tk=256; MXFP4/BF16</x:v>
      </x:c>
      <x:c r="S10" s="939" t="str">
        <x:f>'FA原始数据'!S12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/Users/blacktraker/Programming/gitproj/DV4/SuperNPUBench/outputs/algoc_algod_doubleq_compare_20261019/algD_D256.elf</x:v>
      </x:c>
      <x:c r="T10" s="939" t="str">
        <x:f>'FA原始数据'!T12</x:f>
        <x:v>2026-10-19 AlgoD double-Q。实际MXFP4，未单独验证HIF4。零输入、未做RES_CHECK。wakeup error=26，周期仅供参考。MFU按Sq=256；dv200仍为历史Sq=128，时间比不适用。model=bdbafed55613+ASSEMBLE修复；compiler=e6a31efb4cfb。ELF SHA256=e2e39ffbb1f9bfcb9754c8798c89208598f476205e28d4278da05240c40bc65b。日志=/Users/blacktraker/Programming/gitproj/DV4/SuperNPUBench/outputs/algoc_algod_doubleq_compare_20261019/algD_D256.log。驱动=/Users/blacktraker/Programming/gitproj/DV4/SuperNPUBench/outputs/algoc_algod_doubleq_compare_20261019/compare.cpp</x:v>
      </x:c>
      <x:c r="U10" s="1263" t="str">
        <x:v>https://github.com/PTO-ISA/SuperNPUBench/blob/a96a6ec94723ce4d78ae8cb6938e6b65d6b7ac48/eval/perf_data/source_snapshots/20261019/fa_lowp_algD.hpp#L74</x:v>
      </x:c>
    </x:row>
    <x:row r="11" ht="48" customHeight="1">
      <x:c r="A11" s="1301" t="str">
        <x:v>FA</x:v>
      </x:c>
      <x:c r="B11" s="1302" t="str">
        <x:v>mxfp4/hif4一阶</x:v>
      </x:c>
      <x:c r="C11" s="1302" t="str">
        <x:v>bf16</x:v>
      </x:c>
      <x:c r="D11" s="1302" t="n">
        <x:v>256</x:v>
      </x:c>
      <x:c r="E11" s="1302" t="str">
        <x:v>[1,8,65536,256]</x:v>
      </x:c>
      <x:c r="F11" s="1302" t="str">
        <x:v>BNSD</x:v>
      </x:c>
      <x:c r="G11" s="1303" t="n">
        <x:v>217.23</x:v>
      </x:c>
      <x:c r="H11" s="1304" t="n">
        <x:v>0.8045</x:v>
      </x:c>
      <x:c r="I11" s="1305" t="n">
        <x:f>IF('FA原始数据'!J35="","",'FA原始数据'!J35)</x:f>
        <x:v>1088358</x:v>
      </x:c>
      <x:c r="J11" s="1306" t="n">
        <x:f>IF(I11="","",'FA原始数据'!K35)</x:f>
        <x:v>680.22375</x:v>
      </x:c>
      <x:c r="K11" s="1305" t="n">
        <x:f>'FA原始数据'!L35</x:f>
        <x:v>32768</x:v>
      </x:c>
      <x:c r="L11" s="1305" t="n">
        <x:f>'FA原始数据'!M35</x:f>
        <x:v>262144</x:v>
      </x:c>
      <x:c r="M11" s="1305" t="n">
        <x:f>IF('FA原始数据'!N35="","",'FA原始数据'!N35)</x:f>
        <x:v>138244</x:v>
      </x:c>
      <x:c r="N11" s="1305" t="n">
        <x:f>IF(I11="","",MAX(L11,M11))</x:f>
        <x:v>262144</x:v>
      </x:c>
      <x:c r="O11" s="1307" t="n">
        <x:f>IF(I11="","",'FA原始数据'!O35)</x:f>
        <x:v>0.2408619222718995</x:v>
      </x:c>
      <x:c r="P11" s="1308" t="str">
        <x:v>n.a.</x:v>
      </x:c>
      <x:c r="Q11" s="1309" t="str">
        <x:f>'FA原始数据'!R35</x:f>
        <x:v>完成，有告警</x:v>
      </x:c>
      <x:c r="R11" s="1310" t="str">
        <x:f>'FA原始数据'!I35</x:f>
        <x:v>AlgoD double-Q; Sq=256; Skv=65536; QD=VD=256
Tm=128; Tk=256; 新命令 BW156/lat300; diver=10000; size-class关</x:v>
      </x:c>
      <x:c r="S11" s="1310" t="str">
        <x:f>'FA原始数据'!S35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/Users/blacktraker/Programming/gitproj/DV4/SuperNPUBench/outputs/algoc_algod_doubleq_compare_20261019/algD_D256.elf</x:v>
      </x:c>
      <x:c r="T11" s="1310" t="str">
        <x:f>'FA原始数据'!T35</x:f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e2e39ffbb1f9bfcb9754c8798c89208598f476205e28d4278da05240c40bc65b；ELF=/Users/blacktraker/Programming/gitproj/DV4/SuperNPUBench/outputs/algoc_algod_doubleq_compare_20261019/algD_D256.elf；log=/Users/blacktraker/Programming/gitproj/DV4/SuperNPUBench/outputs/fa_lat300_diver10000_20261020/row10.log。wakeup error=24。有告警，完成周期仅供参考。 实际MXFP4，未单独验证HIF4。零输入，未做RES_CHECK。Sq256与历史DV200 Sq128口径不同，时间比不适用。原GFSIM_*环境保留，见复现命令。</x:v>
      </x:c>
      <x:c r="U11" s="1311" t="str">
        <x:f>'FA原始数据'!U35</x:f>
        <x:v>https://github.com/PTO-ISA/SuperNPUBench/blob/a96a6ec94723ce4d78ae8cb6938e6b65d6b7ac48/eval/perf_data/source_snapshots/20261019/fa_lowp_algD.hpp#L74</x:v>
      </x:c>
    </x:row>
    <x:row r="12" ht="48" customHeight="1">
      <x:c r="A12" s="851" t="str">
        <x:v>FA</x:v>
      </x:c>
      <x:c r="B12" s="860" t="str">
        <x:v>mxfp4/hif4一阶</x:v>
      </x:c>
      <x:c r="C12" s="860" t="str">
        <x:v>bf16</x:v>
      </x:c>
      <x:c r="D12" s="860" t="n">
        <x:v>192</x:v>
      </x:c>
      <x:c r="E12" s="860" t="str">
        <x:v>[1,8,65536,128+64]</x:v>
      </x:c>
      <x:c r="F12" s="860" t="str">
        <x:v>BNSD</x:v>
      </x:c>
      <x:c r="G12" s="871" t="n">
        <x:v>133.76</x:v>
      </x:c>
      <x:c r="H12" s="872" t="n">
        <x:v>0.8166</x:v>
      </x:c>
      <x:c r="I12" s="873"/>
      <x:c r="J12" s="874"/>
      <x:c r="K12" s="873" t="n">
        <x:f>'FA原始数据'!L13</x:f>
        <x:v>32768</x:v>
      </x:c>
      <x:c r="L12" s="873"/>
      <x:c r="M12" s="873"/>
      <x:c r="N12" s="873"/>
      <x:c r="O12" s="872"/>
      <x:c r="P12" s="875"/>
      <x:c r="Q12" s="919" t="str">
        <x:f>'FA原始数据'!R13</x:f>
        <x:v>ASSERT_FAIL</x:v>
      </x:c>
      <x:c r="R12" s="940" t="str">
        <x:v>原记录
AlgoD double-Q; Sq=256; Skv=65536
QD=VD=192; Tm=128; Tk=256; MXFP4/BF16</x:v>
      </x:c>
      <x:c r="S12" s="940" t="str">
        <x:f>'FA原始数据'!S13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/Users/blacktraker/Programming/gitproj/DV4/SuperNPUBench/outputs/algoc_algod_doubleq_compare_20261019/algD_D192.elf</x:v>
      </x:c>
      <x:c r="T12" s="940" t="str">
        <x:f>'FA原始数据'!T13</x:f>
        <x:v>2026-10-19 AlgoD double-Q。实际MXFP4，未单独验证HIF4。零输入、未做RES_CHECK。无有效周期。ASSERTION FAILED: rowBits != 0u &amp;&amp; (static_cast&lt;uint64_t&gt;(capacity) * 8u) % rowBits == 0u。MFU按Sq=256；dv200仍为历史Sq=128，时间比不适用。model=bdbafed55613+ASSEMBLE修复；compiler=e6a31efb4cfb。ELF SHA256=ded77503f852a94fc338aab627869ae4eef44e1d6c4fd436e452ac67fae76e92。日志=/Users/blacktraker/Programming/gitproj/DV4/SuperNPUBench/outputs/algoc_algod_doubleq_compare_20261019/algD_D192.log。驱动=/Users/blacktraker/Programming/gitproj/DV4/SuperNPUBench/outputs/algoc_algod_doubleq_compare_20261019/compare.cpp</x:v>
      </x:c>
      <x:c r="U12" s="1263" t="str">
        <x:v>https://github.com/PTO-ISA/SuperNPUBench/blob/a96a6ec94723ce4d78ae8cb6938e6b65d6b7ac48/eval/perf_data/source_snapshots/20261019/fa_lowp_algD.hpp#L74</x:v>
      </x:c>
    </x:row>
    <x:row r="13" ht="48" customHeight="1">
      <x:c r="A13" s="1317" t="str">
        <x:v>FA</x:v>
      </x:c>
      <x:c r="B13" s="1318" t="str">
        <x:v>mxfp4/hif4一阶</x:v>
      </x:c>
      <x:c r="C13" s="1318" t="str">
        <x:v>bf16</x:v>
      </x:c>
      <x:c r="D13" s="1318" t="n">
        <x:v>192</x:v>
      </x:c>
      <x:c r="E13" s="1318" t="str">
        <x:v>[1,8,65536,128+64]</x:v>
      </x:c>
      <x:c r="F13" s="1318" t="str">
        <x:v>BNSD</x:v>
      </x:c>
      <x:c r="G13" s="1319" t="n">
        <x:v>133.76</x:v>
      </x:c>
      <x:c r="H13" s="1320" t="n">
        <x:v>0.8166</x:v>
      </x:c>
      <x:c r="I13" s="1321" t="str">
        <x:f>IF('FA原始数据'!J36="","",'FA原始数据'!J36)</x:f>
      </x:c>
      <x:c r="J13" s="1322" t="str">
        <x:f>IF(I13="","",'FA原始数据'!K36)</x:f>
      </x:c>
      <x:c r="K13" s="1321" t="n">
        <x:f>'FA原始数据'!L36</x:f>
        <x:v>32768</x:v>
      </x:c>
      <x:c r="L13" s="1321" t="n">
        <x:f>'FA原始数据'!M36</x:f>
        <x:v>196608</x:v>
      </x:c>
      <x:c r="M13" s="1321" t="str">
        <x:f>IF('FA原始数据'!N36="","",'FA原始数据'!N36)</x:f>
      </x:c>
      <x:c r="N13" s="1321" t="str">
        <x:f>IF(I13="","",MAX(L13,M13))</x:f>
      </x:c>
      <x:c r="O13" s="1323" t="str">
        <x:f>IF(I13="","",'FA原始数据'!O36)</x:f>
      </x:c>
      <x:c r="P13" s="1324" t="str">
        <x:v>n.a.</x:v>
      </x:c>
      <x:c r="Q13" s="1325" t="str">
        <x:f>'FA原始数据'!R36</x:f>
        <x:v>ASSERT_FAIL</x:v>
      </x:c>
      <x:c r="R13" s="1326" t="str">
        <x:f>'FA原始数据'!I36</x:f>
        <x:v>AlgoD double-Q; Sq=256; Skv=65536; QD=VD=192
Tm=128; Tk=256; 新命令 BW156/lat300; diver=10000; size-class关</x:v>
      </x:c>
      <x:c r="S13" s="1326" t="str">
        <x:f>'FA原始数据'!S36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/Users/blacktraker/Programming/gitproj/DV4/SuperNPUBench/outputs/algoc_algod_doubleq_compare_20261019/algD_D192.elf</x:v>
      </x:c>
      <x:c r="T13" s="1326" t="str">
        <x:f>'FA原始数据'!T36</x:f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ded77503f852a94fc338aab627869ae4eef44e1d6c4fd436e452ac67fae76e92；ELF=/Users/blacktraker/Programming/gitproj/DV4/SuperNPUBench/outputs/algoc_algod_doubleq_compare_20261019/algD_D192.elf；log=/Users/blacktraker/Programming/gitproj/DV4/SuperNPUBench/outputs/fa_lat300_diver10000_20261020/row11.log。wakeup error=0。[gfsim] caught std::exception: ASSERTION FAILED: rowBits != 0u &amp;&amp; (static_cast&lt;uint64_t&gt;(capacity) * 8u) % rowBits == 0u 实际MXFP4，未单独验证HIF4。零输入，未做RES_CHECK。Sq256与历史DV200 Sq128口径不同，时间比不适用。原GFSIM_*环境保留，见复现命令。</x:v>
      </x:c>
      <x:c r="U13" s="1311" t="str">
        <x:f>'FA原始数据'!U36</x:f>
        <x:v>https://github.com/PTO-ISA/SuperNPUBench/blob/a96a6ec94723ce4d78ae8cb6938e6b65d6b7ac48/eval/perf_data/source_snapshots/20261019/fa_lowp_algD.hpp#L74</x:v>
      </x:c>
    </x:row>
    <x:row r="14" ht="48" customHeight="1">
      <x:c r="A14" s="851" t="str">
        <x:v>FA</x:v>
      </x:c>
      <x:c r="B14" s="860" t="str">
        <x:v>mxfp4/hif4一阶</x:v>
      </x:c>
      <x:c r="C14" s="860" t="str">
        <x:v>bf16</x:v>
      </x:c>
      <x:c r="D14" s="860" t="n">
        <x:v>128</x:v>
      </x:c>
      <x:c r="E14" s="860" t="str">
        <x:v>[1,8,65536,128]</x:v>
      </x:c>
      <x:c r="F14" s="860" t="str">
        <x:v>BNSD</x:v>
      </x:c>
      <x:c r="G14" s="871" t="n">
        <x:v>123.79</x:v>
      </x:c>
      <x:c r="H14" s="872" t="n">
        <x:v>0.7059</x:v>
      </x:c>
      <x:c r="I14" s="873" t="n">
        <x:f>'FA原始数据'!J14</x:f>
        <x:v>143998</x:v>
      </x:c>
      <x:c r="J14" s="874" t="n">
        <x:f>'FA原始数据'!K14</x:f>
        <x:v>89.99875</x:v>
      </x:c>
      <x:c r="K14" s="873" t="n">
        <x:f>'FA原始数据'!L14</x:f>
        <x:v>32768</x:v>
      </x:c>
      <x:c r="L14" s="873" t="n">
        <x:f>'FA原始数据'!M14</x:f>
        <x:v>131072</x:v>
      </x:c>
      <x:c r="M14" s="873" t="n">
        <x:f>'FA原始数据'!N14</x:f>
        <x:v>137732</x:v>
      </x:c>
      <x:c r="N14" s="873" t="n">
        <x:f>MAX(L14,M14)</x:f>
        <x:v>137732</x:v>
      </x:c>
      <x:c r="O14" s="872" t="n">
        <x:f>'FA原始数据'!O14</x:f>
        <x:v>0.9102348643731163</x:v>
      </x:c>
      <x:c r="P14" s="875" t="str">
        <x:f>'FA原始数据'!Q14</x:f>
        <x:v>n.a.</x:v>
      </x:c>
      <x:c r="Q14" s="919" t="str">
        <x:f>'FA原始数据'!R14</x:f>
        <x:v>完成，有告警</x:v>
      </x:c>
      <x:c r="R14" s="940" t="str">
        <x:v>原记录
AlgoD double-Q; Sq=256; Skv=65536
QD=VD=128; Tm=128; Tk=256; MXFP4/BF16</x:v>
      </x:c>
      <x:c r="S14" s="940" t="str">
        <x:f>'FA原始数据'!S14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/Users/blacktraker/Programming/gitproj/DV4/SuperNPUBench/outputs/algoc_algod_doubleq_compare_20261019/algD_D128.elf</x:v>
      </x:c>
      <x:c r="T14" s="940" t="str">
        <x:f>'FA原始数据'!T14</x:f>
        <x:v>2026-10-19 AlgoD double-Q。实际MXFP4，未单独验证HIF4。零输入、未做RES_CHECK。wakeup error=75，周期仅供参考。MFU按Sq=256；dv200仍为历史Sq=128，时间比不适用。model=bdbafed55613+ASSEMBLE修复；compiler=e6a31efb4cfb。ELF SHA256=db317107d203cac3b782cd45085b035ff1e3af712f0b63e0bf5ddadee944eb38。日志=/Users/blacktraker/Programming/gitproj/DV4/SuperNPUBench/outputs/algoc_algod_doubleq_compare_20261019/algD_D128.log。驱动=/Users/blacktraker/Programming/gitproj/DV4/SuperNPUBench/outputs/algoc_algod_doubleq_compare_20261019/compare.cpp</x:v>
      </x:c>
      <x:c r="U14" s="1263" t="str">
        <x:v>https://github.com/PTO-ISA/SuperNPUBench/blob/a96a6ec94723ce4d78ae8cb6938e6b65d6b7ac48/eval/perf_data/source_snapshots/20261019/fa_lowp_algD.hpp#L74</x:v>
      </x:c>
    </x:row>
    <x:row r="15" ht="48" customHeight="1">
      <x:c r="A15" s="1317" t="str">
        <x:v>FA</x:v>
      </x:c>
      <x:c r="B15" s="1318" t="str">
        <x:v>mxfp4/hif4一阶</x:v>
      </x:c>
      <x:c r="C15" s="1318" t="str">
        <x:v>bf16</x:v>
      </x:c>
      <x:c r="D15" s="1318" t="n">
        <x:v>128</x:v>
      </x:c>
      <x:c r="E15" s="1318" t="str">
        <x:v>[1,8,65536,128]</x:v>
      </x:c>
      <x:c r="F15" s="1318" t="str">
        <x:v>BNSD</x:v>
      </x:c>
      <x:c r="G15" s="1319" t="n">
        <x:v>123.79</x:v>
      </x:c>
      <x:c r="H15" s="1320" t="n">
        <x:v>0.7059</x:v>
      </x:c>
      <x:c r="I15" s="1321" t="n">
        <x:f>IF('FA原始数据'!J37="","",'FA原始数据'!J37)</x:f>
        <x:v>187835</x:v>
      </x:c>
      <x:c r="J15" s="1322" t="n">
        <x:f>IF(I15="","",'FA原始数据'!K37)</x:f>
        <x:v>117.396875</x:v>
      </x:c>
      <x:c r="K15" s="1321" t="n">
        <x:f>'FA原始数据'!L37</x:f>
        <x:v>32768</x:v>
      </x:c>
      <x:c r="L15" s="1321" t="n">
        <x:f>'FA原始数据'!M37</x:f>
        <x:v>131072</x:v>
      </x:c>
      <x:c r="M15" s="1321" t="n">
        <x:f>IF('FA原始数据'!N37="","",'FA原始数据'!N37)</x:f>
        <x:v>137734</x:v>
      </x:c>
      <x:c r="N15" s="1321" t="n">
        <x:f>IF(I15="","",MAX(L15,M15))</x:f>
        <x:v>137734</x:v>
      </x:c>
      <x:c r="O15" s="1323" t="n">
        <x:f>IF(I15="","",'FA原始数据'!O37)</x:f>
        <x:v>0.6978039236564005</x:v>
      </x:c>
      <x:c r="P15" s="1324" t="str">
        <x:v>n.a.</x:v>
      </x:c>
      <x:c r="Q15" s="1328" t="str">
        <x:f>'FA原始数据'!R37</x:f>
        <x:v>完成，有告警</x:v>
      </x:c>
      <x:c r="R15" s="1326" t="str">
        <x:f>'FA原始数据'!I37</x:f>
        <x:v>AlgoD double-Q; Sq=256; Skv=65536; QD=VD=128
Tm=128; Tk=256; 新命令 BW156/lat300; diver=10000; size-class关</x:v>
      </x:c>
      <x:c r="S15" s="1326" t="str">
        <x:f>'FA原始数据'!S37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/Users/blacktraker/Programming/gitproj/DV4/SuperNPUBench/outputs/algoc_algod_doubleq_compare_20261019/algD_D128.elf</x:v>
      </x:c>
      <x:c r="T15" s="1326" t="str">
        <x:f>'FA原始数据'!T37</x:f>
        <x:v>2026-10-20 同ELF新命令对比，未重编。BW156/lat300，read/write_latency_diver=10000，SharedTReg带宽128B/cycle，tile_size_class_enable=false；shared含scale上限=94208B。model=bdbafed55613955d0b8b27438e9e7d2a72dfccd2；gfsim SHA256=6fe43c9f135981a296b515a46475a71649a4227fdaf1eb2f15abbd1f5930bf93；ELF SHA256=db317107d203cac3b782cd45085b035ff1e3af712f0b63e0bf5ddadee944eb38；ELF=/Users/blacktraker/Programming/gitproj/DV4/SuperNPUBench/outputs/algoc_algod_doubleq_compare_20261019/algD_D128.elf；log=/Users/blacktraker/Programming/gitproj/DV4/SuperNPUBench/outputs/fa_lat300_diver10000_20261020/row12.log。wakeup error=36。有告警，完成周期仅供参考。 实际MXFP4，未单独验证HIF4。零输入，未做RES_CHECK。Sq256与历史DV200 Sq128口径不同，时间比不适用。原GFSIM_*环境保留，见复现命令。</x:v>
      </x:c>
      <x:c r="U15" s="1311" t="str">
        <x:f>'FA原始数据'!U37</x:f>
        <x:v>https://github.com/PTO-ISA/SuperNPUBench/blob/a96a6ec94723ce4d78ae8cb6938e6b65d6b7ac48/eval/perf_data/source_snapshots/20261019/fa_lowp_algD.hpp#L74</x:v>
      </x:c>
    </x:row>
    <x:row r="16" ht="48" customHeight="1">
      <x:c r="A16" s="851" t="str">
        <x:v>FA</x:v>
      </x:c>
      <x:c r="B16" s="860" t="str">
        <x:v>mxfp4/hif4一阶</x:v>
      </x:c>
      <x:c r="C16" s="860" t="str">
        <x:v>bf16</x:v>
      </x:c>
      <x:c r="D16" s="860" t="n">
        <x:v>64</x:v>
      </x:c>
      <x:c r="E16" s="860" t="str">
        <x:v>[1,8,65536,64]</x:v>
      </x:c>
      <x:c r="F16" s="860" t="str">
        <x:v>BNSD</x:v>
      </x:c>
      <x:c r="G16" s="871" t="n">
        <x:v>114.52</x:v>
      </x:c>
      <x:c r="H16" s="872" t="n">
        <x:v>0.3815</x:v>
      </x:c>
      <x:c r="I16" s="873" t="n">
        <x:f>'FA原始数据'!J15</x:f>
        <x:v>143253</x:v>
      </x:c>
      <x:c r="J16" s="874" t="n">
        <x:f>'FA原始数据'!K15</x:f>
        <x:v>89.533125</x:v>
      </x:c>
      <x:c r="K16" s="873" t="n">
        <x:f>'FA原始数据'!L15</x:f>
        <x:v>32768</x:v>
      </x:c>
      <x:c r="L16" s="873" t="n">
        <x:f>'FA原始数据'!M15</x:f>
        <x:v>65536</x:v>
      </x:c>
      <x:c r="M16" s="873" t="n">
        <x:f>'FA原始数据'!N15</x:f>
        <x:v>137476</x:v>
      </x:c>
      <x:c r="N16" s="873" t="n">
        <x:f>MAX(L16,M16)</x:f>
        <x:v>137476</x:v>
      </x:c>
      <x:c r="O16" s="872" t="n">
        <x:f>'FA原始数据'!O15</x:f>
        <x:v>0.45748431097429026</x:v>
      </x:c>
      <x:c r="P16" s="875" t="str">
        <x:f>'FA原始数据'!Q15</x:f>
        <x:v>n.a.</x:v>
      </x:c>
      <x:c r="Q16" s="919" t="str">
        <x:f>'FA原始数据'!R15</x:f>
        <x:v>完成，有告警</x:v>
      </x:c>
      <x:c r="R16" s="940" t="str">
        <x:v>原记录
AlgoD double-Q; Sq=256; Skv=65536
QD=VD=64; Tm=128; Tk=256; MXFP4/BF16</x:v>
      </x:c>
      <x:c r="S16" s="940" t="str">
        <x:f>'FA原始数据'!S15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/Users/blacktraker/Programming/gitproj/DV4/SuperNPUBench/outputs/algoc_algod_doubleq_compare_20261019/algD_D64.elf</x:v>
      </x:c>
      <x:c r="T16" s="940" t="str">
        <x:f>'FA原始数据'!T15</x:f>
        <x:v>2026-10-19 AlgoD double-Q。实际MXFP4，未单独验证HIF4。零输入、未做RES_CHECK。wakeup error=73，周期仅供参考。MFU按Sq=256；dv200仍为历史Sq=128，时间比不适用。model=bdbafed55613+ASSEMBLE修复；compiler=e6a31efb4cfb。ELF SHA256=bf9b0bd70ded13a4c02e0c4ed3207d72f2f26d4d339f139114b7562afc2773db。日志=/Users/blacktraker/Programming/gitproj/DV4/SuperNPUBench/outputs/algoc_algod_doubleq_compare_20261019/algD_D64.log。驱动=/Users/blacktraker/Programming/gitproj/DV4/SuperNPUBench/outputs/algoc_algod_doubleq_compare_20261019/compare.cpp</x:v>
      </x:c>
      <x:c r="U16" s="1263" t="str">
        <x:v>https://github.com/PTO-ISA/SuperNPUBench/blob/a96a6ec94723ce4d78ae8cb6938e6b65d6b7ac48/eval/perf_data/source_snapshots/20261019/fa_lowp_algD.hpp#L74</x:v>
      </x:c>
    </x:row>
    <x:row r="17" ht="48" customHeight="1">
      <x:c r="A17" s="1317" t="str">
        <x:v>FA</x:v>
      </x:c>
      <x:c r="B17" s="1318" t="str">
        <x:v>mxfp4/hif4一阶</x:v>
      </x:c>
      <x:c r="C17" s="1318" t="str">
        <x:v>bf16</x:v>
      </x:c>
      <x:c r="D17" s="1318" t="n">
        <x:v>64</x:v>
      </x:c>
      <x:c r="E17" s="1318" t="str">
        <x:v>[1,8,65536,64]</x:v>
      </x:c>
      <x:c r="F17" s="1318" t="str">
        <x:v>BNSD</x:v>
      </x:c>
      <x:c r="G17" s="1319" t="n">
        <x:v>114.52</x:v>
      </x:c>
      <x:c r="H17" s="1320" t="n">
        <x:v>0.3815</x:v>
      </x:c>
      <x:c r="I17" s="1321" t="n">
        <x:f>IF('FA原始数据'!J38="","",'FA原始数据'!J38)</x:f>
        <x:v>187801</x:v>
      </x:c>
      <x:c r="J17" s="1322" t="n">
        <x:f>IF(I17="","",'FA原始数据'!K38)</x:f>
        <x:v>117.375625</x:v>
      </x:c>
      <x:c r="K17" s="1321" t="n">
        <x:f>'FA原始数据'!L38</x:f>
        <x:v>32768</x:v>
      </x:c>
      <x:c r="L17" s="1321" t="n">
        <x:f>'FA原始数据'!M38</x:f>
        <x:v>65536</x:v>
      </x:c>
      <x:c r="M17" s="1321" t="n">
        <x:f>IF('FA原始数据'!N38="","",'FA原始数据'!N38)</x:f>
        <x:v>137460</x:v>
      </x:c>
      <x:c r="N17" s="1321" t="n">
        <x:f>IF(I17="","",MAX(L17,M17))</x:f>
        <x:v>137460</x:v>
      </x:c>
      <x:c r="O17" s="1323" t="n">
        <x:f>IF(I17="","",'FA原始数据'!O38)</x:f>
        <x:v>0.34896512798121415</x:v>
      </x:c>
      <x:c r="P17" s="1324" t="str">
        <x:v>n.a.</x:v>
      </x:c>
      <x:c r="Q17" s="1328" t="str">
        <x:f>'FA原始数据'!R38</x:f>
        <x:v>完成，有告警</x:v>
      </x:c>
      <x:c r="R17" s="1326" t="str">
        <x:f>'FA原始数据'!I38</x:f>
        <x:v>AlgoD double-Q; Sq=256; Skv=65536; QD=VD=64
Tm=128; Tk=256; 新命令 BW156/lat300; diver=10000; size-class关</x:v>
      </x:c>
      <x:c r="S17" s="1326" t="str">
        <x:f>'FA原始数据'!S38</x:f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/Users/blacktraker/Programming/gitproj/DV4/SuperNPUBench/outputs/algoc_algod_doubleq_compare_20261019/algD_D64.elf</x:v>
      </x:c>
      <x:c r="T17" s="1326" t="str">
        <x:f>'FA原始数据'!T38</x:f>
        <x:v>2026-10-20 同ELF新命令对比，未重编。BW156/lat300，read/write_latency_diver=10000，SharedTReg带宽128B/cycle，tile_size_class_enable=false；shared含scale上限=61440B。model=bdbafed55613955d0b8b27438e9e7d2a72dfccd2；gfsim SHA256=6fe43c9f135981a296b515a46475a71649a4227fdaf1eb2f15abbd1f5930bf93；ELF SHA256=bf9b0bd70ded13a4c02e0c4ed3207d72f2f26d4d339f139114b7562afc2773db；ELF=/Users/blacktraker/Programming/gitproj/DV4/SuperNPUBench/outputs/algoc_algod_doubleq_compare_20261019/algD_D64.elf；log=/Users/blacktraker/Programming/gitproj/DV4/SuperNPUBench/outputs/fa_lat300_diver10000_20261020/row13.log。wakeup error=104。有告警，完成周期仅供参考。 实际MXFP4，未单独验证HIF4。零输入，未做RES_CHECK。Sq256与历史DV200 Sq128口径不同，时间比不适用。原GFSIM_*环境保留，见复现命令。</x:v>
      </x:c>
      <x:c r="U17" s="1311" t="str">
        <x:f>'FA原始数据'!U38</x:f>
        <x:v>https://github.com/PTO-ISA/SuperNPUBench/blob/a96a6ec94723ce4d78ae8cb6938e6b65d6b7ac48/eval/perf_data/source_snapshots/20261019/fa_lowp_algD.hpp#L74</x:v>
      </x:c>
    </x:row>
    <x:row r="18" ht="48" customHeight="1">
      <x:c r="A18" s="852" t="str">
        <x:v>FA</x:v>
      </x:c>
      <x:c r="B18" s="528" t="str">
        <x:v>fp8</x:v>
      </x:c>
      <x:c r="C18" s="528" t="str">
        <x:v>fp32</x:v>
      </x:c>
      <x:c r="D18" s="528" t="n">
        <x:v>256</x:v>
      </x:c>
      <x:c r="E18" s="528" t="str">
        <x:v>[1,8192,8,256]</x:v>
      </x:c>
      <x:c r="F18" s="528" t="str">
        <x:v>BSND</x:v>
      </x:c>
      <x:c r="G18" s="876" t="n">
        <x:v>46.82</x:v>
      </x:c>
      <x:c r="H18" s="877" t="n">
        <x:v>0.9331</x:v>
      </x:c>
      <x:c r="I18" s="878" t="n">
        <x:f>'FA原始数据'!J17</x:f>
        <x:v>69022</x:v>
      </x:c>
      <x:c r="J18" s="879" t="n">
        <x:f>'FA原始数据'!K17</x:f>
        <x:v>43.13875</x:v>
      </x:c>
      <x:c r="K18" s="878" t="n">
        <x:f>'FA原始数据'!L17</x:f>
        <x:v>8192</x:v>
      </x:c>
      <x:c r="L18" s="878" t="n">
        <x:f>'FA原始数据'!M17</x:f>
        <x:v>65536</x:v>
      </x:c>
      <x:c r="M18" s="878" t="n">
        <x:f>'FA原始数据'!N17</x:f>
        <x:v>17152</x:v>
      </x:c>
      <x:c r="N18" s="878" t="n">
        <x:f>MAX(L18,M18)</x:f>
        <x:v>65536</x:v>
      </x:c>
      <x:c r="O18" s="877" t="n">
        <x:f>'FA原始数据'!O17</x:f>
        <x:v>0.9494943641157891</x:v>
      </x:c>
      <x:c r="P18" s="880" t="n">
        <x:f>'FA原始数据'!Q17</x:f>
        <x:v>0.9213744126441692</x:v>
      </x:c>
      <x:c r="Q18" s="920" t="str">
        <x:f>'FA原始数据'!R17</x:f>
        <x:v>PASS</x:v>
      </x:c>
      <x:c r="R18" s="941" t="str">
        <x:v>原记录
fa_gmma_opt; Sq=128; Skv=8192
QD=VD=256; Tm=128; Tk=128; ASL</x:v>
      </x:c>
      <x:c r="S18" s="941" t="str">
        <x:f>'FA原始数据'!S17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/Users/blacktraker/Programming/gitproj/DV4/SuperNPUBench/outputs/fa_kchains_softmax_rollback_20261019/cases/row14/build/kernel/fa/elf/kernel_fa_fa_gmma_opt_Sq128_Skv8192_Tm128_Tk128_qD256_vD256_X1_Y1_CubeFP8_VectorFP32.elf</x:v>
      </x:c>
      <x:c r="T18" s="941" t="str">
        <x:f>'FA原始数据'!T17</x:f>
        <x:v>2026-10-19 ASL gfsim复测 PASS。保留原ELF，未重编。model=bdbafed55613955d0b8b27438e9e7d2a72dfccd2; ELF SHA256=060fd0524bd98412782a9a78c9ff2990f7d20ddd2c7af40fadbc8f800661b1fa; log=/Users/blacktraker/Programming/gitproj/DV4/SuperNPUBench/outputs/fa_asl_refresh_20261019/row14.log</x:v>
      </x:c>
      <x:c r="U18" s="1272" t="str">
        <x:v>https://github.com/PTO-ISA/SuperNPUBench/blob/main/benchmark/one-level-arch/kernels/basic_op/fa/fa_gmma_kchains.hpp#L40</x:v>
      </x:c>
    </x:row>
    <x:row r="19" ht="48" customHeight="1">
      <x:c r="A19" s="1340" t="str">
        <x:v>FA</x:v>
      </x:c>
      <x:c r="B19" s="1341" t="str">
        <x:v>fp8</x:v>
      </x:c>
      <x:c r="C19" s="1341" t="str">
        <x:v>fp32</x:v>
      </x:c>
      <x:c r="D19" s="1341" t="n">
        <x:v>256</x:v>
      </x:c>
      <x:c r="E19" s="1341" t="str">
        <x:v>[1,8192,8,256]</x:v>
      </x:c>
      <x:c r="F19" s="1341" t="str">
        <x:v>BSND</x:v>
      </x:c>
      <x:c r="G19" s="1342" t="n">
        <x:v>46.82</x:v>
      </x:c>
      <x:c r="H19" s="1343" t="n">
        <x:v>0.9331</x:v>
      </x:c>
      <x:c r="I19" s="1344" t="n">
        <x:f>IF('FA原始数据'!J39="","",'FA原始数据'!J39)</x:f>
        <x:v>70106</x:v>
      </x:c>
      <x:c r="J19" s="1345" t="n">
        <x:f>IF(I19="","",'FA原始数据'!K39)</x:f>
        <x:v>43.81625</x:v>
      </x:c>
      <x:c r="K19" s="1344" t="n">
        <x:f>'FA原始数据'!L39</x:f>
        <x:v>8192</x:v>
      </x:c>
      <x:c r="L19" s="1344" t="n">
        <x:f>'FA原始数据'!M39</x:f>
        <x:v>65536</x:v>
      </x:c>
      <x:c r="M19" s="1344" t="n">
        <x:f>IF('FA原始数据'!N39="","",'FA原始数据'!N39)</x:f>
        <x:v>17152</x:v>
      </x:c>
      <x:c r="N19" s="1344" t="n">
        <x:f>IF(I19="","",MAX(L19,M19))</x:f>
        <x:v>65536</x:v>
      </x:c>
      <x:c r="O19" s="1346" t="n">
        <x:f>IF(I19="","",'FA原始数据'!O39)</x:f>
        <x:v>0.9348129974609877</x:v>
      </x:c>
      <x:c r="P19" s="1347" t="n">
        <x:f>IF(J19="","",J19/G19)</x:f>
        <x:v>0.9358447244767193</x:v>
      </x:c>
      <x:c r="Q19" s="1348" t="str">
        <x:f>'FA原始数据'!R39</x:f>
        <x:v>PASS</x:v>
      </x:c>
      <x:c r="R19" s="1349" t="str">
        <x:f>'FA原始数据'!I39</x:f>
        <x:v>fa_gmma_opt; Sq=128; Skv=8192; QD=VD=256
Tm=128; Tk=128; 新命令 BW156/lat300; diver=10000; size-class关</x:v>
      </x:c>
      <x:c r="S19" s="1349" t="str">
        <x:f>'FA原始数据'!S39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/Users/blacktraker/Programming/gitproj/DV4/SuperNPUBench/outputs/fa_kchains_softmax_rollback_20261019/cases/row14/build/kernel/fa/elf/kernel_fa_fa_gmma_opt_Sq128_Skv8192_Tm128_Tk128_qD256_vD256_X1_Y1_CubeFP8_VectorFP32.elf</x:v>
      </x:c>
      <x:c r="T19" s="1349" t="str">
        <x:f>'FA原始数据'!T39</x:f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060fd0524bd98412782a9a78c9ff2990f7d20ddd2c7af40fadbc8f800661b1fa；ELF=/Users/blacktraker/Programming/gitproj/DV4/SuperNPUBench/outputs/fa_kchains_softmax_rollback_20261019/cases/row14/build/kernel/fa/elf/kernel_fa_fa_gmma_opt_Sq128_Skv8192_Tm128_Tk128_qD256_vD256_X1_Y1_CubeFP8_VectorFP32.elf；log=/Users/blacktraker/Programming/gitproj/DV4/SuperNPUBench/outputs/fa_lat300_diver10000_20261020/row14.log。wakeup error=0。</x:v>
      </x:c>
      <x:c r="U19" s="1350" t="str">
        <x:f>'FA原始数据'!U39</x:f>
        <x:v>https://github.com/PTO-ISA/SuperNPUBench/blob/main/benchmark/one-level-arch/kernels/basic_op/fa/fa_gmma_kchains.hpp#L40</x:v>
      </x:c>
    </x:row>
    <x:row r="20" ht="48" customHeight="1">
      <x:c r="A20" s="853" t="str">
        <x:v>FA</x:v>
      </x:c>
      <x:c r="B20" s="480" t="str">
        <x:v>fp8</x:v>
      </x:c>
      <x:c r="C20" s="480" t="str">
        <x:v>fp32</x:v>
      </x:c>
      <x:c r="D20" s="480" t="n">
        <x:v>192</x:v>
      </x:c>
      <x:c r="E20" s="480" t="str">
        <x:v>[1,8192,8,128+64]</x:v>
      </x:c>
      <x:c r="F20" s="480" t="str">
        <x:v>BSND</x:v>
      </x:c>
      <x:c r="G20" s="881" t="n">
        <x:v>30.8</x:v>
      </x:c>
      <x:c r="H20" s="882" t="n">
        <x:v>0.8866</x:v>
      </x:c>
      <x:c r="I20" s="883"/>
      <x:c r="J20" s="884"/>
      <x:c r="K20" s="883" t="n">
        <x:v>8192</x:v>
      </x:c>
      <x:c r="L20" s="883"/>
      <x:c r="M20" s="883"/>
      <x:c r="N20" s="883"/>
      <x:c r="O20" s="882"/>
      <x:c r="P20" s="885"/>
      <x:c r="Q20" s="921" t="str">
        <x:v>MODEL_ASSERT</x:v>
      </x:c>
      <x:c r="R20" s="942" t="str">
        <x:v>原记录
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S20" s="942"/>
      <x:c r="T20" s="942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/Users/blacktraker/Programming/gitproj/DV4/SuperNPUBench/outputs/fa_d192_validcol_refresh_20261010/cases/fa_fp8_fp32_d192/gfsim.log；ELF/反汇编: /Users/blacktraker/Programming/gitproj/DV4/SuperNPUBench/outputs/fa_d192_validcol_refresh_20261010/cases/fa_fp8_fp32_d192/kernel/fa/elf/；metadata: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  <x:c r="U20" s="1263" t="str">
        <x:v>https://github.com/PTO-ISA/SuperNPUBench/blob/main/benchmark/one-level-arch/kernels/basic_op/fa/fa_gmma_kchains.hpp#L40</x:v>
      </x:c>
    </x:row>
    <x:row r="21" ht="48" customHeight="1">
      <x:c r="A21" s="1356" t="str">
        <x:v>FA</x:v>
      </x:c>
      <x:c r="B21" s="1357" t="str">
        <x:v>fp8</x:v>
      </x:c>
      <x:c r="C21" s="1357" t="str">
        <x:v>fp32</x:v>
      </x:c>
      <x:c r="D21" s="1357" t="n">
        <x:v>192</x:v>
      </x:c>
      <x:c r="E21" s="1357" t="str">
        <x:v>[1,8192,8,128+64]</x:v>
      </x:c>
      <x:c r="F21" s="1357" t="str">
        <x:v>BSND</x:v>
      </x:c>
      <x:c r="G21" s="1358" t="n">
        <x:v>30.8</x:v>
      </x:c>
      <x:c r="H21" s="1359" t="n">
        <x:v>0.8866</x:v>
      </x:c>
      <x:c r="I21" s="1360" t="str">
        <x:f>IF('FA原始数据'!J40="","",'FA原始数据'!J40)</x:f>
      </x:c>
      <x:c r="J21" s="1361" t="str">
        <x:f>IF(I21="","",'FA原始数据'!K40)</x:f>
      </x:c>
      <x:c r="K21" s="1360" t="n">
        <x:f>'FA原始数据'!L40</x:f>
        <x:v>8192</x:v>
      </x:c>
      <x:c r="L21" s="1360" t="n">
        <x:f>'FA原始数据'!M40</x:f>
        <x:v>49152</x:v>
      </x:c>
      <x:c r="M21" s="1360" t="str">
        <x:f>IF('FA原始数据'!N40="","",'FA原始数据'!N40)</x:f>
      </x:c>
      <x:c r="N21" s="1360" t="str">
        <x:f>IF(I21="","",MAX(L21,M21))</x:f>
      </x:c>
      <x:c r="O21" s="1362" t="str">
        <x:f>IF(I21="","",'FA原始数据'!O40)</x:f>
      </x:c>
      <x:c r="P21" s="1363" t="str">
        <x:f>IF(J21="","",J21/G21)</x:f>
      </x:c>
      <x:c r="Q21" s="1364" t="str">
        <x:f>'FA原始数据'!R40</x:f>
        <x:v>ASSERT_FAIL</x:v>
      </x:c>
      <x:c r="R21" s="1365" t="str">
        <x:f>'FA原始数据'!I40</x:f>
        <x:v>fa_gmma_opt; Sq=128; Skv=8192; QD=VD=192
Tm=128; Tk=128; 新命令 BW156/lat300; diver=10000; size-class关</x:v>
      </x:c>
      <x:c r="S21" s="1365" t="str">
        <x:f>'FA原始数据'!S40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/Users/blacktraker/Programming/gitproj/DV4/SuperNPUBench/outputs/fa_d192_validcol_refresh_20261010/cases/fa_fp8_fp32_d192/kernel/fa/elf/kernel_fa_fa_gmma_opt_Sq128_Skv8192_Tm128_Tk128_qD192_vD192_X1_Y1_CubeFP8_VectorFP32.elf</x:v>
      </x:c>
      <x:c r="T21" s="1365" t="str">
        <x:f>'FA原始数据'!T40</x:f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1e063182f4930700246781198e760c508aa15eebdef4b73e340e7f264bdd1b42；ELF=/Users/blacktraker/Programming/gitproj/DV4/SuperNPUBench/outputs/fa_d192_validcol_refresh_20261010/cases/fa_fp8_fp32_d192/kernel/fa/elf/kernel_fa_fa_gmma_opt_Sq128_Skv8192_Tm128_Tk128_qD192_vD192_X1_Y1_CubeFP8_VectorFP32.elf；log=/Users/blacktraker/Programming/gitproj/DV4/SuperNPUBench/outputs/fa_lat300_diver10000_20261020/row15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21" s="1311" t="str">
        <x:f>'FA原始数据'!U40</x:f>
        <x:v>https://github.com/PTO-ISA/SuperNPUBench/blob/main/benchmark/one-level-arch/kernels/basic_op/fa/fa_gmma_kchains.hpp#L40</x:v>
      </x:c>
    </x:row>
    <x:row r="22" ht="48" customHeight="1">
      <x:c r="A22" s="853" t="str">
        <x:v>FA</x:v>
      </x:c>
      <x:c r="B22" s="480" t="str">
        <x:v>fp8</x:v>
      </x:c>
      <x:c r="C22" s="480" t="str">
        <x:v>fp32</x:v>
      </x:c>
      <x:c r="D22" s="480" t="n">
        <x:v>128</x:v>
      </x:c>
      <x:c r="E22" s="480" t="str">
        <x:v>[1,8192,8,128]</x:v>
      </x:c>
      <x:c r="F22" s="480" t="str">
        <x:v>BSND</x:v>
      </x:c>
      <x:c r="G22" s="881" t="n">
        <x:v>29.96</x:v>
      </x:c>
      <x:c r="H22" s="882" t="n">
        <x:v>0.7291</x:v>
      </x:c>
      <x:c r="I22" s="883" t="n">
        <x:f>'FA原始数据'!J19</x:f>
        <x:v>35290</x:v>
      </x:c>
      <x:c r="J22" s="884" t="n">
        <x:f>'FA原始数据'!K19</x:f>
        <x:v>22.05625</x:v>
      </x:c>
      <x:c r="K22" s="883" t="n">
        <x:f>'FA原始数据'!L19</x:f>
        <x:v>8192</x:v>
      </x:c>
      <x:c r="L22" s="883" t="n">
        <x:f>'FA原始数据'!M19</x:f>
        <x:v>32768</x:v>
      </x:c>
      <x:c r="M22" s="883" t="n">
        <x:f>'FA原始数据'!N19</x:f>
        <x:v>16896</x:v>
      </x:c>
      <x:c r="N22" s="883" t="n">
        <x:f>MAX(L22,M22)</x:f>
        <x:v>32768</x:v>
      </x:c>
      <x:c r="O22" s="882" t="n">
        <x:f>'FA原始数据'!O19</x:f>
        <x:v>0.9285349957495042</x:v>
      </x:c>
      <x:c r="P22" s="885" t="n">
        <x:f>'FA原始数据'!Q19</x:f>
        <x:v>0.7361899198931908</x:v>
      </x:c>
      <x:c r="Q22" s="921" t="str">
        <x:f>'FA原始数据'!R19</x:f>
        <x:v>PASS</x:v>
      </x:c>
      <x:c r="R22" s="942" t="str">
        <x:v>原记录
fa_gmma_opt; Sq=128; Skv=8192
QD=VD=128; Tm=128; Tk=128; ASL</x:v>
      </x:c>
      <x:c r="S22" s="942" t="str">
        <x:f>'FA原始数据'!S19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/Users/blacktraker/Programming/gitproj/DV4/SuperNPUBench/outputs/fa_kchains_softmax_rollback_20261019/cases/row16/build/kernel/fa/elf/kernel_fa_fa_gmma_opt_Sq128_Skv8192_Tm128_Tk128_X1_Y1_CubeFP8_VectorFP32.elf</x:v>
      </x:c>
      <x:c r="T22" s="942" t="str">
        <x:f>'FA原始数据'!T19</x:f>
        <x:v>2026-10-19 ASL gfsim复测 PASS。保留原ELF，未重编。model=bdbafed55613955d0b8b27438e9e7d2a72dfccd2; ELF SHA256=9b4a762543ca92ce074bd00f86b660ee3d6597bee39452c714bdbe7df0130a4d; log=/Users/blacktraker/Programming/gitproj/DV4/SuperNPUBench/outputs/fa_asl_refresh_20261019/row16.log</x:v>
      </x:c>
      <x:c r="U22" s="1273" t="str">
        <x:v>https://github.com/PTO-ISA/SuperNPUBench/blob/main/benchmark/one-level-arch/kernels/basic_op/fa/fa_gmma_kchains.hpp#L40</x:v>
      </x:c>
    </x:row>
    <x:row r="23" ht="48" customHeight="1">
      <x:c r="A23" s="1356" t="str">
        <x:v>FA</x:v>
      </x:c>
      <x:c r="B23" s="1357" t="str">
        <x:v>fp8</x:v>
      </x:c>
      <x:c r="C23" s="1357" t="str">
        <x:v>fp32</x:v>
      </x:c>
      <x:c r="D23" s="1357" t="n">
        <x:v>128</x:v>
      </x:c>
      <x:c r="E23" s="1357" t="str">
        <x:v>[1,8192,8,128]</x:v>
      </x:c>
      <x:c r="F23" s="1357" t="str">
        <x:v>BSND</x:v>
      </x:c>
      <x:c r="G23" s="1358" t="n">
        <x:v>29.96</x:v>
      </x:c>
      <x:c r="H23" s="1359" t="n">
        <x:v>0.7291</x:v>
      </x:c>
      <x:c r="I23" s="1360" t="n">
        <x:f>IF('FA原始数据'!J41="","",'FA原始数据'!J41)</x:f>
        <x:v>36354</x:v>
      </x:c>
      <x:c r="J23" s="1361" t="n">
        <x:f>IF(I23="","",'FA原始数据'!K41)</x:f>
        <x:v>22.72125</x:v>
      </x:c>
      <x:c r="K23" s="1360" t="n">
        <x:f>'FA原始数据'!L41</x:f>
        <x:v>8192</x:v>
      </x:c>
      <x:c r="L23" s="1360" t="n">
        <x:f>'FA原始数据'!M41</x:f>
        <x:v>32768</x:v>
      </x:c>
      <x:c r="M23" s="1360" t="n">
        <x:f>IF('FA原始数据'!N41="","",'FA原始数据'!N41)</x:f>
        <x:v>16896</x:v>
      </x:c>
      <x:c r="N23" s="1360" t="n">
        <x:f>IF(I23="","",MAX(L23,M23))</x:f>
        <x:v>32768</x:v>
      </x:c>
      <x:c r="O23" s="1362" t="n">
        <x:f>IF(I23="","",'FA原始数据'!O41)</x:f>
        <x:v>0.901358860097926</x:v>
      </x:c>
      <x:c r="P23" s="1363" t="n">
        <x:f>IF(J23="","",J23/G23)</x:f>
        <x:v>0.7583861815754339</x:v>
      </x:c>
      <x:c r="Q23" s="1367" t="str">
        <x:f>'FA原始数据'!R41</x:f>
        <x:v>完成，有告警</x:v>
      </x:c>
      <x:c r="R23" s="1365" t="str">
        <x:f>'FA原始数据'!I41</x:f>
        <x:v>fa_gmma_opt; Sq=128; Skv=8192; QD=VD=128
Tm=128; Tk=128; 新命令 BW156/lat300; diver=10000; size-class关</x:v>
      </x:c>
      <x:c r="S23" s="1365" t="str">
        <x:f>'FA原始数据'!S41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/Users/blacktraker/Programming/gitproj/DV4/SuperNPUBench/outputs/fa_kchains_softmax_rollback_20261019/cases/row16/build/kernel/fa/elf/kernel_fa_fa_gmma_opt_Sq128_Skv8192_Tm128_Tk128_X1_Y1_CubeFP8_VectorFP32.elf</x:v>
      </x:c>
      <x:c r="T23" s="1365" t="str">
        <x:f>'FA原始数据'!T41</x:f>
        <x:v>2026-10-20 同ELF新命令对比，未重编。BW156/lat300，read/write_latency_diver=10000，SharedTReg带宽128B/cycle，tile_size_class_enable=false；shared含scale上限=49152B。model=bdbafed55613955d0b8b27438e9e7d2a72dfccd2；gfsim SHA256=6fe43c9f135981a296b515a46475a71649a4227fdaf1eb2f15abbd1f5930bf93；ELF SHA256=9b4a762543ca92ce074bd00f86b660ee3d6597bee39452c714bdbe7df0130a4d；ELF=/Users/blacktraker/Programming/gitproj/DV4/SuperNPUBench/outputs/fa_kchains_softmax_rollback_20261019/cases/row16/build/kernel/fa/elf/kernel_fa_fa_gmma_opt_Sq128_Skv8192_Tm128_Tk128_X1_Y1_CubeFP8_VectorFP32.elf；log=/Users/blacktraker/Programming/gitproj/DV4/SuperNPUBench/outputs/fa_lat300_diver10000_20261020/row16.log。wakeup error=4。有告警，完成周期仅供参考。</x:v>
      </x:c>
      <x:c r="U23" s="1368" t="str">
        <x:f>'FA原始数据'!U41</x:f>
        <x:v>https://github.com/PTO-ISA/SuperNPUBench/blob/main/benchmark/one-level-arch/kernels/basic_op/fa/fa_gmma_kchains.hpp#L40</x:v>
      </x:c>
    </x:row>
    <x:row r="24" ht="48" customHeight="1">
      <x:c r="A24" s="853" t="str">
        <x:v>FA</x:v>
      </x:c>
      <x:c r="B24" s="480" t="str">
        <x:v>fp8</x:v>
      </x:c>
      <x:c r="C24" s="480" t="str">
        <x:v>fp32</x:v>
      </x:c>
      <x:c r="D24" s="480" t="n">
        <x:v>64</x:v>
      </x:c>
      <x:c r="E24" s="480" t="str">
        <x:v>[1,8192,8,64]</x:v>
      </x:c>
      <x:c r="F24" s="480" t="str">
        <x:v>BSND</x:v>
      </x:c>
      <x:c r="G24" s="881" t="n">
        <x:v>29.39</x:v>
      </x:c>
      <x:c r="H24" s="882" t="n">
        <x:v>0.3716</x:v>
      </x:c>
      <x:c r="I24" s="883" t="n">
        <x:f>'FA原始数据'!J21</x:f>
        <x:v>23045</x:v>
      </x:c>
      <x:c r="J24" s="884" t="n">
        <x:f>'FA原始数据'!K21</x:f>
        <x:v>14.403125</x:v>
      </x:c>
      <x:c r="K24" s="883" t="n">
        <x:f>'FA原始数据'!L21</x:f>
        <x:v>8192</x:v>
      </x:c>
      <x:c r="L24" s="883" t="n">
        <x:f>'FA原始数据'!M21</x:f>
        <x:v>16384</x:v>
      </x:c>
      <x:c r="M24" s="883" t="n">
        <x:f>'FA原始数据'!N21</x:f>
        <x:v>16768</x:v>
      </x:c>
      <x:c r="N24" s="883" t="n">
        <x:f>MAX(L24,M24)</x:f>
        <x:v>16768</x:v>
      </x:c>
      <x:c r="O24" s="882" t="n">
        <x:f>'FA原始数据'!O21</x:f>
        <x:v>0.7109568236059883</x:v>
      </x:c>
      <x:c r="P24" s="885" t="n">
        <x:f>'FA原始数据'!Q21</x:f>
        <x:v>0.49006890098673017</x:v>
      </x:c>
      <x:c r="Q24" s="921" t="str">
        <x:f>'FA原始数据'!R21</x:f>
        <x:v>PASS</x:v>
      </x:c>
      <x:c r="R24" s="942" t="str">
        <x:v>原记录
fa_gmma_opt; Sq=128; Skv=8192
QD=VD=64; Tm=128; Tk=128; ASL</x:v>
      </x:c>
      <x:c r="S24" s="942" t="str">
        <x:f>'FA原始数据'!S21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/Users/blacktraker/Programming/gitproj/DV4/SuperNPUBench/outputs/fa_kchains_softmax_rollback_20261019/cases/row17/build/kernel/fa/elf/kernel_fa_fa_gmma_opt_Sq128_Skv8192_Tm128_Tk128_qD64_vD64_X1_Y1_CubeFP8_VectorFP32.elf</x:v>
      </x:c>
      <x:c r="T24" s="942" t="str">
        <x:f>'FA原始数据'!T21</x:f>
        <x:v>2026-10-19 ASL gfsim复测 PASS。保留原ELF，未重编。model=bdbafed55613955d0b8b27438e9e7d2a72dfccd2; ELF SHA256=63c0a9b7b4b04234c0f2bcee16c07a507f1bb01705ab1c0bcdce8c4e68a4456f; log=/Users/blacktraker/Programming/gitproj/DV4/SuperNPUBench/outputs/fa_asl_refresh_20261019/row17.log</x:v>
      </x:c>
      <x:c r="U24" s="1273" t="str">
        <x:v>https://github.com/PTO-ISA/SuperNPUBench/blob/main/benchmark/one-level-arch/kernels/basic_op/fa/fa_gmma_kchains.hpp#L40</x:v>
      </x:c>
    </x:row>
    <x:row r="25" ht="48" customHeight="1">
      <x:c r="A25" s="1356" t="str">
        <x:v>FA</x:v>
      </x:c>
      <x:c r="B25" s="1357" t="str">
        <x:v>fp8</x:v>
      </x:c>
      <x:c r="C25" s="1357" t="str">
        <x:v>fp32</x:v>
      </x:c>
      <x:c r="D25" s="1357" t="n">
        <x:v>64</x:v>
      </x:c>
      <x:c r="E25" s="1357" t="str">
        <x:v>[1,8192,8,64]</x:v>
      </x:c>
      <x:c r="F25" s="1357" t="str">
        <x:v>BSND</x:v>
      </x:c>
      <x:c r="G25" s="1358" t="n">
        <x:v>29.39</x:v>
      </x:c>
      <x:c r="H25" s="1359" t="n">
        <x:v>0.3716</x:v>
      </x:c>
      <x:c r="I25" s="1360" t="n">
        <x:f>IF('FA原始数据'!J42="","",'FA原始数据'!J42)</x:f>
        <x:v>26876</x:v>
      </x:c>
      <x:c r="J25" s="1361" t="n">
        <x:f>IF(I25="","",'FA原始数据'!K42)</x:f>
        <x:v>16.7975</x:v>
      </x:c>
      <x:c r="K25" s="1360" t="n">
        <x:f>'FA原始数据'!L42</x:f>
        <x:v>8192</x:v>
      </x:c>
      <x:c r="L25" s="1360" t="n">
        <x:f>'FA原始数据'!M42</x:f>
        <x:v>16384</x:v>
      </x:c>
      <x:c r="M25" s="1360" t="n">
        <x:f>IF('FA原始数据'!N42="","",'FA原始数据'!N42)</x:f>
        <x:v>16768</x:v>
      </x:c>
      <x:c r="N25" s="1360" t="n">
        <x:f>IF(I25="","",MAX(L25,M25))</x:f>
        <x:v>16768</x:v>
      </x:c>
      <x:c r="O25" s="1362" t="n">
        <x:f>IF(I25="","",'FA原始数据'!O42)</x:f>
        <x:v>0.6096145259711266</x:v>
      </x:c>
      <x:c r="P25" s="1363" t="n">
        <x:f>IF(J25="","",J25/G25)</x:f>
        <x:v>0.5715379380741749</x:v>
      </x:c>
      <x:c r="Q25" s="1367" t="str">
        <x:f>'FA原始数据'!R42</x:f>
        <x:v>完成，有告警</x:v>
      </x:c>
      <x:c r="R25" s="1365" t="str">
        <x:f>'FA原始数据'!I42</x:f>
        <x:v>fa_gmma_opt; Sq=128; Skv=8192; QD=VD=64
Tm=128; Tk=128; 新命令 BW156/lat300; diver=10000; size-class关</x:v>
      </x:c>
      <x:c r="S25" s="1365" t="str">
        <x:f>'FA原始数据'!S42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/Users/blacktraker/Programming/gitproj/DV4/SuperNPUBench/outputs/fa_kchains_softmax_rollback_20261019/cases/row17/build/kernel/fa/elf/kernel_fa_fa_gmma_opt_Sq128_Skv8192_Tm128_Tk128_qD64_vD64_X1_Y1_CubeFP8_VectorFP32.elf</x:v>
      </x:c>
      <x:c r="T25" s="1365" t="str">
        <x:f>'FA原始数据'!T42</x:f>
        <x:v>2026-10-20 同ELF新命令对比，未重编。BW156/lat300，read/write_latency_diver=10000，SharedTReg带宽128B/cycle，tile_size_class_enable=false；shared含scale上限=24576B。model=bdbafed55613955d0b8b27438e9e7d2a72dfccd2；gfsim SHA256=6fe43c9f135981a296b515a46475a71649a4227fdaf1eb2f15abbd1f5930bf93；ELF SHA256=63c0a9b7b4b04234c0f2bcee16c07a507f1bb01705ab1c0bcdce8c4e68a4456f；ELF=/Users/blacktraker/Programming/gitproj/DV4/SuperNPUBench/outputs/fa_kchains_softmax_rollback_20261019/cases/row17/build/kernel/fa/elf/kernel_fa_fa_gmma_opt_Sq128_Skv8192_Tm128_Tk128_qD64_vD64_X1_Y1_CubeFP8_VectorFP32.elf；log=/Users/blacktraker/Programming/gitproj/DV4/SuperNPUBench/outputs/fa_lat300_diver10000_20261020/row17.log。wakeup error=4。有告警，完成周期仅供参考。</x:v>
      </x:c>
      <x:c r="U25" s="1368" t="str">
        <x:f>'FA原始数据'!U42</x:f>
        <x:v>https://github.com/PTO-ISA/SuperNPUBench/blob/main/benchmark/one-level-arch/kernels/basic_op/fa/fa_gmma_kchains.hpp#L40</x:v>
      </x:c>
    </x:row>
    <x:row r="26" ht="48" customHeight="1">
      <x:c r="A26" s="854" t="str">
        <x:v>FA</x:v>
      </x:c>
      <x:c r="B26" s="822" t="str">
        <x:v>fp8</x:v>
      </x:c>
      <x:c r="C26" s="822" t="str">
        <x:v>bf16</x:v>
      </x:c>
      <x:c r="D26" s="822" t="n">
        <x:v>256</x:v>
      </x:c>
      <x:c r="E26" s="822" t="str">
        <x:v>[1,8192,8,256]</x:v>
      </x:c>
      <x:c r="F26" s="822" t="str">
        <x:v>BSND</x:v>
      </x:c>
      <x:c r="G26" s="886" t="n">
        <x:v>46.8</x:v>
      </x:c>
      <x:c r="H26" s="887" t="n">
        <x:v>0.9336</x:v>
      </x:c>
      <x:c r="I26" s="888" t="n">
        <x:f>'FA原始数据'!J23</x:f>
        <x:v>68867</x:v>
      </x:c>
      <x:c r="J26" s="889" t="n">
        <x:f>'FA原始数据'!K23</x:f>
        <x:v>43.041875</x:v>
      </x:c>
      <x:c r="K26" s="888" t="n">
        <x:f>'FA原始数据'!L23</x:f>
        <x:v>8192</x:v>
      </x:c>
      <x:c r="L26" s="888" t="n">
        <x:f>'FA原始数据'!M23</x:f>
        <x:v>65536</x:v>
      </x:c>
      <x:c r="M26" s="888" t="n">
        <x:f>'FA原始数据'!N23</x:f>
        <x:v>8960</x:v>
      </x:c>
      <x:c r="N26" s="888" t="n">
        <x:f>MAX(L26,M26)</x:f>
        <x:v>65536</x:v>
      </x:c>
      <x:c r="O26" s="887" t="n">
        <x:f>'FA原始数据'!O23</x:f>
        <x:v>0.9516314054627034</x:v>
      </x:c>
      <x:c r="P26" s="890" t="n">
        <x:f>'FA原始数据'!Q23</x:f>
        <x:v>0.9196981837606838</x:v>
      </x:c>
      <x:c r="Q26" s="922" t="str">
        <x:f>'FA原始数据'!R23</x:f>
        <x:v>PASS</x:v>
      </x:c>
      <x:c r="R26" s="943" t="str">
        <x:v>原记录
fa_gmma_opt; Sq=128; Skv=8192
QD=VD=256; Tm=128; Tk=128; ASL</x:v>
      </x:c>
      <x:c r="S26" s="943" t="str">
        <x:f>'FA原始数据'!S23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/Users/blacktraker/Programming/gitproj/DV4/SuperNPUBench/outputs/fa_kchains_softmax_rollback_20261019/cases/row18/build/kernel/fa/elf/kernel_fa_fa_gmma_opt_Sq128_Skv8192_Tm128_Tk128_qD256_vD256_X1_Y1_CubeFP8_VectorBF16.elf</x:v>
      </x:c>
      <x:c r="T26" s="943" t="str">
        <x:f>'FA原始数据'!T23</x:f>
        <x:v>2026-10-19 ASL gfsim复测 PASS。保留原ELF，未重编。model=bdbafed55613955d0b8b27438e9e7d2a72dfccd2; ELF SHA256=be1172f1260e65901e2070125df8b78d68dbc31a357ccd8bb15e2c8480876ac2; log=/Users/blacktraker/Programming/gitproj/DV4/SuperNPUBench/outputs/fa_asl_refresh_20261019/row18.log</x:v>
      </x:c>
      <x:c r="U26" s="1274" t="str">
        <x:v>https://github.com/PTO-ISA/SuperNPUBench/blob/main/benchmark/one-level-arch/kernels/basic_op/fa/fa_gmma_kchains.hpp#L40</x:v>
      </x:c>
    </x:row>
    <x:row r="27" ht="48" customHeight="1">
      <x:c r="A27" s="1374" t="str">
        <x:v>FA</x:v>
      </x:c>
      <x:c r="B27" s="1375" t="str">
        <x:v>fp8</x:v>
      </x:c>
      <x:c r="C27" s="1375" t="str">
        <x:v>bf16</x:v>
      </x:c>
      <x:c r="D27" s="1375" t="n">
        <x:v>256</x:v>
      </x:c>
      <x:c r="E27" s="1375" t="str">
        <x:v>[1,8192,8,256]</x:v>
      </x:c>
      <x:c r="F27" s="1375" t="str">
        <x:v>BSND</x:v>
      </x:c>
      <x:c r="G27" s="1376" t="n">
        <x:v>46.8</x:v>
      </x:c>
      <x:c r="H27" s="1377" t="n">
        <x:v>0.9336</x:v>
      </x:c>
      <x:c r="I27" s="1378" t="n">
        <x:f>IF('FA原始数据'!J43="","",'FA原始数据'!J43)</x:f>
        <x:v>69821</x:v>
      </x:c>
      <x:c r="J27" s="1379" t="n">
        <x:f>IF(I27="","",'FA原始数据'!K43)</x:f>
        <x:v>43.638125</x:v>
      </x:c>
      <x:c r="K27" s="1378" t="n">
        <x:f>'FA原始数据'!L43</x:f>
        <x:v>8192</x:v>
      </x:c>
      <x:c r="L27" s="1378" t="n">
        <x:f>'FA原始数据'!M43</x:f>
        <x:v>65536</x:v>
      </x:c>
      <x:c r="M27" s="1378" t="n">
        <x:f>IF('FA原始数据'!N43="","",'FA原始数据'!N43)</x:f>
        <x:v>8960</x:v>
      </x:c>
      <x:c r="N27" s="1378" t="n">
        <x:f>IF(I27="","",MAX(L27,M27))</x:f>
        <x:v>65536</x:v>
      </x:c>
      <x:c r="O27" s="1380" t="n">
        <x:f>IF(I27="","",'FA原始数据'!O43)</x:f>
        <x:v>0.9386287793070852</x:v>
      </x:c>
      <x:c r="P27" s="1381" t="n">
        <x:f>IF(J27="","",J27/G27)</x:f>
        <x:v>0.9324385683760685</x:v>
      </x:c>
      <x:c r="Q27" s="1382" t="str">
        <x:f>'FA原始数据'!R43</x:f>
        <x:v>PASS</x:v>
      </x:c>
      <x:c r="R27" s="1383" t="str">
        <x:f>'FA原始数据'!I43</x:f>
        <x:v>fa_gmma_opt; Sq=128; Skv=8192; QD=VD=256
Tm=128; Tk=128; 新命令 BW156/lat300; diver=10000; size-class关</x:v>
      </x:c>
      <x:c r="S27" s="1383" t="str">
        <x:f>'FA原始数据'!S43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/Users/blacktraker/Programming/gitproj/DV4/SuperNPUBench/outputs/fa_kchains_softmax_rollback_20261019/cases/row18/build/kernel/fa/elf/kernel_fa_fa_gmma_opt_Sq128_Skv8192_Tm128_Tk128_qD256_vD256_X1_Y1_CubeFP8_VectorBF16.elf</x:v>
      </x:c>
      <x:c r="T27" s="1383" t="str">
        <x:f>'FA原始数据'!T43</x:f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be1172f1260e65901e2070125df8b78d68dbc31a357ccd8bb15e2c8480876ac2；ELF=/Users/blacktraker/Programming/gitproj/DV4/SuperNPUBench/outputs/fa_kchains_softmax_rollback_20261019/cases/row18/build/kernel/fa/elf/kernel_fa_fa_gmma_opt_Sq128_Skv8192_Tm128_Tk128_qD256_vD256_X1_Y1_CubeFP8_VectorBF16.elf；log=/Users/blacktraker/Programming/gitproj/DV4/SuperNPUBench/outputs/fa_lat300_diver10000_20261020/row18.log。wakeup error=0。</x:v>
      </x:c>
      <x:c r="U27" s="1384" t="str">
        <x:f>'FA原始数据'!U43</x:f>
        <x:v>https://github.com/PTO-ISA/SuperNPUBench/blob/main/benchmark/one-level-arch/kernels/basic_op/fa/fa_gmma_kchains.hpp#L40</x:v>
      </x:c>
    </x:row>
    <x:row r="28" ht="48" customHeight="1">
      <x:c r="A28" s="855" t="str">
        <x:v>FA</x:v>
      </x:c>
      <x:c r="B28" s="861" t="str">
        <x:v>fp8</x:v>
      </x:c>
      <x:c r="C28" s="861" t="str">
        <x:v>bf16</x:v>
      </x:c>
      <x:c r="D28" s="861" t="n">
        <x:v>192</x:v>
      </x:c>
      <x:c r="E28" s="861" t="str">
        <x:v>[1,8192,8,128+64]</x:v>
      </x:c>
      <x:c r="F28" s="861" t="str">
        <x:v>BSND</x:v>
      </x:c>
      <x:c r="G28" s="891" t="n">
        <x:v>29.84</x:v>
      </x:c>
      <x:c r="H28" s="892" t="n">
        <x:v>0.9159</x:v>
      </x:c>
      <x:c r="I28" s="893"/>
      <x:c r="J28" s="894"/>
      <x:c r="K28" s="893" t="n">
        <x:v>8192</x:v>
      </x:c>
      <x:c r="L28" s="893"/>
      <x:c r="M28" s="893"/>
      <x:c r="N28" s="893"/>
      <x:c r="O28" s="892"/>
      <x:c r="P28" s="895"/>
      <x:c r="Q28" s="923" t="str">
        <x:v>MODEL_ASSERT</x:v>
      </x:c>
      <x:c r="R28" s="944" t="str">
        <x:v>原记录
fa_gmma_opt; Sq=128; Skv=8192; QD=VD=192; physical Col=256; ValidCol=192; Tm=128; Tk=256;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S28" s="944"/>
      <x:c r="T28" s="944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/Users/blacktraker/Programming/gitproj/DV4/SuperNPUBench/outputs/fa_d192_validcol_refresh_20261010/cases/fa_fp8_bf16_d192/gfsim.log；ELF/反汇编: /Users/blacktraker/Programming/gitproj/DV4/SuperNPUBench/outputs/fa_d192_validcol_refresh_20261010/cases/fa_fp8_bf16_d192/kernel/fa/elf/；metadata: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  <x:c r="U28" s="1263" t="str">
        <x:v>https://github.com/PTO-ISA/SuperNPUBench/blob/main/benchmark/one-level-arch/kernels/basic_op/fa/fa_gmma_kchains.hpp#L40</x:v>
      </x:c>
    </x:row>
    <x:row r="29" ht="48" customHeight="1">
      <x:c r="A29" s="1390" t="str">
        <x:v>FA</x:v>
      </x:c>
      <x:c r="B29" s="1391" t="str">
        <x:v>fp8</x:v>
      </x:c>
      <x:c r="C29" s="1391" t="str">
        <x:v>bf16</x:v>
      </x:c>
      <x:c r="D29" s="1391" t="n">
        <x:v>192</x:v>
      </x:c>
      <x:c r="E29" s="1391" t="str">
        <x:v>[1,8192,8,128+64]</x:v>
      </x:c>
      <x:c r="F29" s="1391" t="str">
        <x:v>BSND</x:v>
      </x:c>
      <x:c r="G29" s="1392" t="n">
        <x:v>29.84</x:v>
      </x:c>
      <x:c r="H29" s="1393" t="n">
        <x:v>0.9159</x:v>
      </x:c>
      <x:c r="I29" s="1394" t="str">
        <x:f>IF('FA原始数据'!J44="","",'FA原始数据'!J44)</x:f>
      </x:c>
      <x:c r="J29" s="1395" t="str">
        <x:f>IF(I29="","",'FA原始数据'!K44)</x:f>
      </x:c>
      <x:c r="K29" s="1394" t="n">
        <x:f>'FA原始数据'!L44</x:f>
        <x:v>8192</x:v>
      </x:c>
      <x:c r="L29" s="1394" t="n">
        <x:f>'FA原始数据'!M44</x:f>
        <x:v>49152</x:v>
      </x:c>
      <x:c r="M29" s="1394" t="str">
        <x:f>IF('FA原始数据'!N44="","",'FA原始数据'!N44)</x:f>
      </x:c>
      <x:c r="N29" s="1394" t="str">
        <x:f>IF(I29="","",MAX(L29,M29))</x:f>
      </x:c>
      <x:c r="O29" s="1396" t="str">
        <x:f>IF(I29="","",'FA原始数据'!O44)</x:f>
      </x:c>
      <x:c r="P29" s="1397" t="str">
        <x:f>IF(J29="","",J29/G29)</x:f>
      </x:c>
      <x:c r="Q29" s="1398" t="str">
        <x:f>'FA原始数据'!R44</x:f>
        <x:v>ASSERT_FAIL</x:v>
      </x:c>
      <x:c r="R29" s="1399" t="str">
        <x:f>'FA原始数据'!I44</x:f>
        <x:v>fa_gmma_opt; Sq=128; Skv=8192; QD=VD=192
Tm=128; Tk=256; 新命令 BW156/lat300; diver=10000; size-class关</x:v>
      </x:c>
      <x:c r="S29" s="1399" t="str">
        <x:f>'FA原始数据'!S44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/Users/blacktraker/Programming/gitproj/DV4/SuperNPUBench/outputs/fa_d192_validcol_refresh_20261010/cases/fa_fp8_bf16_d192/kernel/fa/elf/kernel_fa_fa_gmma_opt_Sq128_Skv8192_Tm128_Tk256_qD192_vD192_X1_Y1_CubeFP8_VectorBF16.elf</x:v>
      </x:c>
      <x:c r="T29" s="1399" t="str">
        <x:f>'FA原始数据'!T44</x:f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49aa2696678f705e55ce4f4d09755ffbbcd553d17c99c930eb216bed7207ea05；ELF=/Users/blacktraker/Programming/gitproj/DV4/SuperNPUBench/outputs/fa_d192_validcol_refresh_20261010/cases/fa_fp8_bf16_d192/kernel/fa/elf/kernel_fa_fa_gmma_opt_Sq128_Skv8192_Tm128_Tk256_qD192_vD192_X1_Y1_CubeFP8_VectorBF16.elf；log=/Users/blacktraker/Programming/gitproj/DV4/SuperNPUBench/outputs/fa_lat300_diver10000_20261020/row19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29" s="1311" t="str">
        <x:f>'FA原始数据'!U44</x:f>
        <x:v>https://github.com/PTO-ISA/SuperNPUBench/blob/main/benchmark/one-level-arch/kernels/basic_op/fa/fa_gmma_kchains.hpp#L40</x:v>
      </x:c>
    </x:row>
    <x:row r="30" ht="48" customHeight="1">
      <x:c r="A30" s="855" t="str">
        <x:v>FA</x:v>
      </x:c>
      <x:c r="B30" s="861" t="str">
        <x:v>fp8</x:v>
      </x:c>
      <x:c r="C30" s="861" t="str">
        <x:v>bf16</x:v>
      </x:c>
      <x:c r="D30" s="861" t="n">
        <x:v>128</x:v>
      </x:c>
      <x:c r="E30" s="861" t="str">
        <x:v>[1,8192,8,128]</x:v>
      </x:c>
      <x:c r="F30" s="861" t="str">
        <x:v>BSND</x:v>
      </x:c>
      <x:c r="G30" s="891" t="n">
        <x:v>23.94</x:v>
      </x:c>
      <x:c r="H30" s="892" t="n">
        <x:v>0.9126</x:v>
      </x:c>
      <x:c r="I30" s="893" t="n">
        <x:f>'FA原始数据'!J25</x:f>
        <x:v>35213</x:v>
      </x:c>
      <x:c r="J30" s="894" t="n">
        <x:f>'FA原始数据'!K25</x:f>
        <x:v>22.008125</x:v>
      </x:c>
      <x:c r="K30" s="893" t="n">
        <x:f>'FA原始数据'!L25</x:f>
        <x:v>8192</x:v>
      </x:c>
      <x:c r="L30" s="893" t="n">
        <x:f>'FA原始数据'!M25</x:f>
        <x:v>32768</x:v>
      </x:c>
      <x:c r="M30" s="893" t="n">
        <x:f>'FA原始数据'!N25</x:f>
        <x:v>8576</x:v>
      </x:c>
      <x:c r="N30" s="893" t="n">
        <x:f>MAX(L30,M30)</x:f>
        <x:v>32768</x:v>
      </x:c>
      <x:c r="O30" s="892" t="n">
        <x:f>'FA原始数据'!O25</x:f>
        <x:v>0.9305654161815239</x:v>
      </x:c>
      <x:c r="P30" s="895" t="n">
        <x:f>'FA原始数据'!Q25</x:f>
        <x:v>0.9193034670008353</x:v>
      </x:c>
      <x:c r="Q30" s="923" t="str">
        <x:f>'FA原始数据'!R25</x:f>
        <x:v>PASS</x:v>
      </x:c>
      <x:c r="R30" s="944" t="str">
        <x:v>原记录
fa_gmma_opt; Sq=128; Skv=8192
QD=VD=128; Tm=128; Tk=256; ASL</x:v>
      </x:c>
      <x:c r="S30" s="944" t="str">
        <x:f>'FA原始数据'!S25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/Users/blacktraker/Programming/gitproj/DV4/SuperNPUBench/outputs/fa_kchains_softmax_rollback_20261019/cases/row20/build/kernel/fa/elf/kernel_fa_fa_gmma_opt_Sq128_Skv8192_Tm128_Tk256_X1_Y1_CubeFP8_VectorBF16.elf</x:v>
      </x:c>
      <x:c r="T30" s="944" t="str">
        <x:f>'FA原始数据'!T25</x:f>
        <x:v>2026-10-19 ASL gfsim复测 PASS。保留原ELF，未重编。model=bdbafed55613955d0b8b27438e9e7d2a72dfccd2; ELF SHA256=65059329f86dce5bcc68ccbc1f910774ac00ac5cc807f72764a12f4fa326ba0b; log=/Users/blacktraker/Programming/gitproj/DV4/SuperNPUBench/outputs/fa_asl_refresh_20261019/row20.log</x:v>
      </x:c>
      <x:c r="U30" s="1275" t="str">
        <x:v>https://github.com/PTO-ISA/SuperNPUBench/blob/main/benchmark/one-level-arch/kernels/basic_op/fa/fa_gmma_kchains.hpp#L40</x:v>
      </x:c>
    </x:row>
    <x:row r="31" ht="48" customHeight="1">
      <x:c r="A31" s="1390" t="str">
        <x:v>FA</x:v>
      </x:c>
      <x:c r="B31" s="1391" t="str">
        <x:v>fp8</x:v>
      </x:c>
      <x:c r="C31" s="1391" t="str">
        <x:v>bf16</x:v>
      </x:c>
      <x:c r="D31" s="1391" t="n">
        <x:v>128</x:v>
      </x:c>
      <x:c r="E31" s="1391" t="str">
        <x:v>[1,8192,8,128]</x:v>
      </x:c>
      <x:c r="F31" s="1391" t="str">
        <x:v>BSND</x:v>
      </x:c>
      <x:c r="G31" s="1392" t="n">
        <x:v>23.94</x:v>
      </x:c>
      <x:c r="H31" s="1393" t="n">
        <x:v>0.9126</x:v>
      </x:c>
      <x:c r="I31" s="1394" t="n">
        <x:f>IF('FA原始数据'!J45="","",'FA原始数据'!J45)</x:f>
        <x:v>36171</x:v>
      </x:c>
      <x:c r="J31" s="1395" t="n">
        <x:f>IF(I31="","",'FA原始数据'!K45)</x:f>
        <x:v>22.606875</x:v>
      </x:c>
      <x:c r="K31" s="1394" t="n">
        <x:f>'FA原始数据'!L45</x:f>
        <x:v>8192</x:v>
      </x:c>
      <x:c r="L31" s="1394" t="n">
        <x:f>'FA原始数据'!M45</x:f>
        <x:v>32768</x:v>
      </x:c>
      <x:c r="M31" s="1394" t="n">
        <x:f>IF('FA原始数据'!N45="","",'FA原始数据'!N45)</x:f>
        <x:v>8576</x:v>
      </x:c>
      <x:c r="N31" s="1394" t="n">
        <x:f>IF(I31="","",MAX(L31,M31))</x:f>
        <x:v>32768</x:v>
      </x:c>
      <x:c r="O31" s="1396" t="n">
        <x:f>IF(I31="","",'FA原始数据'!O45)</x:f>
        <x:v>0.9059191064665063</x:v>
      </x:c>
      <x:c r="P31" s="1397" t="n">
        <x:f>IF(J31="","",J31/G31)</x:f>
        <x:v>0.944313909774436</x:v>
      </x:c>
      <x:c r="Q31" s="1401" t="str">
        <x:f>'FA原始数据'!R45</x:f>
        <x:v>PASS</x:v>
      </x:c>
      <x:c r="R31" s="1399" t="str">
        <x:f>'FA原始数据'!I45</x:f>
        <x:v>fa_gmma_opt; Sq=128; Skv=8192; QD=VD=128
Tm=128; Tk=256; 新命令 BW156/lat300; diver=10000; size-class关</x:v>
      </x:c>
      <x:c r="S31" s="1399" t="str">
        <x:f>'FA原始数据'!S45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/Users/blacktraker/Programming/gitproj/DV4/SuperNPUBench/outputs/fa_kchains_softmax_rollback_20261019/cases/row20/build/kernel/fa/elf/kernel_fa_fa_gmma_opt_Sq128_Skv8192_Tm128_Tk256_X1_Y1_CubeFP8_VectorBF16.elf</x:v>
      </x:c>
      <x:c r="T31" s="1399" t="str">
        <x:f>'FA原始数据'!T45</x:f>
        <x:v>2026-10-20 同ELF新命令对比，未重编。BW156/lat300，read/write_latency_diver=10000，SharedTReg带宽128B/cycle，tile_size_class_enable=false；shared含scale上限=81920B。model=bdbafed55613955d0b8b27438e9e7d2a72dfccd2；gfsim SHA256=6fe43c9f135981a296b515a46475a71649a4227fdaf1eb2f15abbd1f5930bf93；ELF SHA256=65059329f86dce5bcc68ccbc1f910774ac00ac5cc807f72764a12f4fa326ba0b；ELF=/Users/blacktraker/Programming/gitproj/DV4/SuperNPUBench/outputs/fa_kchains_softmax_rollback_20261019/cases/row20/build/kernel/fa/elf/kernel_fa_fa_gmma_opt_Sq128_Skv8192_Tm128_Tk256_X1_Y1_CubeFP8_VectorBF16.elf；log=/Users/blacktraker/Programming/gitproj/DV4/SuperNPUBench/outputs/fa_lat300_diver10000_20261020/row20.log。wakeup error=0。</x:v>
      </x:c>
      <x:c r="U31" s="1402" t="str">
        <x:f>'FA原始数据'!U45</x:f>
        <x:v>https://github.com/PTO-ISA/SuperNPUBench/blob/main/benchmark/one-level-arch/kernels/basic_op/fa/fa_gmma_kchains.hpp#L40</x:v>
      </x:c>
    </x:row>
    <x:row r="32" ht="48" customHeight="1">
      <x:c r="A32" s="855" t="str">
        <x:v>FA</x:v>
      </x:c>
      <x:c r="B32" s="861" t="str">
        <x:v>fp8</x:v>
      </x:c>
      <x:c r="C32" s="861" t="str">
        <x:v>bf16</x:v>
      </x:c>
      <x:c r="D32" s="861" t="n">
        <x:v>64</x:v>
      </x:c>
      <x:c r="E32" s="861" t="str">
        <x:v>[1,8192,8,64]</x:v>
      </x:c>
      <x:c r="F32" s="861" t="str">
        <x:v>BSND</x:v>
      </x:c>
      <x:c r="G32" s="891" t="n">
        <x:v>16.12</x:v>
      </x:c>
      <x:c r="H32" s="892" t="n">
        <x:v>0.6776</x:v>
      </x:c>
      <x:c r="I32" s="893" t="n">
        <x:f>'FA原始数据'!J27</x:f>
        <x:v>18523</x:v>
      </x:c>
      <x:c r="J32" s="894" t="n">
        <x:f>'FA原始数据'!K27</x:f>
        <x:v>11.576875</x:v>
      </x:c>
      <x:c r="K32" s="893" t="n">
        <x:f>'FA原始数据'!L27</x:f>
        <x:v>8192</x:v>
      </x:c>
      <x:c r="L32" s="893" t="n">
        <x:f>'FA原始数据'!M27</x:f>
        <x:v>16384</x:v>
      </x:c>
      <x:c r="M32" s="893" t="n">
        <x:f>'FA原始数据'!N27</x:f>
        <x:v>8448</x:v>
      </x:c>
      <x:c r="N32" s="893" t="n">
        <x:f>MAX(L32,M32)</x:f>
        <x:v>16384</x:v>
      </x:c>
      <x:c r="O32" s="892" t="n">
        <x:f>'FA原始数据'!O27</x:f>
        <x:v>0.8845219456891432</x:v>
      </x:c>
      <x:c r="P32" s="895" t="n">
        <x:f>'FA原始数据'!Q27</x:f>
        <x:v>0.7181684243176177</x:v>
      </x:c>
      <x:c r="Q32" s="923" t="str">
        <x:f>'FA原始数据'!R27</x:f>
        <x:v>PASS</x:v>
      </x:c>
      <x:c r="R32" s="944" t="str">
        <x:v>原记录
fa_gmma_opt; Sq=128; Skv=8192
QD=VD=64; Tm=128; Tk=256; ASL</x:v>
      </x:c>
      <x:c r="S32" s="944" t="str">
        <x:f>'FA原始数据'!S27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/Users/blacktraker/Programming/gitproj/DV4/SuperNPUBench/outputs/fa_kchains_softmax_rollback_20261019/cases/row21/build/kernel/fa/elf/kernel_fa_fa_gmma_opt_Sq128_Skv8192_Tm128_Tk256_qD64_vD64_X1_Y1_CubeFP8_VectorBF16.elf</x:v>
      </x:c>
      <x:c r="T32" s="944" t="str">
        <x:f>'FA原始数据'!T27</x:f>
        <x:v>2026-10-19 ASL gfsim复测 PASS。保留原ELF，未重编。model=bdbafed55613955d0b8b27438e9e7d2a72dfccd2; ELF SHA256=abd7e0c899b9ef8bbc5cc05f0993fa53dbc887459df1b80385f068ed0c2a79ed; log=/Users/blacktraker/Programming/gitproj/DV4/SuperNPUBench/outputs/fa_asl_refresh_20261019/row21.log</x:v>
      </x:c>
      <x:c r="U32" s="1275" t="str">
        <x:v>https://github.com/PTO-ISA/SuperNPUBench/blob/main/benchmark/one-level-arch/kernels/basic_op/fa/fa_gmma_kchains.hpp#L40</x:v>
      </x:c>
    </x:row>
    <x:row r="33" ht="48" customHeight="1">
      <x:c r="A33" s="1390" t="str">
        <x:v>FA</x:v>
      </x:c>
      <x:c r="B33" s="1391" t="str">
        <x:v>fp8</x:v>
      </x:c>
      <x:c r="C33" s="1391" t="str">
        <x:v>bf16</x:v>
      </x:c>
      <x:c r="D33" s="1391" t="n">
        <x:v>64</x:v>
      </x:c>
      <x:c r="E33" s="1391" t="str">
        <x:v>[1,8192,8,64]</x:v>
      </x:c>
      <x:c r="F33" s="1391" t="str">
        <x:v>BSND</x:v>
      </x:c>
      <x:c r="G33" s="1392" t="n">
        <x:v>16.12</x:v>
      </x:c>
      <x:c r="H33" s="1393" t="n">
        <x:v>0.6776</x:v>
      </x:c>
      <x:c r="I33" s="1394" t="n">
        <x:f>IF('FA原始数据'!J46="","",'FA原始数据'!J46)</x:f>
        <x:v>19518</x:v>
      </x:c>
      <x:c r="J33" s="1395" t="n">
        <x:f>IF(I33="","",'FA原始数据'!K46)</x:f>
        <x:v>12.19875</x:v>
      </x:c>
      <x:c r="K33" s="1394" t="n">
        <x:f>'FA原始数据'!L46</x:f>
        <x:v>8192</x:v>
      </x:c>
      <x:c r="L33" s="1394" t="n">
        <x:f>'FA原始数据'!M46</x:f>
        <x:v>16384</x:v>
      </x:c>
      <x:c r="M33" s="1394" t="n">
        <x:f>IF('FA原始数据'!N46="","",'FA原始数据'!N46)</x:f>
        <x:v>8448</x:v>
      </x:c>
      <x:c r="N33" s="1394" t="n">
        <x:f>IF(I33="","",MAX(L33,M33))</x:f>
        <x:v>16384</x:v>
      </x:c>
      <x:c r="O33" s="1396" t="n">
        <x:f>IF(I33="","",'FA原始数据'!O46)</x:f>
        <x:v>0.8394302694948252</x:v>
      </x:c>
      <x:c r="P33" s="1397" t="n">
        <x:f>IF(J33="","",J33/G33)</x:f>
        <x:v>0.7567462779156328</x:v>
      </x:c>
      <x:c r="Q33" s="1401" t="str">
        <x:f>'FA原始数据'!R46</x:f>
        <x:v>PASS</x:v>
      </x:c>
      <x:c r="R33" s="1399" t="str">
        <x:f>'FA原始数据'!I46</x:f>
        <x:v>fa_gmma_opt; Sq=128; Skv=8192; QD=VD=64
Tm=128; Tk=256; 新命令 BW156/lat300; diver=10000; size-class关</x:v>
      </x:c>
      <x:c r="S33" s="1399" t="str">
        <x:f>'FA原始数据'!S46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/Users/blacktraker/Programming/gitproj/DV4/SuperNPUBench/outputs/fa_kchains_softmax_rollback_20261019/cases/row21/build/kernel/fa/elf/kernel_fa_fa_gmma_opt_Sq128_Skv8192_Tm128_Tk256_qD64_vD64_X1_Y1_CubeFP8_VectorBF16.elf</x:v>
      </x:c>
      <x:c r="T33" s="1399" t="str">
        <x:f>'FA原始数据'!T46</x:f>
        <x:v>2026-10-20 同ELF新命令对比，未重编。BW156/lat300，read/write_latency_diver=10000，SharedTReg带宽128B/cycle，tile_size_class_enable=false；shared含scale上限=40960B。model=bdbafed55613955d0b8b27438e9e7d2a72dfccd2；gfsim SHA256=6fe43c9f135981a296b515a46475a71649a4227fdaf1eb2f15abbd1f5930bf93；ELF SHA256=abd7e0c899b9ef8bbc5cc05f0993fa53dbc887459df1b80385f068ed0c2a79ed；ELF=/Users/blacktraker/Programming/gitproj/DV4/SuperNPUBench/outputs/fa_kchains_softmax_rollback_20261019/cases/row21/build/kernel/fa/elf/kernel_fa_fa_gmma_opt_Sq128_Skv8192_Tm128_Tk256_qD64_vD64_X1_Y1_CubeFP8_VectorBF16.elf；log=/Users/blacktraker/Programming/gitproj/DV4/SuperNPUBench/outputs/fa_lat300_diver10000_20261020/row21.log。wakeup error=0。</x:v>
      </x:c>
      <x:c r="U33" s="1402" t="str">
        <x:f>'FA原始数据'!U46</x:f>
        <x:v>https://github.com/PTO-ISA/SuperNPUBench/blob/main/benchmark/one-level-arch/kernels/basic_op/fa/fa_gmma_kchains.hpp#L40</x:v>
      </x:c>
    </x:row>
    <x:row r="34" ht="48" customHeight="1">
      <x:c r="A34" s="856" t="str">
        <x:v>FA</x:v>
      </x:c>
      <x:c r="B34" s="862" t="str">
        <x:v>bf16</x:v>
      </x:c>
      <x:c r="C34" s="862" t="str">
        <x:v>fp32</x:v>
      </x:c>
      <x:c r="D34" s="862" t="n">
        <x:v>256</x:v>
      </x:c>
      <x:c r="E34" s="862" t="str">
        <x:v>[1,8192,8,256]</x:v>
      </x:c>
      <x:c r="F34" s="862" t="str">
        <x:v>BSND</x:v>
      </x:c>
      <x:c r="G34" s="896"/>
      <x:c r="H34" s="897"/>
      <x:c r="I34" s="898" t="n">
        <x:f>'FA原始数据'!J29</x:f>
        <x:v>134777</x:v>
      </x:c>
      <x:c r="J34" s="899" t="n">
        <x:f>'FA原始数据'!K29</x:f>
        <x:v>84.235625</x:v>
      </x:c>
      <x:c r="K34" s="898" t="n">
        <x:f>'FA原始数据'!L29</x:f>
        <x:v>4096</x:v>
      </x:c>
      <x:c r="L34" s="898" t="n">
        <x:f>'FA原始数据'!M29</x:f>
        <x:v>131072</x:v>
      </x:c>
      <x:c r="M34" s="898" t="n">
        <x:f>'FA原始数据'!N29</x:f>
        <x:v>17408</x:v>
      </x:c>
      <x:c r="N34" s="898" t="n">
        <x:f>MAX(L34,M34)</x:f>
        <x:v>131072</x:v>
      </x:c>
      <x:c r="O34" s="897" t="n">
        <x:f>'FA原始数据'!O29</x:f>
        <x:v>0.9725101463899627</x:v>
      </x:c>
      <x:c r="P34" s="900"/>
      <x:c r="Q34" s="924" t="str">
        <x:f>'FA原始数据'!R29</x:f>
        <x:v>PASS</x:v>
      </x:c>
      <x:c r="R34" s="945" t="str">
        <x:v>原记录
fa_gmma_opt; Sq=128; Skv=8192
QD=VD=256; Tm=128; Tk=64; ASL</x:v>
      </x:c>
      <x:c r="S34" s="945" t="str">
        <x:f>'FA原始数据'!S29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/Users/blacktraker/Programming/gitproj/DV4/SuperNPUBench/outputs/fa_bf16_fp32_d256_tk_sweep_20261019/tk64/build/kernel/fa/elf/kernel_fa_fa_gmma_opt_Sq128_Skv8192_Tm128_Tk64_qD256_vD256_X1_Y1_CubeBF16_VectorFP32.elf</x:v>
      </x:c>
      <x:c r="T34" s="945" t="str">
        <x:f>'FA原始数据'!T29</x:f>
        <x:v>2026-10-19 ASL Tk择优：Tk=64，PASS。保留原ELF，未重编。model=bdbafed55613955d0b8b27438e9e7d2a72dfccd2; ELF SHA256=a909c1d775a53f85623f725d3579ffd6485dd0758f08ee69bee6bf49c5811551; log=/Users/blacktraker/Programming/gitproj/DV4/SuperNPUBench/outputs/fa_bf16_fp32_d256_asl_custom_20261019/tk64.log。旧Tk=128记录保留于FA原始数据。</x:v>
      </x:c>
      <x:c r="U34" s="1276" t="str">
        <x:v>https://github.com/PTO-ISA/SuperNPUBench/blob/main/benchmark/one-level-arch/kernels/basic_op/fa/fa_gmma_kchains.hpp#L40</x:v>
      </x:c>
    </x:row>
    <x:row r="35" ht="48" customHeight="1">
      <x:c r="A35" s="1408" t="str">
        <x:v>FA</x:v>
      </x:c>
      <x:c r="B35" s="1409" t="str">
        <x:v>bf16</x:v>
      </x:c>
      <x:c r="C35" s="1409" t="str">
        <x:v>fp32</x:v>
      </x:c>
      <x:c r="D35" s="1409" t="n">
        <x:v>256</x:v>
      </x:c>
      <x:c r="E35" s="1409" t="str">
        <x:v>[1,8192,8,256]</x:v>
      </x:c>
      <x:c r="F35" s="1409" t="str">
        <x:v>BSND</x:v>
      </x:c>
      <x:c r="G35" s="1410"/>
      <x:c r="H35" s="1411"/>
      <x:c r="I35" s="1412" t="n">
        <x:f>IF('FA原始数据'!J47="","",'FA原始数据'!J47)</x:f>
        <x:v>135951</x:v>
      </x:c>
      <x:c r="J35" s="1413" t="n">
        <x:f>IF(I35="","",'FA原始数据'!K47)</x:f>
        <x:v>84.969375</x:v>
      </x:c>
      <x:c r="K35" s="1412" t="n">
        <x:f>'FA原始数据'!L47</x:f>
        <x:v>4096</x:v>
      </x:c>
      <x:c r="L35" s="1412" t="n">
        <x:f>'FA原始数据'!M47</x:f>
        <x:v>131072</x:v>
      </x:c>
      <x:c r="M35" s="1412" t="n">
        <x:f>IF('FA原始数据'!N47="","",'FA原始数据'!N47)</x:f>
        <x:v>17408</x:v>
      </x:c>
      <x:c r="N35" s="1412" t="n">
        <x:f>IF(I35="","",MAX(L35,M35))</x:f>
        <x:v>131072</x:v>
      </x:c>
      <x:c r="O35" s="1414" t="n">
        <x:f>IF(I35="","",'FA原始数据'!O47)</x:f>
        <x:v>0.9641120697898508</x:v>
      </x:c>
      <x:c r="P35" s="1415" t="str">
        <x:v>n.a.</x:v>
      </x:c>
      <x:c r="Q35" s="1416" t="str">
        <x:f>'FA原始数据'!R47</x:f>
        <x:v>PASS</x:v>
      </x:c>
      <x:c r="R35" s="1417" t="str">
        <x:f>'FA原始数据'!I47</x:f>
        <x:v>fa_gmma_opt; Sq=128; Skv=8192; QD=VD=256
Tm=128; Tk=64; 新命令 BW156/lat300; diver=10000; size-class关</x:v>
      </x:c>
      <x:c r="S35" s="1417" t="str">
        <x:f>'FA原始数据'!S47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/Users/blacktraker/Programming/gitproj/DV4/SuperNPUBench/outputs/fa_bf16_fp32_d256_tk_sweep_20261019/tk64/build/kernel/fa/elf/kernel_fa_fa_gmma_opt_Sq128_Skv8192_Tm128_Tk64_qD256_vD256_X1_Y1_CubeBF16_VectorFP32.elf</x:v>
      </x:c>
      <x:c r="T35" s="1417" t="str">
        <x:f>'FA原始数据'!T47</x:f>
        <x:v>2026-10-20 同ELF新命令对比，未重编。BW156/lat300，read/write_latency_diver=10000，SharedTReg带宽128B/cycle，tile_size_class_enable=false；shared含scale上限=131072B。model=bdbafed55613955d0b8b27438e9e7d2a72dfccd2；gfsim SHA256=6fe43c9f135981a296b515a46475a71649a4227fdaf1eb2f15abbd1f5930bf93；ELF SHA256=a909c1d775a53f85623f725d3579ffd6485dd0758f08ee69bee6bf49c5811551；ELF=/Users/blacktraker/Programming/gitproj/DV4/SuperNPUBench/outputs/fa_bf16_fp32_d256_tk_sweep_20261019/tk64/build/kernel/fa/elf/kernel_fa_fa_gmma_opt_Sq128_Skv8192_Tm128_Tk64_qD256_vD256_X1_Y1_CubeBF16_VectorFP32.elf；log=/Users/blacktraker/Programming/gitproj/DV4/SuperNPUBench/outputs/fa_lat300_diver10000_20261020/row22.log。wakeup error=0。</x:v>
      </x:c>
      <x:c r="U35" s="1418" t="str">
        <x:f>'FA原始数据'!U47</x:f>
        <x:v>https://github.com/PTO-ISA/SuperNPUBench/blob/main/benchmark/one-level-arch/kernels/basic_op/fa/fa_gmma_kchains.hpp#L40</x:v>
      </x:c>
    </x:row>
    <x:row r="36" ht="48" customHeight="1">
      <x:c r="A36" s="857" t="str">
        <x:v>FA</x:v>
      </x:c>
      <x:c r="B36" s="863" t="str">
        <x:v>bf16</x:v>
      </x:c>
      <x:c r="C36" s="863" t="str">
        <x:v>fp32</x:v>
      </x:c>
      <x:c r="D36" s="863" t="n">
        <x:v>192</x:v>
      </x:c>
      <x:c r="E36" s="863" t="str">
        <x:v>[1,8192,8,128+64]</x:v>
      </x:c>
      <x:c r="F36" s="863" t="str">
        <x:v>BSND</x:v>
      </x:c>
      <x:c r="G36" s="901"/>
      <x:c r="H36" s="902"/>
      <x:c r="I36" s="903"/>
      <x:c r="J36" s="904"/>
      <x:c r="K36" s="903" t="n">
        <x:v>4096</x:v>
      </x:c>
      <x:c r="L36" s="903"/>
      <x:c r="M36" s="903"/>
      <x:c r="N36" s="903"/>
      <x:c r="O36" s="902"/>
      <x:c r="P36" s="905"/>
      <x:c r="Q36" s="925" t="str">
        <x:v>MODEL_ASSERT</x:v>
      </x:c>
      <x:c r="R36" s="946" t="str">
        <x:v>原记录
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S36" s="946"/>
      <x:c r="T36" s="946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/Users/blacktraker/Programming/gitproj/DV4/SuperNPUBench/outputs/fa_d192_validcol_refresh_20261010/cases/fa_bf16_fp32_d192/gfsim.log；ELF/反汇编: /Users/blacktraker/Programming/gitproj/DV4/SuperNPUBench/outputs/fa_d192_validcol_refresh_20261010/cases/fa_bf16_fp32_d192/kernel/fa/elf/；metadata: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  <x:c r="U36" s="1263" t="str">
        <x:v>https://github.com/PTO-ISA/SuperNPUBench/blob/main/benchmark/one-level-arch/kernels/basic_op/fa/fa_gmma_kchains.hpp#L40</x:v>
      </x:c>
    </x:row>
    <x:row r="37" ht="48" customHeight="1">
      <x:c r="A37" s="1424" t="str">
        <x:v>FA</x:v>
      </x:c>
      <x:c r="B37" s="1425" t="str">
        <x:v>bf16</x:v>
      </x:c>
      <x:c r="C37" s="1425" t="str">
        <x:v>fp32</x:v>
      </x:c>
      <x:c r="D37" s="1425" t="n">
        <x:v>192</x:v>
      </x:c>
      <x:c r="E37" s="1425" t="str">
        <x:v>[1,8192,8,128+64]</x:v>
      </x:c>
      <x:c r="F37" s="1425" t="str">
        <x:v>BSND</x:v>
      </x:c>
      <x:c r="G37" s="1426"/>
      <x:c r="H37" s="1427"/>
      <x:c r="I37" s="1428" t="str">
        <x:f>IF('FA原始数据'!J48="","",'FA原始数据'!J48)</x:f>
      </x:c>
      <x:c r="J37" s="1429" t="str">
        <x:f>IF(I37="","",'FA原始数据'!K48)</x:f>
      </x:c>
      <x:c r="K37" s="1428" t="n">
        <x:f>'FA原始数据'!L48</x:f>
        <x:v>4096</x:v>
      </x:c>
      <x:c r="L37" s="1428" t="n">
        <x:f>'FA原始数据'!M48</x:f>
        <x:v>98304</x:v>
      </x:c>
      <x:c r="M37" s="1428" t="str">
        <x:f>IF('FA原始数据'!N48="","",'FA原始数据'!N48)</x:f>
      </x:c>
      <x:c r="N37" s="1428" t="str">
        <x:f>IF(I37="","",MAX(L37,M37))</x:f>
      </x:c>
      <x:c r="O37" s="1430" t="str">
        <x:f>IF(I37="","",'FA原始数据'!O48)</x:f>
      </x:c>
      <x:c r="P37" s="1431" t="str">
        <x:v>n.a.</x:v>
      </x:c>
      <x:c r="Q37" s="1432" t="str">
        <x:f>'FA原始数据'!R48</x:f>
        <x:v>ASSERT_FAIL</x:v>
      </x:c>
      <x:c r="R37" s="1433" t="str">
        <x:f>'FA原始数据'!I48</x:f>
        <x:v>fa_gmma_opt; Sq=128; Skv=8192; QD=VD=192
Tm=128; Tk=128; 新命令 BW156/lat300; diver=10000; size-class关</x:v>
      </x:c>
      <x:c r="S37" s="1433" t="str">
        <x:f>'FA原始数据'!S48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/Users/blacktraker/Programming/gitproj/DV4/SuperNPUBench/outputs/fa_d192_validcol_refresh_20261010/cases/fa_bf16_fp32_d192/kernel/fa/elf/kernel_fa_fa_gmma_opt_Sq128_Skv8192_Tm128_Tk128_qD192_vD192_X1_Y1_CubeBF16_VectorFP32.elf</x:v>
      </x:c>
      <x:c r="T37" s="1433" t="str">
        <x:f>'FA原始数据'!T48</x:f>
        <x:v>2026-10-20 同ELF新命令对比，未重编。BW156/lat300，read/write_latency_diver=10000，SharedTReg带宽128B/cycle，tile_size_class_enable=false；shared含scale上限=196608B。model=bdbafed55613955d0b8b27438e9e7d2a72dfccd2；gfsim SHA256=6fe43c9f135981a296b515a46475a71649a4227fdaf1eb2f15abbd1f5930bf93；ELF SHA256=5aae60ba71c4a90e2378275e6e9ba95797e6ca09bfcdcd4a38d883d967a7be71；ELF=/Users/blacktraker/Programming/gitproj/DV4/SuperNPUBench/outputs/fa_d192_validcol_refresh_20261010/cases/fa_bf16_fp32_d192/kernel/fa/elf/kernel_fa_fa_gmma_opt_Sq128_Skv8192_Tm128_Tk128_qD192_vD192_X1_Y1_CubeBF16_VectorFP32.elf；log=/Users/blacktraker/Programming/gitproj/DV4/SuperNPUBench/outputs/fa_lat300_diver10000_20261020/row23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37" s="1311" t="str">
        <x:f>'FA原始数据'!U48</x:f>
        <x:v>https://github.com/PTO-ISA/SuperNPUBench/blob/main/benchmark/one-level-arch/kernels/basic_op/fa/fa_gmma_kchains.hpp#L40</x:v>
      </x:c>
    </x:row>
    <x:row r="38" ht="48" customHeight="1">
      <x:c r="A38" s="857" t="str">
        <x:v>FA</x:v>
      </x:c>
      <x:c r="B38" s="863" t="str">
        <x:v>bf16</x:v>
      </x:c>
      <x:c r="C38" s="863" t="str">
        <x:v>fp32</x:v>
      </x:c>
      <x:c r="D38" s="863" t="n">
        <x:v>128</x:v>
      </x:c>
      <x:c r="E38" s="863" t="str">
        <x:v>[1,8192,8,128]</x:v>
      </x:c>
      <x:c r="F38" s="863" t="str">
        <x:v>BSND</x:v>
      </x:c>
      <x:c r="G38" s="901"/>
      <x:c r="H38" s="902"/>
      <x:c r="I38" s="903" t="n">
        <x:f>'FA原始数据'!J31</x:f>
        <x:v>68326</x:v>
      </x:c>
      <x:c r="J38" s="904" t="n">
        <x:f>'FA原始数据'!K31</x:f>
        <x:v>42.70375</x:v>
      </x:c>
      <x:c r="K38" s="903" t="n">
        <x:f>'FA原始数据'!L31</x:f>
        <x:v>4096</x:v>
      </x:c>
      <x:c r="L38" s="903" t="n">
        <x:f>'FA原始数据'!M31</x:f>
        <x:v>65536</x:v>
      </x:c>
      <x:c r="M38" s="903" t="n">
        <x:f>'FA原始数据'!N31</x:f>
        <x:v>16896</x:v>
      </x:c>
      <x:c r="N38" s="903" t="n">
        <x:f>MAX(L38,M38)</x:f>
        <x:v>65536</x:v>
      </x:c>
      <x:c r="O38" s="902" t="n">
        <x:f>'FA原始数据'!O31</x:f>
        <x:v>0.9591663495594649</x:v>
      </x:c>
      <x:c r="P38" s="905"/>
      <x:c r="Q38" s="925" t="str">
        <x:f>'FA原始数据'!R31</x:f>
        <x:v>PASS</x:v>
      </x:c>
      <x:c r="R38" s="946" t="str">
        <x:v>原记录
fa_gmma_opt; Sq=128; Skv=8192
QD=VD=128; Tm=128; Tk=128; ASL</x:v>
      </x:c>
      <x:c r="S38" s="946" t="str">
        <x:f>'FA原始数据'!S31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/Users/blacktraker/Programming/gitproj/DV4/SuperNPUBench/outputs/fa_kchains_softmax_rollback_20261019/cases/row24/build/kernel/fa/elf/kernel_fa_fa_gmma_opt_Sq128_Skv8192_Tm128_Tk128_X1_Y1_CubeBF16_VectorFP32.elf</x:v>
      </x:c>
      <x:c r="T38" s="946" t="str">
        <x:f>'FA原始数据'!T31</x:f>
        <x:v>2026-10-19 ASL gfsim复测 PASS。保留原ELF，未重编。model=bdbafed55613955d0b8b27438e9e7d2a72dfccd2; ELF SHA256=3d47f7d95240f9944fa6a43ab466810d6358a53ae5a07bf8cbfe47915f1a5059; log=/Users/blacktraker/Programming/gitproj/DV4/SuperNPUBench/outputs/fa_asl_refresh_20261019/row24.log</x:v>
      </x:c>
      <x:c r="U38" s="1277" t="str">
        <x:v>https://github.com/PTO-ISA/SuperNPUBench/blob/main/benchmark/one-level-arch/kernels/basic_op/fa/fa_gmma_kchains.hpp#L40</x:v>
      </x:c>
    </x:row>
    <x:row r="39" ht="48" customHeight="1">
      <x:c r="A39" s="1424" t="str">
        <x:v>FA</x:v>
      </x:c>
      <x:c r="B39" s="1425" t="str">
        <x:v>bf16</x:v>
      </x:c>
      <x:c r="C39" s="1425" t="str">
        <x:v>fp32</x:v>
      </x:c>
      <x:c r="D39" s="1425" t="n">
        <x:v>128</x:v>
      </x:c>
      <x:c r="E39" s="1425" t="str">
        <x:v>[1,8192,8,128]</x:v>
      </x:c>
      <x:c r="F39" s="1425" t="str">
        <x:v>BSND</x:v>
      </x:c>
      <x:c r="G39" s="1426"/>
      <x:c r="H39" s="1427"/>
      <x:c r="I39" s="1428" t="n">
        <x:f>IF('FA原始数据'!J49="","",'FA原始数据'!J49)</x:f>
        <x:v>69320</x:v>
      </x:c>
      <x:c r="J39" s="1429" t="n">
        <x:f>IF(I39="","",'FA原始数据'!K49)</x:f>
        <x:v>43.325</x:v>
      </x:c>
      <x:c r="K39" s="1428" t="n">
        <x:f>'FA原始数据'!L49</x:f>
        <x:v>4096</x:v>
      </x:c>
      <x:c r="L39" s="1428" t="n">
        <x:f>'FA原始数据'!M49</x:f>
        <x:v>65536</x:v>
      </x:c>
      <x:c r="M39" s="1428" t="n">
        <x:f>IF('FA原始数据'!N49="","",'FA原始数据'!N49)</x:f>
        <x:v>16896</x:v>
      </x:c>
      <x:c r="N39" s="1428" t="n">
        <x:f>IF(I39="","",MAX(L39,M39))</x:f>
        <x:v>65536</x:v>
      </x:c>
      <x:c r="O39" s="1430" t="n">
        <x:f>IF(I39="","",'FA原始数据'!O49)</x:f>
        <x:v>0.9454125793421811</x:v>
      </x:c>
      <x:c r="P39" s="1431" t="str">
        <x:v>n.a.</x:v>
      </x:c>
      <x:c r="Q39" s="1435" t="str">
        <x:f>'FA原始数据'!R49</x:f>
        <x:v>PASS</x:v>
      </x:c>
      <x:c r="R39" s="1433" t="str">
        <x:f>'FA原始数据'!I49</x:f>
        <x:v>fa_gmma_opt; Sq=128; Skv=8192; QD=VD=128
Tm=128; Tk=128; 新命令 BW156/lat300; diver=10000; size-class关</x:v>
      </x:c>
      <x:c r="S39" s="1433" t="str">
        <x:f>'FA原始数据'!S49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/Users/blacktraker/Programming/gitproj/DV4/SuperNPUBench/outputs/fa_kchains_softmax_rollback_20261019/cases/row24/build/kernel/fa/elf/kernel_fa_fa_gmma_opt_Sq128_Skv8192_Tm128_Tk128_X1_Y1_CubeBF16_VectorFP32.elf</x:v>
      </x:c>
      <x:c r="T39" s="1433" t="str">
        <x:f>'FA原始数据'!T49</x:f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3d47f7d95240f9944fa6a43ab466810d6358a53ae5a07bf8cbfe47915f1a5059；ELF=/Users/blacktraker/Programming/gitproj/DV4/SuperNPUBench/outputs/fa_kchains_softmax_rollback_20261019/cases/row24/build/kernel/fa/elf/kernel_fa_fa_gmma_opt_Sq128_Skv8192_Tm128_Tk128_X1_Y1_CubeBF16_VectorFP32.elf；log=/Users/blacktraker/Programming/gitproj/DV4/SuperNPUBench/outputs/fa_lat300_diver10000_20261020/row24.log。wakeup error=0。</x:v>
      </x:c>
      <x:c r="U39" s="1436" t="str">
        <x:f>'FA原始数据'!U49</x:f>
        <x:v>https://github.com/PTO-ISA/SuperNPUBench/blob/main/benchmark/one-level-arch/kernels/basic_op/fa/fa_gmma_kchains.hpp#L40</x:v>
      </x:c>
    </x:row>
    <x:row r="40" ht="48" customHeight="1">
      <x:c r="A40" s="857" t="str">
        <x:v>FA</x:v>
      </x:c>
      <x:c r="B40" s="863" t="str">
        <x:v>bf16</x:v>
      </x:c>
      <x:c r="C40" s="863" t="str">
        <x:v>fp32</x:v>
      </x:c>
      <x:c r="D40" s="863" t="n">
        <x:v>64</x:v>
      </x:c>
      <x:c r="E40" s="863" t="str">
        <x:v>[1,8192,8,64]</x:v>
      </x:c>
      <x:c r="F40" s="863" t="str">
        <x:v>BSND</x:v>
      </x:c>
      <x:c r="G40" s="901"/>
      <x:c r="H40" s="902"/>
      <x:c r="I40" s="903" t="n">
        <x:f>'FA原始数据'!J33</x:f>
        <x:v>35282</x:v>
      </x:c>
      <x:c r="J40" s="904" t="n">
        <x:f>'FA原始数据'!K33</x:f>
        <x:v>22.05125</x:v>
      </x:c>
      <x:c r="K40" s="903" t="n">
        <x:f>'FA原始数据'!L33</x:f>
        <x:v>4096</x:v>
      </x:c>
      <x:c r="L40" s="903" t="n">
        <x:f>'FA原始数据'!M33</x:f>
        <x:v>32768</x:v>
      </x:c>
      <x:c r="M40" s="903" t="n">
        <x:f>'FA原始数据'!N33</x:f>
        <x:v>16768</x:v>
      </x:c>
      <x:c r="N40" s="903" t="n">
        <x:f>MAX(L40,M40)</x:f>
        <x:v>32768</x:v>
      </x:c>
      <x:c r="O40" s="902" t="n">
        <x:f>'FA原始数据'!O33</x:f>
        <x:v>0.9287455359673488</x:v>
      </x:c>
      <x:c r="P40" s="905"/>
      <x:c r="Q40" s="925" t="str">
        <x:f>'FA原始数据'!R33</x:f>
        <x:v>PASS</x:v>
      </x:c>
      <x:c r="R40" s="946" t="str">
        <x:v>原记录
fa_gmma_opt; Sq=128; Skv=8192
QD=VD=64; Tm=128; Tk=128; ASL</x:v>
      </x:c>
      <x:c r="S40" s="946" t="str">
        <x:f>'FA原始数据'!S33</x:f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/Users/blacktraker/Programming/gitproj/DV4/SuperNPUBench/outputs/fa_kchains_softmax_rollback_20261019/cases/row25/build/kernel/fa/elf/kernel_fa_fa_gmma_opt_Sq128_Skv8192_Tm128_Tk128_qD64_vD64_X1_Y1_CubeBF16_VectorFP32.elf</x:v>
      </x:c>
      <x:c r="T40" s="946" t="str">
        <x:f>'FA原始数据'!T33</x:f>
        <x:v>2026-10-19 ASL gfsim复测 PASS。保留原ELF，未重编。model=bdbafed55613955d0b8b27438e9e7d2a72dfccd2; ELF SHA256=d778632a23cd52ec449090c656ec9d680e0af6f780617bc625e117ba415e76fb; log=/Users/blacktraker/Programming/gitproj/DV4/SuperNPUBench/outputs/fa_asl_refresh_20261019/row25.log</x:v>
      </x:c>
      <x:c r="U40" s="1277" t="str">
        <x:v>https://github.com/PTO-ISA/SuperNPUBench/blob/main/benchmark/one-level-arch/kernels/basic_op/fa/fa_gmma_kchains.hpp#L40</x:v>
      </x:c>
    </x:row>
    <x:row r="41" ht="48" customHeight="1">
      <x:c r="A41" s="1424" t="str">
        <x:v>FA</x:v>
      </x:c>
      <x:c r="B41" s="1425" t="str">
        <x:v>bf16</x:v>
      </x:c>
      <x:c r="C41" s="1425" t="str">
        <x:v>fp32</x:v>
      </x:c>
      <x:c r="D41" s="1425" t="n">
        <x:v>64</x:v>
      </x:c>
      <x:c r="E41" s="1425" t="str">
        <x:v>[1,8192,8,64]</x:v>
      </x:c>
      <x:c r="F41" s="1425" t="str">
        <x:v>BSND</x:v>
      </x:c>
      <x:c r="G41" s="1426"/>
      <x:c r="H41" s="1427"/>
      <x:c r="I41" s="1428" t="n">
        <x:f>IF('FA原始数据'!J50="","",'FA原始数据'!J50)</x:f>
        <x:v>36302</x:v>
      </x:c>
      <x:c r="J41" s="1429" t="n">
        <x:f>IF(I41="","",'FA原始数据'!K50)</x:f>
        <x:v>22.68875</x:v>
      </x:c>
      <x:c r="K41" s="1428" t="n">
        <x:f>'FA原始数据'!L50</x:f>
        <x:v>4096</x:v>
      </x:c>
      <x:c r="L41" s="1428" t="n">
        <x:f>'FA原始数据'!M50</x:f>
        <x:v>32768</x:v>
      </x:c>
      <x:c r="M41" s="1428" t="n">
        <x:f>IF('FA原始数据'!N50="","",'FA原始数据'!N50)</x:f>
        <x:v>16768</x:v>
      </x:c>
      <x:c r="N41" s="1428" t="n">
        <x:f>IF(I41="","",MAX(L41,M41))</x:f>
        <x:v>32768</x:v>
      </x:c>
      <x:c r="O41" s="1430" t="n">
        <x:f>IF(I41="","",'FA原始数据'!O50)</x:f>
        <x:v>0.9026499917359925</x:v>
      </x:c>
      <x:c r="P41" s="1431" t="str">
        <x:v>n.a.</x:v>
      </x:c>
      <x:c r="Q41" s="1435" t="str">
        <x:f>'FA原始数据'!R50</x:f>
        <x:v>PASS</x:v>
      </x:c>
      <x:c r="R41" s="1433" t="str">
        <x:f>'FA原始数据'!I50</x:f>
        <x:v>fa_gmma_opt; Sq=128; Skv=8192; QD=VD=64
Tm=128; Tk=128; 新命令 BW156/lat300; diver=10000; size-class关</x:v>
      </x:c>
      <x:c r="S41" s="1433" t="str">
        <x:f>'FA原始数据'!S50</x:f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/Users/blacktraker/Programming/gitproj/DV4/SuperNPUBench/outputs/fa_kchains_softmax_rollback_20261019/cases/row25/build/kernel/fa/elf/kernel_fa_fa_gmma_opt_Sq128_Skv8192_Tm128_Tk128_qD64_vD64_X1_Y1_CubeBF16_VectorFP32.elf</x:v>
      </x:c>
      <x:c r="T41" s="1433" t="str">
        <x:f>'FA原始数据'!T50</x:f>
        <x:v>2026-10-20 同ELF新命令对比，未重编。BW156/lat300，read/write_latency_diver=10000，SharedTReg带宽128B/cycle，tile_size_class_enable=false；shared含scale上限=49152B。model=bdbafed55613955d0b8b27438e9e7d2a72dfccd2；gfsim SHA256=6fe43c9f135981a296b515a46475a71649a4227fdaf1eb2f15abbd1f5930bf93；ELF SHA256=d778632a23cd52ec449090c656ec9d680e0af6f780617bc625e117ba415e76fb；ELF=/Users/blacktraker/Programming/gitproj/DV4/SuperNPUBench/outputs/fa_kchains_softmax_rollback_20261019/cases/row25/build/kernel/fa/elf/kernel_fa_fa_gmma_opt_Sq128_Skv8192_Tm128_Tk128_qD64_vD64_X1_Y1_CubeBF16_VectorFP32.elf；log=/Users/blacktraker/Programming/gitproj/DV4/SuperNPUBench/outputs/fa_lat300_diver10000_20261020/row25.log。wakeup error=0。</x:v>
      </x:c>
      <x:c r="U41" s="1436" t="str">
        <x:f>'FA原始数据'!U50</x:f>
        <x:v>https://github.com/PTO-ISA/SuperNPUBench/blob/main/benchmark/one-level-arch/kernels/basic_op/fa/fa_gmma_kchains.hpp#L40</x:v>
      </x:c>
    </x:row>
    <x:row r="42" ht="48" customHeight="1">
      <x:c r="A42" s="852" t="str">
        <x:f>'Matmul原始数据'!A83</x:f>
        <x:v>matmul (ubm)</x:v>
      </x:c>
      <x:c r="B42" s="528" t="str">
        <x:f>'Matmul原始数据'!B83</x:f>
        <x:v>BF16</x:v>
      </x:c>
      <x:c r="C42" s="528" t="str">
        <x:v>-</x:v>
      </x:c>
      <x:c r="D42" s="528"/>
      <x:c r="E42" s="528" t="str">
        <x:f>'Matmul原始数据'!F83</x:f>
        <x:v>[256,7168,512]</x:v>
      </x:c>
      <x:c r="F42" s="528" t="str">
        <x:f>'Matmul原始数据'!G83</x:f>
        <x:v>B-major</x:v>
      </x:c>
      <x:c r="G42" s="876"/>
      <x:c r="H42" s="877"/>
      <x:c r="I42" s="878" t="n">
        <x:f>'Matmul原始数据'!O83</x:f>
        <x:v>284095</x:v>
      </x:c>
      <x:c r="J42" s="879" t="n">
        <x:f>'Matmul原始数据'!P83</x:f>
        <x:v>177.559375</x:v>
      </x:c>
      <x:c r="K42" s="878" t="n">
        <x:f>'Matmul原始数据'!Q83</x:f>
        <x:v>4096</x:v>
      </x:c>
      <x:c r="L42" s="878" t="n">
        <x:f>'Matmul原始数据'!R83</x:f>
        <x:v>229376</x:v>
      </x:c>
      <x:c r="M42" s="878"/>
      <x:c r="N42" s="878"/>
      <x:c r="O42" s="906" t="n">
        <x:f>'Matmul原始数据'!S83</x:f>
        <x:v>0.8073918935567328</x:v>
      </x:c>
      <x:c r="P42" s="880"/>
      <x:c r="Q42" s="926" t="str">
        <x:f>'Matmul原始数据'!W83&amp;" / shared 对照"</x:f>
        <x:v>PASS / shared 对照</x:v>
      </x:c>
      <x:c r="R42" s="947" t="str">
        <x:f>'Matmul原始数据'!AB83</x:f>
        <x:v>matmul_shared; tM=128; tN=256; tK=128</x:v>
      </x:c>
      <x:c r="S42" s="852" t="str">
        <x:f>'Matmul原始数据'!AA83</x:f>
        <x:v>cd /Users/blacktraker/Programming/gitproj/DV4/SuperScalarModel-main
./bin/gfsim \
  -s softcore.multiThreadNum=4 \
  -s cube.enable_internal_acc=true \
  -s bctrl.vec_cell_sched_enable=true \
  -s core.soc_random=true \
  -s core.soc_bw_limit=113 \
  -s core.soc_lat_mean=330 \
  -s core.sharetreg_size_bytes=262144 \
  -s core.sharetreg_ssb_count=64 \
  -f "$ELF"</x:v>
      </x:c>
      <x:c r="T42" s="941" t="str">
        <x:f>'Matmul原始数据'!Z83</x:f>
        <x:v>PASS（仅 timing）；目标 shape=M/K/N；实际编译 M=256, N=512, K=7168；BW113 / SoC mean330；ELF 和日志见 X/Y 列。</x:v>
      </x:c>
      <x:c r="U42" s="1263" t="str">
        <x:v>https://github.com/PTO-ISA/SuperNPUBench/blob/main/benchmark/one-level-arch/kernels/basic_op/matmul/matmul_shared.hpp#L24</x:v>
      </x:c>
    </x:row>
    <x:row r="43" ht="48" customHeight="1">
      <x:c r="A43" s="853"/>
      <x:c r="B43" s="480"/>
      <x:c r="C43" s="480"/>
      <x:c r="D43" s="480"/>
      <x:c r="E43" s="480"/>
      <x:c r="F43" s="480"/>
      <x:c r="G43" s="881"/>
      <x:c r="H43" s="882"/>
      <x:c r="I43" s="883" t="n">
        <x:f>'Matmul原始数据'!O85</x:f>
        <x:v>232156</x:v>
      </x:c>
      <x:c r="J43" s="884" t="n">
        <x:f>'Matmul原始数据'!P85</x:f>
        <x:v>145.0975</x:v>
      </x:c>
      <x:c r="K43" s="883" t="n">
        <x:f>'Matmul原始数据'!Q85</x:f>
        <x:v>4096</x:v>
      </x:c>
      <x:c r="L43" s="883" t="n">
        <x:f>'Matmul原始数据'!R85</x:f>
        <x:v>229376</x:v>
      </x:c>
      <x:c r="M43" s="883"/>
      <x:c r="N43" s="883"/>
      <x:c r="O43" s="907" t="n">
        <x:f>'Matmul原始数据'!S85</x:f>
        <x:v>0.9880252933372388</x:v>
      </x:c>
      <x:c r="P43" s="885"/>
      <x:c r="Q43" s="927" t="str">
        <x:f>'Matmul原始数据'!W85&amp;" / 类别最优"</x:f>
        <x:v>PASS / 类别最优</x:v>
      </x:c>
      <x:c r="R43" s="948" t="str">
        <x:f>'Matmul原始数据'!AB85</x:f>
        <x:v>matmul_reuseB; tM=128; tN=128; tK=128</x:v>
      </x:c>
      <x:c r="S43" s="853"/>
      <x:c r="T43" s="942" t="str">
        <x:f>'Matmul原始数据'!Z85</x:f>
        <x:v>PASS（仅 timing）；目标 shape=M/K/N；实际编译 M=256, N=512, K=7168；BW113 / SoC mean330；ELF 和日志见 X/Y 列。</x:v>
      </x:c>
      <x:c r="U43" s="1263" t="str">
        <x:v>https://github.com/PTO-ISA/SuperNPUBench/blob/main/benchmark/one-level-arch/kernels/basic_op/matmul/matmul_reuseB.hpp#L308</x:v>
      </x:c>
    </x:row>
    <x:row r="44" ht="48" customHeight="1">
      <x:c r="A44" s="850" t="str">
        <x:f>'Matmul原始数据'!A90</x:f>
        <x:v>matmul (ubm)</x:v>
      </x:c>
      <x:c r="B44" s="819" t="str">
        <x:f>'Matmul原始数据'!B90</x:f>
        <x:v>BF16</x:v>
      </x:c>
      <x:c r="C44" s="819" t="str">
        <x:v>-</x:v>
      </x:c>
      <x:c r="D44" s="819"/>
      <x:c r="E44" s="819" t="str">
        <x:f>'Matmul原始数据'!F90</x:f>
        <x:v>[256,32768,128]</x:v>
      </x:c>
      <x:c r="F44" s="819" t="str">
        <x:f>'Matmul原始数据'!G90</x:f>
        <x:v>B-major</x:v>
      </x:c>
      <x:c r="G44" s="866"/>
      <x:c r="H44" s="867"/>
      <x:c r="I44" s="868" t="n">
        <x:f>'Matmul原始数据'!O90</x:f>
        <x:v>448020</x:v>
      </x:c>
      <x:c r="J44" s="869" t="n">
        <x:f>'Matmul原始数据'!P90</x:f>
        <x:v>280.0125</x:v>
      </x:c>
      <x:c r="K44" s="868" t="n">
        <x:f>'Matmul原始数据'!Q90</x:f>
        <x:v>4096</x:v>
      </x:c>
      <x:c r="L44" s="868" t="n">
        <x:f>'Matmul原始数据'!R90</x:f>
        <x:v>262144</x:v>
      </x:c>
      <x:c r="M44" s="868"/>
      <x:c r="N44" s="868"/>
      <x:c r="O44" s="906" t="n">
        <x:f>'Matmul原始数据'!S90</x:f>
        <x:v>0.5851167358600062</x:v>
      </x:c>
      <x:c r="P44" s="870"/>
      <x:c r="Q44" s="928" t="str">
        <x:f>'Matmul原始数据'!W90&amp;" / shared 对照"</x:f>
        <x:v>PASS / shared 对照</x:v>
      </x:c>
      <x:c r="R44" s="949" t="str">
        <x:f>'Matmul原始数据'!AB90</x:f>
        <x:v>matmul_shared; tM=128; tN=128; tK=128</x:v>
      </x:c>
      <x:c r="S44" s="850"/>
      <x:c r="T44" s="939" t="str">
        <x:f>'Matmul原始数据'!Z90</x:f>
        <x:v>PASS（仅 timing）；目标 shape=M/K/N；实际编译 M=256, N=128, K=32768；BW113 / SoC mean330；ELF 和日志见 X/Y 列。</x:v>
      </x:c>
      <x:c r="U44" s="1263" t="str">
        <x:v>https://github.com/PTO-ISA/SuperNPUBench/blob/main/benchmark/one-level-arch/kernels/basic_op/matmul/matmul_shared.hpp#L24</x:v>
      </x:c>
    </x:row>
    <x:row r="45" ht="48" customHeight="1">
      <x:c r="A45" s="850"/>
      <x:c r="B45" s="819"/>
      <x:c r="C45" s="819"/>
      <x:c r="D45" s="819"/>
      <x:c r="E45" s="819"/>
      <x:c r="F45" s="819"/>
      <x:c r="G45" s="866"/>
      <x:c r="H45" s="867"/>
      <x:c r="I45" s="868" t="n">
        <x:f>'Matmul原始数据'!O92</x:f>
        <x:v>264886</x:v>
      </x:c>
      <x:c r="J45" s="869" t="n">
        <x:f>'Matmul原始数据'!P92</x:f>
        <x:v>165.55375</x:v>
      </x:c>
      <x:c r="K45" s="868" t="n">
        <x:f>'Matmul原始数据'!Q92</x:f>
        <x:v>4096</x:v>
      </x:c>
      <x:c r="L45" s="868" t="n">
        <x:f>'Matmul原始数据'!R92</x:f>
        <x:v>262144</x:v>
      </x:c>
      <x:c r="M45" s="868"/>
      <x:c r="N45" s="868"/>
      <x:c r="O45" s="906" t="n">
        <x:f>'Matmul原始数据'!S92</x:f>
        <x:v>0.9896483770376691</x:v>
      </x:c>
      <x:c r="P45" s="870"/>
      <x:c r="Q45" s="928" t="str">
        <x:f>'Matmul原始数据'!W92&amp;" / 类别最优"</x:f>
        <x:v>PASS / 类别最优</x:v>
      </x:c>
      <x:c r="R45" s="949" t="str">
        <x:f>'Matmul原始数据'!AB92</x:f>
        <x:v>matmul_reuseB; tM=128; tN=128; tK=128</x:v>
      </x:c>
      <x:c r="S45" s="850"/>
      <x:c r="T45" s="939" t="str">
        <x:f>'Matmul原始数据'!Z92</x:f>
        <x:v>PASS（仅 timing）；目标 shape=M/K/N；实际编译 M=256, N=128, K=32768；BW113 / SoC mean330；ELF 和日志见 X/Y 列。</x:v>
      </x:c>
      <x:c r="U45" s="1263" t="str">
        <x:v>https://github.com/PTO-ISA/SuperNPUBench/blob/main/benchmark/one-level-arch/kernels/basic_op/matmul/matmul_reuseB.hpp#L308</x:v>
      </x:c>
    </x:row>
    <x:row r="46" ht="48" customHeight="1">
      <x:c r="A46" s="854" t="str">
        <x:f>'Matmul原始数据'!A95</x:f>
        <x:v>matmul (ubm)</x:v>
      </x:c>
      <x:c r="B46" s="822" t="str">
        <x:f>'Matmul原始数据'!B95</x:f>
        <x:v>FP16</x:v>
      </x:c>
      <x:c r="C46" s="822" t="str">
        <x:v>-</x:v>
      </x:c>
      <x:c r="D46" s="822"/>
      <x:c r="E46" s="822" t="str">
        <x:f>'Matmul原始数据'!F95</x:f>
        <x:v>[288,7392,256]</x:v>
      </x:c>
      <x:c r="F46" s="822" t="str">
        <x:f>'Matmul原始数据'!G95</x:f>
        <x:v>B-major</x:v>
      </x:c>
      <x:c r="G46" s="886"/>
      <x:c r="H46" s="887"/>
      <x:c r="I46" s="888" t="n">
        <x:f>'Matmul原始数据'!O95</x:f>
        <x:v>295720</x:v>
      </x:c>
      <x:c r="J46" s="889" t="n">
        <x:f>'Matmul原始数据'!P95</x:f>
        <x:v>184.825</x:v>
      </x:c>
      <x:c r="K46" s="888" t="n">
        <x:f>'Matmul原始数据'!Q95</x:f>
        <x:v>4096</x:v>
      </x:c>
      <x:c r="L46" s="888" t="n">
        <x:f>'Matmul原始数据'!R95</x:f>
        <x:v>133056</x:v>
      </x:c>
      <x:c r="M46" s="888"/>
      <x:c r="N46" s="888"/>
      <x:c r="O46" s="906" t="n">
        <x:f>'Matmul原始数据'!S95</x:f>
        <x:v>0.44993913161098337</x:v>
      </x:c>
      <x:c r="P46" s="890"/>
      <x:c r="Q46" s="929" t="str">
        <x:f>'Matmul原始数据'!W95&amp;" / shared 对照"</x:f>
        <x:v>PASS / shared 对照</x:v>
      </x:c>
      <x:c r="R46" s="950" t="str">
        <x:f>'Matmul原始数据'!AB95</x:f>
        <x:v>matmul_shared; tM=128; tN=256; tK=32; tail=valid_row/valid_col</x:v>
      </x:c>
      <x:c r="S46" s="854"/>
      <x:c r="T46" s="943" t="str">
        <x:f>'Matmul原始数据'!Z95</x:f>
        <x:v>PASS（仅 timing）；目标 shape=M/K/N；实际编译 M=288, N=256, K=7392；BW113 / SoC mean330；ELF 和日志见 X/Y 列。</x:v>
      </x:c>
      <x:c r="U46" s="1263" t="str">
        <x:v>https://github.com/PTO-ISA/SuperNPUBench/blob/main/benchmark/one-level-arch/kernels/basic_op/matmul/matmul_shared.hpp#L24</x:v>
      </x:c>
    </x:row>
    <x:row r="47" ht="48" customHeight="1">
      <x:c r="A47" s="854"/>
      <x:c r="B47" s="822"/>
      <x:c r="C47" s="822"/>
      <x:c r="D47" s="822"/>
      <x:c r="E47" s="822"/>
      <x:c r="F47" s="822"/>
      <x:c r="G47" s="886"/>
      <x:c r="H47" s="887"/>
      <x:c r="I47" s="888" t="n">
        <x:f>'Matmul原始数据'!O129</x:f>
        <x:v>150461</x:v>
      </x:c>
      <x:c r="J47" s="889" t="n">
        <x:f>'Matmul原始数据'!P129</x:f>
        <x:v>94.038125</x:v>
      </x:c>
      <x:c r="K47" s="888" t="n">
        <x:f>'Matmul原始数据'!Q129</x:f>
        <x:v>4096</x:v>
      </x:c>
      <x:c r="L47" s="888" t="n">
        <x:f>'Matmul原始数据'!R129</x:f>
        <x:v>133056</x:v>
      </x:c>
      <x:c r="M47" s="888"/>
      <x:c r="N47" s="888"/>
      <x:c r="O47" s="906" t="n">
        <x:f>'Matmul原始数据'!S129</x:f>
        <x:v>0.8843221831570972</x:v>
      </x:c>
      <x:c r="P47" s="890"/>
      <x:c r="Q47" s="929" t="str">
        <x:v>PASS / 源码重编</x:v>
      </x:c>
      <x:c r="R47" s="950" t="str">
        <x:f>'Matmul原始数据'!AB129</x:f>
        <x:v>reuseB cellA; tM/tN/tK=128/128/128
M尾块32共用B; K尾块64+32; ASL BW156/lat260</x:v>
      </x:c>
      <x:c r="S47" s="854" t="str">
        <x:f>'Matmul原始数据'!AA129</x:f>
        <x:v>make -B -C /Users/blacktraker/Programming/gitproj/DV4/SuperNPUBench/benchmark/one-level-arch/test/kernel/matmul TESTCASE=matmul_reuseB DTYPE=__half M=288 K=7392 N=256 tM=128 tN=128 tK=128 res_check=off COMPILER_DIR=/Users/blacktraker/Programming/gitproj/DV4/linx-toolchain-build/output/linx_blockisa_llvm_musl/bin OBJ_ROOT=/Users/blacktraker/Programming/gitproj/DV4/SuperNPUBench/outputs/reuseB_cellA_validtail_restore_20261019/tn128/timing
cd /Users/blacktraker/Programming/gitproj/DV4/SuperScalarModel-asl &amp;&amp; ./bin/gfsim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bfu.bhc_nostd=40 -s softcore.multiThreadNum=4 -s core.sharetreg_size_bytes=262144 -s core.sharetreg_ssb_count=64 -s bctrl.tile_size_class_enable=false -f /Users/blacktraker/Programming/gitproj/DV4/SuperNPUBench/outputs/reuseB_cellA_validtail_restore_20261019/tn128/timing/kernel/matmul/elf/kernel_matmul_matmul_reuseB_B1_M288_N256_K7392_tM128_tN128_tK128_DType__half.elf</x:v>
      </x:c>
      <x:c r="T47" s="943" t="str">
        <x:f>'Matmul原始数据'!Z129</x:f>
        <x:v>2026-10-19 源码重新实现并编译，非旧ELF复测。每轮B由M128+M128+M32共用，A均为CellReg；K尾块valid_col=64+32，M32按CUBE_M16有效分片写回。gfrun数值PASS，73728元素，max_abs=0，mismatches=0；check=/Users/blacktraker/Programming/gitproj/DV4/SuperNPUBench/outputs/reuseB_cellA_validtail_restore_20261019/tn128/golden.log；check ELF=/Users/blacktraker/Programming/gitproj/DV4/SuperNPUBench/outputs/reuseB_cellA_validtail_restore_20261019/tn128/check/kernel/matmul/elf/kernel_matmul_matmul_reuseB_B1_M288_N256_K7392_tM128_tN128_tK128_DType__half.elf；timing PASS。shared=32KiB，CellReg含32KiB余量=92KiB/PE。compiler=e6a31efb4cfb17f1f1c33265cbf6dbb61bbba156；model=bdbafed55613955d0b8b27438e9e7d2a72dfccd2；ELF SHA256=75bb6c4ec3b88b12ac1a96309d81e78fb60b00d42060487f44c452393222ac6c；源码快照=/Users/blacktraker/Programming/gitproj/DV4/SuperNPUBench/outputs/reuseB_cellA_validtail_restore_20261019/source/matmul_reuseB_mtail_cellA.hpp。新源码尚未推送，不能以旧main通用reuseB链接冒充本次实现。</x:v>
      </x:c>
      <x:c r="U47" s="1290" t="str">
        <x:f>'Matmul原始数据'!AD129</x:f>
        <x:v>本次实现（本地，尚未推送）：/Users/blacktraker/Programming/gitproj/DV4/SuperNPUBench/benchmark/one-level-arch/kernels/basic_op/matmul/matmul_reuseB_mtail_cellA.hpp:11</x:v>
      </x:c>
    </x:row>
    <x:row r="48" ht="48" customHeight="1">
      <x:c r="A48" s="856" t="str">
        <x:f>'Matmul原始数据'!A102</x:f>
        <x:v>matmul (ubm)</x:v>
      </x:c>
      <x:c r="B48" s="862" t="str">
        <x:f>'Matmul原始数据'!B102</x:f>
        <x:v>HIF4</x:v>
      </x:c>
      <x:c r="C48" s="862" t="str">
        <x:v>-</x:v>
      </x:c>
      <x:c r="D48" s="862"/>
      <x:c r="E48" s="862" t="str">
        <x:f>'Matmul原始数据'!F102</x:f>
        <x:v>[48,7168,96]</x:v>
      </x:c>
      <x:c r="F48" s="862" t="str">
        <x:f>'Matmul原始数据'!G102</x:f>
        <x:v>B-major</x:v>
      </x:c>
      <x:c r="G48" s="896"/>
      <x:c r="H48" s="897"/>
      <x:c r="I48" s="898" t="n">
        <x:f>'Matmul原始数据'!O133</x:f>
        <x:v>4784</x:v>
      </x:c>
      <x:c r="J48" s="899" t="n">
        <x:f>'Matmul原始数据'!P133</x:f>
        <x:v>2.99</x:v>
      </x:c>
      <x:c r="K48" s="898" t="n">
        <x:f>'Matmul原始数据'!Q133</x:f>
        <x:v>32768</x:v>
      </x:c>
      <x:c r="L48" s="898" t="n">
        <x:f>'Matmul原始数据'!R133</x:f>
        <x:v>1008</x:v>
      </x:c>
      <x:c r="M48" s="898"/>
      <x:c r="N48" s="898"/>
      <x:c r="O48" s="906" t="n">
        <x:f>'Matmul原始数据'!S133</x:f>
        <x:v>0.21070234113712374</x:v>
      </x:c>
      <x:c r="P48" s="900"/>
      <x:c r="Q48" s="930" t="str">
        <x:v>PASS / ASL stash</x:v>
      </x:c>
      <x:c r="R48" s="951" t="str">
        <x:f>'Matmul原始数据'!AB133</x:f>
        <x:v>reuseA fullK; tM/tN/tK=128/32/2048; C=3; local
ASL bdbafed+ad8490782; SoC156/lat260; SharedTReg256B/cycle; Group Total Cycles</x:v>
      </x:c>
      <x:c r="S48" s="852" t="str">
        <x:f>'Matmul原始数据'!AA133</x:f>
        <x:v>cd /Users/blacktraker/Programming/gitproj/DV4/SuperScalarModel-asl &amp;&amp; ./bin/gfsim \
  -s softcore.multiThreadNum=4 \
  -s dfx.swimCounterSampleInterval=256 \
  -s bctrl.vec_cell_sched_enable=false \
  -s bctrl.vecIssueQDepth=64 \
  -s bctrl.bctrl_bandwidth=8 \
  -s spe.speROBDepth=128 \
  -s cube.l0aSharetregResident=true \
  -s cube.l0aResidentTagNum=8 \
  -s core.sharetreg_bandwidth_bytes=256 \
  -s cube.enable_internal_acc=true \
  -s spe.macroDescriptorFusion=true \
  -s core.soc_random=true \
  -s core.soc_bw_limit=156 \
  -s core.soc_lat_mean=260 \
  -s core.soc_lat_random_seed=1 \
  -s bfu.hwpf_nl_degree=32 \
  -s bfu.hwpf_max_pending_req=32 \
  -s bfu.bhc_pf_nostd=32 \
  -s bfu.bhc_nostd=40 \
  -s core.sharetreg_size_bytes=262144 \
  -s core.sharetreg_ssb_count=64 \
  -s cube.uop_isq_entry_size=64 \
  --conf /Users/blacktraker/Programming/gitproj/DV4/SuperScalarModel-asl/configs/fourpe.conf \
  -f /Users/blacktraker/Programming/gitproj/DV4/SuperNPUBench/eval/perf_data/SuperNPUBench_3operators_elf_diss_swimlane_pipeview_20261019/matmul_HIF4_M48_K7168_N96_reuseA_fullK_C3_tM128_tN32_tK2048/matmul_HIF4_M48_K7168_N96_reuseA_fullK_C3_tM128_tN32_tK2048.elf</x:v>
      </x:c>
      <x:c r="T48" s="945" t="str">
        <x:f>'Matmul原始数据'!Z133</x:f>
        <x:v>2026-10-22 当前源码重编，gfrun PASS；timing/trace 同一命令。性能口径使用 Group Total Cycles=4784（全程序 Total Cycles=5234），有效 MFU=1008/4784=21.0702%。
配置：HIF4 M/K/N=48/7168/96，tM/tN/tK=128/32/2048，C=3，local A tail，SharedTReg 256B/cycle，SoC BW156/lat260。
模型状态：SuperScalarModel-asl base=bdbafed55613955d0b8b27438e9e7d2a72dfccd2 + 保存的 5 文件调度状态 ad8490782；本次重建 gfsim SHA256=b423fef9a5ff6419360e304027da2fc58d430499c27515803a150b963217e6c1。
ELF SHA256=8e3c2f5f286ac499f690418114a44f3fedbe074ef6c2722299b819d1dc71d137。
SwimLane=https://github.com/PTO-ISA/SuperNPUBench/blob/main/eval/perf_data/SuperNPUBench_3operators_elf_diss_swimlane_pipeview_20261019/matmul_HIF4_M48_K7168_N96_reuseA_fullK_C3_tM128_tN32_tK2048/matmul_HIF4_M48_K7168_N96_reuseA_fullK_C3_tM128_tN32_tK2048.swimlane.json
PipeView=https://github.com/PTO-ISA/SuperNPUBench/blob/main/eval/perf_data/SuperNPUBench_3operators_elf_diss_swimlane_pipeview_20261019/matmul_HIF4_M48_K7168_N96_reuseA_fullK_C3_tM128_tN32_tK2048/matmul_HIF4_M48_K7168_N96_reuseA_fullK_C3_tM128_tN32_tK2048.pipeview.log.out
DISS=https://github.com/PTO-ISA/SuperNPUBench/blob/main/eval/perf_data/SuperNPUBench_3operators_elf_diss_swimlane_pipeview_20261019/matmul_HIF4_M48_K7168_N96_reuseA_fullK_C3_tM128_tN32_tK2048/matmul_HIF4_M48_K7168_N96_reuseA_fullK_C3_tM128_tN32_tK2048.diss</x:v>
      </x:c>
      <x:c r="U48" s="1276" t="str">
        <x:v>https://github.com/PTO-ISA/SuperNPUBench/blob/main/benchmark/one-level-arch/kernels/basic_op/matmul/matmul_lowp_reuseA.hpp#L20</x:v>
      </x:c>
    </x:row>
    <x:row r="49" ht="48" customHeight="1">
      <x:c r="A49" s="1291" t="str">
        <x:f>'Matmul原始数据'!A103</x:f>
        <x:v>matmul (ubm)</x:v>
      </x:c>
      <x:c r="B49" s="1292" t="str">
        <x:f>'Matmul原始数据'!B103</x:f>
        <x:v>HIF4</x:v>
      </x:c>
      <x:c r="C49" s="1292" t="str">
        <x:v>-</x:v>
      </x:c>
      <x:c r="D49" s="1292"/>
      <x:c r="E49" s="1292" t="str">
        <x:f>'Matmul原始数据'!F103</x:f>
        <x:v>[256,4096,1280]</x:v>
      </x:c>
      <x:c r="F49" s="1292" t="str">
        <x:f>'Matmul原始数据'!G103</x:f>
        <x:v>B-major</x:v>
      </x:c>
      <x:c r="G49" s="1293"/>
      <x:c r="H49" s="1294"/>
      <x:c r="I49" s="1280" t="n">
        <x:f>'Matmul原始数据'!O134</x:f>
        <x:v>46593</x:v>
      </x:c>
      <x:c r="J49" s="1295" t="n">
        <x:f>'Matmul原始数据'!P134</x:f>
        <x:v>29.120625</x:v>
      </x:c>
      <x:c r="K49" s="1280" t="n">
        <x:f>'Matmul原始数据'!Q134</x:f>
        <x:v>32768</x:v>
      </x:c>
      <x:c r="L49" s="1280" t="n">
        <x:f>'Matmul原始数据'!R134</x:f>
        <x:v>40960</x:v>
      </x:c>
      <x:c r="M49" s="1280"/>
      <x:c r="N49" s="1280"/>
      <x:c r="O49" s="906" t="n">
        <x:f>'Matmul原始数据'!S134</x:f>
        <x:v>0.8791020110317</x:v>
      </x:c>
      <x:c r="P49" s="1279"/>
      <x:c r="Q49" s="1160" t="str">
        <x:v>PASS / ASL stash</x:v>
      </x:c>
      <x:c r="R49" s="1161" t="str">
        <x:f>'Matmul原始数据'!AB134</x:f>
        <x:v>reuseA fullK; tM/tN/tK=128/128/512; C=2; local
ASL bdbafed+ad8490782; SoC156/lat260; SharedTReg256B/cycle; Group Total Cycles</x:v>
      </x:c>
      <x:c r="S49" s="856" t="str">
        <x:f>'Matmul原始数据'!AA134</x:f>
        <x:v>cd /Users/blacktraker/Programming/gitproj/DV4/SuperScalarModel-asl &amp;&amp; ./bin/gfsim \
  -s softcore.multiThreadNum=4 \
  -s dfx.swimCounterSampleInterval=256 \
  -s bctrl.vec_cell_sched_enable=false \
  -s bctrl.vecIssueQDepth=64 \
  -s bctrl.bctrl_bandwidth=8 \
  -s spe.speROBDepth=128 \
  -s cube.l0aSharetregResident=true \
  -s cube.l0aResidentTagNum=8 \
  -s core.sharetreg_bandwidth_bytes=256 \
  -s cube.enable_internal_acc=true \
  -s spe.macroDescriptorFusion=true \
  -s core.soc_random=true \
  -s core.soc_bw_limit=156 \
  -s core.soc_lat_mean=260 \
  -s core.soc_lat_random_seed=1 \
  -s bfu.hwpf_nl_degree=32 \
  -s bfu.hwpf_max_pending_req=32 \
  -s bfu.bhc_pf_nostd=32 \
  -s bfu.bhc_nostd=40 \
  -s core.sharetreg_size_bytes=262144 \
  -s core.sharetreg_ssb_count=64 \
  -s cube.uop_isq_entry_size=64 \
  --conf /Users/blacktraker/Programming/gitproj/DV4/SuperScalarModel-asl/configs/fourpe.conf \
  -f /Users/blacktraker/Programming/gitproj/DV4/SuperNPUBench/eval/perf_data/SuperNPUBench_3operators_elf_diss_swimlane_pipeview_20261019/matmul_HIF4_M256_K4096_N1280_reuseA_fullK_C2_tM128_tN128_tK512/matmul_HIF4_M256_K4096_N1280_reuseA_fullK_C2_tM128_tN128_tK512.elf</x:v>
      </x:c>
      <x:c r="T49" s="1179" t="str">
        <x:f>'Matmul原始数据'!Z134</x:f>
        <x:v>2026-10-22 当前源码重编，gfrun PASS；timing/trace 同一命令。性能口径使用 Group Total Cycles=46593（全程序 Total Cycles=47054），有效 MFU=40960/46593=87.9102%。
配置：HIF4 M/K/N=256/4096/1280，tM/tN/tK=128/128/512，C=2，local，SharedTReg 256B/cycle，SoC BW156/lat260。
模型状态：SuperScalarModel-asl base=bdbafed55613955d0b8b27438e9e7d2a72dfccd2 + 保存的 5 文件调度状态 ad8490782；本次重建 gfsim SHA256=b423fef9a5ff6419360e304027da2fc58d430499c27515803a150b963217e6c1。
ELF SHA256=f378223bb3808eac2866529f8ed92b81572135b34b41895a36e6b00a54150fa1。
SwimLane=https://github.com/PTO-ISA/SuperNPUBench/blob/main/eval/perf_data/SuperNPUBench_3operators_elf_diss_swimlane_pipeview_20261019/matmul_HIF4_M256_K4096_N1280_reuseA_fullK_C2_tM128_tN128_tK512/matmul_HIF4_M256_K4096_N1280_reuseA_fullK_C2_tM128_tN128_tK512.swimlane.json
PipeView=https://github.com/PTO-ISA/SuperNPUBench/blob/main/eval/perf_data/SuperNPUBench_3operators_elf_diss_swimlane_pipeview_20261019/matmul_HIF4_M256_K4096_N1280_reuseA_fullK_C2_tM128_tN128_tK512/matmul_HIF4_M256_K4096_N1280_reuseA_fullK_C2_tM128_tN128_tK512.pipeview.log.out
DISS=https://github.com/PTO-ISA/SuperNPUBench/blob/main/eval/perf_data/SuperNPUBench_3operators_elf_diss_swimlane_pipeview_20261019/matmul_HIF4_M256_K4096_N1280_reuseA_fullK_C2_tM128_tN128_tK512/matmul_HIF4_M256_K4096_N1280_reuseA_fullK_C2_tM128_tN128_tK512.diss</x:v>
      </x:c>
      <x:c r="U49" s="1278" t="str">
        <x:v>https://github.com/PTO-ISA/SuperNPUBench/blob/main/benchmark/one-level-arch/kernels/basic_op/matmul/matmul_lowp_reuseA_full_cache.hpp#L43</x:v>
      </x:c>
    </x:row>
    <x:row r="50" ht="48" customHeight="1">
      <x:c r="A50" s="854" t="str">
        <x:v>vector</x:v>
      </x:c>
      <x:c r="B50" s="822" t="str">
        <x:v>rms-norm</x:v>
      </x:c>
      <x:c r="C50" s="822" t="str">
        <x:v>fp16</x:v>
      </x:c>
      <x:c r="D50" s="822"/>
      <x:c r="E50" s="822" t="str">
        <x:v>[128,8192]</x:v>
      </x:c>
      <x:c r="F50" s="822" t="str">
        <x:v>RowMajor</x:v>
      </x:c>
      <x:c r="G50" s="886"/>
      <x:c r="H50" s="887"/>
      <x:c r="I50" s="888" t="n">
        <x:v>51222</x:v>
      </x:c>
      <x:c r="J50" s="889" t="n">
        <x:f>IF(I50="","",I50/($B$4*1000))</x:f>
        <x:v>32.01375</x:v>
      </x:c>
      <x:c r="K50" s="888"/>
      <x:c r="L50" s="888"/>
      <x:c r="M50" s="888"/>
      <x:c r="N50" s="888"/>
      <x:c r="O50" s="887"/>
      <x:c r="P50" s="890"/>
      <x:c r="Q50" s="922" t="str">
        <x:v>PASS</x:v>
      </x:c>
      <x:c r="R50" s="943" t="str">
        <x:v>rms_norm_dynamic_tree_32k; G_A=128; G_R=8192; PE_NUM=4; softcore.multiThreadNum=4; cube.enable_internal_acc=true; bctrl.vec_cell_sched_enable=true; core.soc_random=true; core.soc_bw_limit=113; core.soc_lat_mean=330; core.sharetreg_size_bytes=262144; core.sharetreg_ssb_count=64</x:v>
      </x:c>
      <x:c r="S50" s="943"/>
      <x:c r="T50" s="943" t="str">
        <x:v>tree [128,8192]: 51,222 cycles / 32.014 us；SIMT 同 shape: 75,893 cycles / 47.433 us，tree 少 32.51% cycles；SIMT [128,16384]: 132,320 cycles / 82.700 us；tree [128,16384] 在 TROWSUM deadlock，无有效 cycle。model=590b0fb8；compiler=e6a31efb；repo=188bf6c dirty；日志: /Users/blacktraker/Programming/gitproj/DV4/SuperNPUBench/outputs/operator_perf_20261009/logs/rms_norm_dynamic_tree_32k_gR8192.gfsim.log；汇总: /Users/blacktraker/Programming/gitproj/DV4/SuperNPUBench/outputs/operator_perf_20261009/results.tsv</x:v>
      </x:c>
      <x:c r="U50" s="1263" t="str">
        <x:v>https://github.com/PTO-ISA/SuperNPUBench/blob/main/benchmark/one-level-arch/kernels/solution/normalization/rms_norm/rms_norm_dynamic_tree_32k.hpp#L405</x:v>
      </x:c>
    </x:row>
    <x:row r="51" ht="48" customHeight="1">
      <x:c r="A51" s="856" t="str">
        <x:v>vector</x:v>
      </x:c>
      <x:c r="B51" s="862" t="str">
        <x:v>mxquant</x:v>
      </x:c>
      <x:c r="C51" s="862" t="str">
        <x:v>bf16 -&gt; e4m3 + e8m0</x:v>
      </x:c>
      <x:c r="D51" s="862"/>
      <x:c r="E51" s="862" t="str">
        <x:v>[512,256], group=32</x:v>
      </x:c>
      <x:c r="F51" s="862" t="str">
        <x:v>RowMajor</x:v>
      </x:c>
      <x:c r="G51" s="896"/>
      <x:c r="H51" s="897"/>
      <x:c r="I51" s="898"/>
      <x:c r="J51" s="899" t="str">
        <x:f>IF(I51="","",I51/($B$4*1000))</x:f>
      </x:c>
      <x:c r="K51" s="898"/>
      <x:c r="L51" s="898"/>
      <x:c r="M51" s="898"/>
      <x:c r="N51" s="898"/>
      <x:c r="O51" s="897"/>
      <x:c r="P51" s="900"/>
      <x:c r="Q51" s="924" t="str">
        <x:v>MODEL_ASSERT</x:v>
      </x:c>
      <x:c r="R51" s="945" t="str">
        <x:v>mxquant; PE_NUM=4; softcore.multiThreadNum=4; cube.enable_internal_acc=true; bctrl.vec_cell_sched_enable=true; core.soc_random=true; core.soc_bw_limit=113; core.soc_lat_mean=330; core.sharetreg_size_bytes=262144; core.sharetreg_ssb_count=64</x:v>
      </x:c>
      <x:c r="S51" s="945"/>
      <x:c r="T51" s="945" t="str">
        <x:v>编译 PASS；完整 mxquant、compute、compute_tabs 均命中 PTO #311 row reduction destinationShape.requiredBytes 断言，无有效 cycle。仅输入展开对照 mxquant_texpands PASS: 1,093 cycles / 0.683 us，不作为完整算子性能。model=590b0fb8；compiler=e6a31efb；repo=188bf6c dirty；日志: /Users/blacktraker/Programming/gitproj/DV4/SuperNPUBench/outputs/operator_perf_20261009/logs/mxquant.gfsim.log；汇总: /Users/blacktraker/Programming/gitproj/DV4/SuperNPUBench/outputs/operator_perf_20261009/results.tsv</x:v>
      </x:c>
      <x:c r="U51" s="1263" t="str">
        <x:v>https://github.com/PTO-ISA/SuperNPUBench/blob/main/benchmark/one-level-arch/kernels/basic_op/mxquant/mxquant.hpp#L180</x:v>
      </x:c>
    </x:row>
    <x:row r="52" ht="48" customHeight="1">
      <x:c r="A52" s="859" t="str">
        <x:v>待定</x:v>
      </x:c>
      <x:c r="B52" s="865"/>
      <x:c r="C52" s="865"/>
      <x:c r="D52" s="865"/>
      <x:c r="E52" s="865"/>
      <x:c r="F52" s="865"/>
      <x:c r="G52" s="913"/>
      <x:c r="H52" s="914"/>
      <x:c r="I52" s="915"/>
      <x:c r="J52" s="916"/>
      <x:c r="K52" s="915"/>
      <x:c r="L52" s="915"/>
      <x:c r="M52" s="915"/>
      <x:c r="N52" s="915"/>
      <x:c r="O52" s="914"/>
      <x:c r="P52" s="917"/>
      <x:c r="Q52" s="932"/>
      <x:c r="R52" s="954"/>
      <x:c r="S52" s="954"/>
      <x:c r="T52" s="954"/>
      <x:c r="U52"/>
    </x:row>
    <x:row r="53" ht="34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 ht="34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 ht="34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 ht="34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 ht="34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 ht="34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 ht="34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 ht="34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 ht="34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 ht="34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 ht="34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 ht="34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 ht="34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 ht="34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 ht="34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 ht="34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 ht="34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 ht="34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 ht="34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 ht="34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 ht="34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 ht="34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 ht="34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 ht="34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 ht="34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 ht="3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 ht="3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 ht="3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 ht="3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 ht="3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 ht="3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 ht="3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 ht="3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 ht="3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 ht="34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 ht="34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 ht="34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 ht="34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 ht="34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 ht="34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 ht="34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 ht="34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 ht="34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 ht="34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 ht="34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 ht="34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 ht="34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 ht="34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 ht="34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 ht="34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 ht="34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 ht="34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 ht="34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 ht="34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 ht="34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 ht="34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 ht="34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 ht="78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 ht="78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 ht="34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</x:sheetData>
  <x:mergeCells>
    <x:mergeCell ref="A8:F8"/>
    <x:mergeCell ref="G8:H8"/>
    <x:mergeCell ref="G4:S4"/>
    <x:mergeCell ref="G5:S6"/>
    <x:mergeCell ref="I8:O8"/>
    <x:mergeCell ref="Q8:T8"/>
    <x:mergeCell ref="A42:A43"/>
    <x:mergeCell ref="B42:B43"/>
    <x:mergeCell ref="C42:C43"/>
    <x:mergeCell ref="D42:D43"/>
    <x:mergeCell ref="E42:E43"/>
    <x:mergeCell ref="F42:F43"/>
    <x:mergeCell ref="G42:G43"/>
    <x:mergeCell ref="H42:H43"/>
    <x:mergeCell ref="A44:A45"/>
    <x:mergeCell ref="B44:B45"/>
    <x:mergeCell ref="C44:C45"/>
    <x:mergeCell ref="D44:D45"/>
    <x:mergeCell ref="E44:E45"/>
    <x:mergeCell ref="F44:F45"/>
    <x:mergeCell ref="G44:G45"/>
    <x:mergeCell ref="H44:H45"/>
    <x:mergeCell ref="A46:A47"/>
    <x:mergeCell ref="B46:B47"/>
    <x:mergeCell ref="C46:C47"/>
    <x:mergeCell ref="D46:D47"/>
    <x:mergeCell ref="E46:E47"/>
    <x:mergeCell ref="F46:F47"/>
    <x:mergeCell ref="G46:G47"/>
    <x:mergeCell ref="H46:H47"/>
    <x:mergeCell ref="S42:S47"/>
  </x:mergeCells>
  <x:hyperlinks>
    <x:hyperlink xmlns:r="http://schemas.openxmlformats.org/officeDocument/2006/relationships" ref="U10" r:id="Rcc4881edd8c94650"/>
    <x:hyperlink xmlns:r="http://schemas.openxmlformats.org/officeDocument/2006/relationships" ref="U11" r:id="R8ad21ccccee4407e"/>
    <x:hyperlink xmlns:r="http://schemas.openxmlformats.org/officeDocument/2006/relationships" ref="U12" r:id="R29ea4dbbfe614152"/>
    <x:hyperlink xmlns:r="http://schemas.openxmlformats.org/officeDocument/2006/relationships" ref="U13" r:id="R800a887673c74074"/>
    <x:hyperlink xmlns:r="http://schemas.openxmlformats.org/officeDocument/2006/relationships" ref="U14" r:id="R68bdf532efc34181"/>
    <x:hyperlink xmlns:r="http://schemas.openxmlformats.org/officeDocument/2006/relationships" ref="U15" r:id="Rcfbe0e6da2d848b3"/>
    <x:hyperlink xmlns:r="http://schemas.openxmlformats.org/officeDocument/2006/relationships" ref="U16" r:id="R6a1deb836125430b"/>
    <x:hyperlink xmlns:r="http://schemas.openxmlformats.org/officeDocument/2006/relationships" ref="U17" r:id="Rfa20094f78984fce"/>
    <x:hyperlink xmlns:r="http://schemas.openxmlformats.org/officeDocument/2006/relationships" ref="U18" r:id="Rece4c68ffcf14ce7"/>
    <x:hyperlink xmlns:r="http://schemas.openxmlformats.org/officeDocument/2006/relationships" ref="U19" r:id="R94356859acf54e93"/>
    <x:hyperlink xmlns:r="http://schemas.openxmlformats.org/officeDocument/2006/relationships" ref="U20" r:id="Ref0d38bb2e594741"/>
    <x:hyperlink xmlns:r="http://schemas.openxmlformats.org/officeDocument/2006/relationships" ref="U21" r:id="Rda6467c539c944f0"/>
    <x:hyperlink xmlns:r="http://schemas.openxmlformats.org/officeDocument/2006/relationships" ref="U22" r:id="R02b5168fd40a4b19"/>
    <x:hyperlink xmlns:r="http://schemas.openxmlformats.org/officeDocument/2006/relationships" ref="U23" r:id="R1270e73c24c34e75"/>
    <x:hyperlink xmlns:r="http://schemas.openxmlformats.org/officeDocument/2006/relationships" ref="U24" r:id="R7ea7b1ed0d9544a8"/>
    <x:hyperlink xmlns:r="http://schemas.openxmlformats.org/officeDocument/2006/relationships" ref="U25" r:id="Ra9f97768b4624601"/>
    <x:hyperlink xmlns:r="http://schemas.openxmlformats.org/officeDocument/2006/relationships" ref="U26" r:id="Rfce25e2abcea40fb"/>
    <x:hyperlink xmlns:r="http://schemas.openxmlformats.org/officeDocument/2006/relationships" ref="U27" r:id="R1b0f06e672dc45aa"/>
    <x:hyperlink xmlns:r="http://schemas.openxmlformats.org/officeDocument/2006/relationships" ref="U28" r:id="R6dce6855734843f3"/>
    <x:hyperlink xmlns:r="http://schemas.openxmlformats.org/officeDocument/2006/relationships" ref="U29" r:id="R415b3f5060454b30"/>
    <x:hyperlink xmlns:r="http://schemas.openxmlformats.org/officeDocument/2006/relationships" ref="U30" r:id="Ref4cf975a2b74c43"/>
    <x:hyperlink xmlns:r="http://schemas.openxmlformats.org/officeDocument/2006/relationships" ref="U31" r:id="Rfce337f661cd4ac7"/>
    <x:hyperlink xmlns:r="http://schemas.openxmlformats.org/officeDocument/2006/relationships" ref="U32" r:id="Rf05bbc162e4740ea"/>
    <x:hyperlink xmlns:r="http://schemas.openxmlformats.org/officeDocument/2006/relationships" ref="U33" r:id="R6881f018b0ba48bf"/>
    <x:hyperlink xmlns:r="http://schemas.openxmlformats.org/officeDocument/2006/relationships" ref="U34" r:id="R9d49251d1bf144b5"/>
    <x:hyperlink xmlns:r="http://schemas.openxmlformats.org/officeDocument/2006/relationships" ref="U35" r:id="R87910730539041ee"/>
    <x:hyperlink xmlns:r="http://schemas.openxmlformats.org/officeDocument/2006/relationships" ref="U36" r:id="R8d62e1459f3a4ef5"/>
    <x:hyperlink xmlns:r="http://schemas.openxmlformats.org/officeDocument/2006/relationships" ref="U37" r:id="Rbdd0e59a04874738"/>
    <x:hyperlink xmlns:r="http://schemas.openxmlformats.org/officeDocument/2006/relationships" ref="U38" r:id="R5f7cf5c0d60c4d66"/>
    <x:hyperlink xmlns:r="http://schemas.openxmlformats.org/officeDocument/2006/relationships" ref="U39" r:id="R31298ab627274a27"/>
    <x:hyperlink xmlns:r="http://schemas.openxmlformats.org/officeDocument/2006/relationships" ref="U40" r:id="R2ad4bea745d147d3"/>
    <x:hyperlink xmlns:r="http://schemas.openxmlformats.org/officeDocument/2006/relationships" ref="U41" r:id="R5a2ad02b43354369"/>
    <x:hyperlink xmlns:r="http://schemas.openxmlformats.org/officeDocument/2006/relationships" ref="U42" r:id="R0b13810ebb9f413f"/>
    <x:hyperlink xmlns:r="http://schemas.openxmlformats.org/officeDocument/2006/relationships" ref="U43" r:id="Re96c354e04004b3a"/>
    <x:hyperlink xmlns:r="http://schemas.openxmlformats.org/officeDocument/2006/relationships" ref="U44" r:id="R00e35dd8806944d3"/>
    <x:hyperlink xmlns:r="http://schemas.openxmlformats.org/officeDocument/2006/relationships" ref="U45" r:id="R4e76c0f0d35f415d"/>
    <x:hyperlink xmlns:r="http://schemas.openxmlformats.org/officeDocument/2006/relationships" ref="U46" r:id="R3613f0b806a1422e"/>
    <x:hyperlink xmlns:r="http://schemas.openxmlformats.org/officeDocument/2006/relationships" ref="U48" r:id="R14ce49f14b2d4e30"/>
    <x:hyperlink xmlns:r="http://schemas.openxmlformats.org/officeDocument/2006/relationships" ref="U49" r:id="Rb02c5bf4c6294dff"/>
    <x:hyperlink xmlns:r="http://schemas.openxmlformats.org/officeDocument/2006/relationships" ref="U50" r:id="R249b3885be15470a"/>
    <x:hyperlink xmlns:r="http://schemas.openxmlformats.org/officeDocument/2006/relationships" ref="U51" r:id="R0680b21eda1c403a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.890000343322754" hidden="0" customWidth="1"/>
    <x:col min="2" max="2" width="8.670000076293945" hidden="0" customWidth="1"/>
    <x:col min="3" max="3" width="9.5600004196167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13.109999656677246" hidden="0" customWidth="1"/>
    <x:col min="8" max="8" width="10.220000267028809" hidden="0" customWidth="1"/>
    <x:col min="9" max="9" width="10.220000267028809" hidden="0" customWidth="1"/>
    <x:col min="10" max="10" width="10.220000267028809" hidden="0" customWidth="1"/>
    <x:col min="11" max="11" width="11.109999656677246" hidden="0" customWidth="1"/>
    <x:col min="12" max="12" width="13.329999923706055" hidden="0" customWidth="1"/>
    <x:col min="13" max="13" width="45.560001373291016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</x:row>
    <x:row r="2" ht="19.5" customHeight="1">
      <x:c r="A2" s="364" t="str">
        <x:v>FA FP8 / BF16 D=256 TileK 择优（fa_gmma_opt）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</x:row>
    <x:row r="4" ht="19.5" customHeight="1">
      <x:c r="A4" s="365" t="str">
        <x:v>配置</x:v>
      </x:c>
      <x:c r="B4" s="363" t="str">
        <x:v>[1,8192,8,256] BSND</x:v>
      </x:c>
      <x:c r="C4" s="363"/>
      <x:c r="D4" s="366" t="str">
        <x:v>time (us) 公式</x:v>
      </x:c>
      <x:c r="E4" s="536" t="str">
        <x:v>= cycles / (1.6 × 1000) = cycles / 1600</x:v>
      </x:c>
      <x:c r="F4" s="536"/>
      <x:c r="G4" s="536"/>
      <x:c r="H4" s="536"/>
      <x:c r="I4" s="536"/>
      <x:c r="J4" s="536"/>
      <x:c r="K4" s="536"/>
      <x:c r="L4" s="536"/>
      <x:c r="M4" s="536"/>
    </x:row>
    <x:row r="5" ht="22.5" customHeight="1">
      <x:c r="A5" s="365" t="str">
        <x:v>固定参数</x:v>
      </x:c>
      <x:c r="B5" s="363" t="str">
        <x:v>Sq=128; Skv=8192; HeadDim=256; Tm=128</x:v>
      </x:c>
      <x:c r="C5" s="363"/>
      <x:c r="D5" s="366" t="str">
        <x:v>MFU 公式</x:v>
      </x:c>
      <x:c r="E5" s="536" t="str">
        <x:v>= [2 × 128 × 8192 × 256 / 8192] / cycles = 65536 / cycles</x:v>
      </x:c>
      <x:c r="F5" s="536"/>
      <x:c r="G5" s="536"/>
      <x:c r="H5" s="536"/>
      <x:c r="I5" s="536"/>
      <x:c r="J5" s="536"/>
      <x:c r="K5" s="536"/>
      <x:c r="L5" s="536"/>
      <x:c r="M5" s="536"/>
    </x:row>
    <x:row r="6" ht="22.5" customHeight="1">
      <x:c r="A6" s="365" t="str">
        <x:v>频率</x:v>
      </x:c>
      <x:c r="B6" s="363" t="str">
        <x:v>1.6 GHz</x:v>
      </x:c>
      <x:c r="C6" s="363"/>
      <x:c r="D6" s="366" t="str">
        <x:v>SharedTReg 上限</x:v>
      </x:c>
      <x:c r="E6" s="536" t="str">
        <x:v>256 KiB</x:v>
      </x:c>
      <x:c r="F6" s="536"/>
      <x:c r="G6" s="536"/>
      <x:c r="H6" s="536"/>
      <x:c r="I6" s="536"/>
      <x:c r="J6" s="536"/>
      <x:c r="K6" s="536"/>
      <x:c r="L6" s="536"/>
      <x:c r="M6" s="536"/>
    </x:row>
    <x:row r="7" ht="22.5" customHeight="1">
      <x:c r="A7" s="365" t="str">
        <x:v>最优配置</x:v>
      </x:c>
      <x:c r="B7" s="363" t="str">
        <x:v>Tm=128; Tk=128</x:v>
      </x:c>
      <x:c r="C7" s="363"/>
      <x:c r="D7" s="366" t="str">
        <x:v>结论</x:v>
      </x:c>
      <x:c r="E7" s="536" t="str">
        <x:v>保留各轮数据：16–19行为回退复测，20–23行为ASL复测（该轮Tk64最优）。K列统一对比历史Tk128的69,488 cycles。主表按来源表9组指定配置更新。</x:v>
      </x:c>
      <x:c r="F7" s="536"/>
      <x:c r="G7" s="536"/>
      <x:c r="H7" s="536"/>
      <x:c r="I7" s="536"/>
      <x:c r="J7" s="536"/>
      <x:c r="K7" s="536"/>
      <x:c r="L7" s="536"/>
      <x:c r="M7" s="536"/>
    </x:row>
    <x:row r="8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 s="363"/>
      <x:c r="L8" s="363"/>
      <x:c r="M8" s="363"/>
    </x:row>
    <x:row r="9" ht="30" customHeight="1">
      <x:c r="A9" s="553" t="str">
        <x:v>Tm</x:v>
      </x:c>
      <x:c r="B9" s="553" t="str">
        <x:v>Tk</x:v>
      </x:c>
      <x:c r="C9" s="553" t="str">
        <x:v>KV blocks</x:v>
      </x:c>
      <x:c r="D9" s="553" t="str">
        <x:v>Q (KiB)</x:v>
      </x:c>
      <x:c r="E9" s="553" t="str">
        <x:v>K (KiB)</x:v>
      </x:c>
      <x:c r="F9" s="553" t="str">
        <x:v>V (KiB)</x:v>
      </x:c>
      <x:c r="G9" s="553" t="str">
        <x:v>峰值 Q+K+V (KiB)</x:v>
      </x:c>
      <x:c r="H9" s="553" t="str">
        <x:v>cycles</x:v>
      </x:c>
      <x:c r="I9" s="553" t="str">
        <x:v>time (us)</x:v>
      </x:c>
      <x:c r="J9" s="553" t="str">
        <x:v>MFU</x:v>
      </x:c>
      <x:c r="K9" s="553" t="str">
        <x:v>cycles vs 历史基准</x:v>
      </x:c>
      <x:c r="L9" s="553" t="str">
        <x:v>状态</x:v>
      </x:c>
      <x:c r="M9" s="553" t="str">
        <x:v>gfsim 日志 / 说明</x:v>
      </x:c>
    </x:row>
    <x:row r="10" ht="25.5" customHeight="1">
      <x:c r="A10" s="568" t="n">
        <x:v>128</x:v>
      </x:c>
      <x:c r="B10" s="568" t="n">
        <x:v>32</x:v>
      </x:c>
      <x:c r="C10" s="568" t="n">
        <x:v>256</x:v>
      </x:c>
      <x:c r="D10" s="568" t="n">
        <x:v>32</x:v>
      </x:c>
      <x:c r="E10" s="568" t="n">
        <x:v>8</x:v>
      </x:c>
      <x:c r="F10" s="568" t="n">
        <x:v>8</x:v>
      </x:c>
      <x:c r="G10" s="568" t="n">
        <x:v>48</x:v>
      </x:c>
      <x:c r="H10" s="568" t="n">
        <x:v>158012</x:v>
      </x:c>
      <x:c r="I10" s="569" t="n">
        <x:f>H10/1600</x:f>
        <x:v>98.7575</x:v>
      </x:c>
      <x:c r="J10" s="570" t="n">
        <x:f>65536/H10</x:f>
        <x:v>0.41475330987519937</x:v>
      </x:c>
      <x:c r="K10" s="570" t="n">
        <x:f>H10/MIN($H$10:$H$13)-1</x:f>
        <x:v>1.2739465807045822</x:v>
      </x:c>
      <x:c r="L10" s="571" t="str">
        <x:v>PASS</x:v>
      </x:c>
      <x:c r="M10" s="447" t="str">
        <x:v>/Users/blacktraker/Programming/gitproj/DV4/SuperNPUBench/outputs/fa_fp8_bf16_d256_tk_sweep_20261009/cases/tm128_tk32/gfsim.log</x:v>
      </x:c>
    </x:row>
    <x:row r="11" ht="25.5" customHeight="1">
      <x:c r="A11" s="572" t="n">
        <x:v>128</x:v>
      </x:c>
      <x:c r="B11" s="572" t="n">
        <x:v>64</x:v>
      </x:c>
      <x:c r="C11" s="572" t="n">
        <x:v>128</x:v>
      </x:c>
      <x:c r="D11" s="572" t="n">
        <x:v>32</x:v>
      </x:c>
      <x:c r="E11" s="572" t="n">
        <x:v>16</x:v>
      </x:c>
      <x:c r="F11" s="572" t="n">
        <x:v>16</x:v>
      </x:c>
      <x:c r="G11" s="572" t="n">
        <x:v>64</x:v>
      </x:c>
      <x:c r="H11" s="572" t="n">
        <x:v>81327</x:v>
      </x:c>
      <x:c r="I11" s="573" t="n">
        <x:f>H11/1600</x:f>
        <x:v>50.829375</x:v>
      </x:c>
      <x:c r="J11" s="574" t="n">
        <x:f>65536/H11</x:f>
        <x:v>0.8058332411130374</x:v>
      </x:c>
      <x:c r="K11" s="574" t="n">
        <x:f>H11/MIN($H$10:$H$13)-1</x:f>
        <x:v>0.1703747409624683</x:v>
      </x:c>
      <x:c r="L11" s="575" t="str">
        <x:v>PASS</x:v>
      </x:c>
      <x:c r="M11" s="455" t="str">
        <x:v>/Users/blacktraker/Programming/gitproj/DV4/SuperNPUBench/outputs/fa_fp8_bf16_d256_tk_sweep_20261009/cases/tm128_tk64/gfsim.log</x:v>
      </x:c>
    </x:row>
    <x:row r="12" ht="25.5" customHeight="1">
      <x:c r="A12" s="576" t="n">
        <x:v>128</x:v>
      </x:c>
      <x:c r="B12" s="576" t="n">
        <x:v>128</x:v>
      </x:c>
      <x:c r="C12" s="576" t="n">
        <x:v>64</x:v>
      </x:c>
      <x:c r="D12" s="576" t="n">
        <x:v>32</x:v>
      </x:c>
      <x:c r="E12" s="576" t="n">
        <x:v>32</x:v>
      </x:c>
      <x:c r="F12" s="576" t="n">
        <x:v>32</x:v>
      </x:c>
      <x:c r="G12" s="576" t="n">
        <x:v>96</x:v>
      </x:c>
      <x:c r="H12" s="576" t="n">
        <x:v>69488</x:v>
      </x:c>
      <x:c r="I12" s="577" t="n">
        <x:f>H12/1600</x:f>
        <x:v>43.43</x:v>
      </x:c>
      <x:c r="J12" s="578" t="n">
        <x:f>65536/H12</x:f>
        <x:v>0.9431268708266175</x:v>
      </x:c>
      <x:c r="K12" s="578" t="n">
        <x:f>H12/MIN($H$10:$H$13)-1</x:f>
        <x:v>0</x:v>
      </x:c>
      <x:c r="L12" s="579" t="str">
        <x:v>PASS</x:v>
      </x:c>
      <x:c r="M12" s="591" t="str">
        <x:v>/Users/blacktraker/Programming/gitproj/DV4/SuperNPUBench/outputs/fa_fp8_bf16_d256_tk_sweep_20261009/cases/tm128_tk128/gfsim.log</x:v>
      </x:c>
    </x:row>
    <x:row r="13" ht="25.5" customHeight="1">
      <x:c r="A13" s="572" t="n">
        <x:v>128</x:v>
      </x:c>
      <x:c r="B13" s="572" t="n">
        <x:v>256</x:v>
      </x:c>
      <x:c r="C13" s="572" t="n">
        <x:v>32</x:v>
      </x:c>
      <x:c r="D13" s="572" t="n">
        <x:v>32</x:v>
      </x:c>
      <x:c r="E13" s="572" t="n">
        <x:v>64</x:v>
      </x:c>
      <x:c r="F13" s="572" t="n">
        <x:v>64</x:v>
      </x:c>
      <x:c r="G13" s="572" t="n">
        <x:v>160</x:v>
      </x:c>
      <x:c r="H13" s="572" t="n">
        <x:v>77487</x:v>
      </x:c>
      <x:c r="I13" s="573" t="n">
        <x:f>H13/1600</x:f>
        <x:v>48.429375</x:v>
      </x:c>
      <x:c r="J13" s="574" t="n">
        <x:f>65536/H13</x:f>
        <x:v>0.8457676771587492</x:v>
      </x:c>
      <x:c r="K13" s="574" t="n">
        <x:f>H13/MIN($H$10:$H$13)-1</x:f>
        <x:v>0.11511340087497124</x:v>
      </x:c>
      <x:c r="L13" s="575" t="str">
        <x:v>PASS</x:v>
      </x:c>
      <x:c r="M13" s="455" t="str">
        <x:v>/Users/blacktraker/Programming/gitproj/DV4/SuperNPUBench/outputs/fa_fp8_bf16_d256_tk_sweep_20261009/cases/tm128_tk256/gfsim.log</x:v>
      </x:c>
    </x:row>
    <x:row r="14" ht="25.5" customHeight="1">
      <x:c r="A14" s="581" t="n">
        <x:v>128</x:v>
      </x:c>
      <x:c r="B14" s="581" t="n">
        <x:v>512</x:v>
      </x:c>
      <x:c r="C14" s="581" t="n">
        <x:v>16</x:v>
      </x:c>
      <x:c r="D14" s="581" t="n">
        <x:v>32</x:v>
      </x:c>
      <x:c r="E14" s="581" t="n">
        <x:v>128</x:v>
      </x:c>
      <x:c r="F14" s="581" t="n">
        <x:v>128</x:v>
      </x:c>
      <x:c r="G14" s="581" t="n">
        <x:v>288</x:v>
      </x:c>
      <x:c r="H14" s="581"/>
      <x:c r="I14" s="582"/>
      <x:c r="J14" s="583"/>
      <x:c r="K14" s="583"/>
      <x:c r="L14" s="584" t="str">
        <x:v>SKIPPED_CAPACITY</x:v>
      </x:c>
      <x:c r="M14" s="592" t="str">
        <x:v>peak live Q+K+V footprint 288.0 KiB exceeds 256 KiB</x:v>
      </x:c>
    </x:row>
    <x:row r="15" ht="25.5" customHeight="1">
      <x:c r="A15" s="586" t="n">
        <x:v>128</x:v>
      </x:c>
      <x:c r="B15" s="586" t="n">
        <x:v>1024</x:v>
      </x:c>
      <x:c r="C15" s="586" t="n">
        <x:v>8</x:v>
      </x:c>
      <x:c r="D15" s="586" t="n">
        <x:v>32</x:v>
      </x:c>
      <x:c r="E15" s="586" t="n">
        <x:v>256</x:v>
      </x:c>
      <x:c r="F15" s="586" t="n">
        <x:v>256</x:v>
      </x:c>
      <x:c r="G15" s="586" t="n">
        <x:v>544</x:v>
      </x:c>
      <x:c r="H15" s="586"/>
      <x:c r="I15" s="587"/>
      <x:c r="J15" s="588"/>
      <x:c r="K15" s="588"/>
      <x:c r="L15" s="589" t="str">
        <x:v>SKIPPED_CAPACITY</x:v>
      </x:c>
      <x:c r="M15" s="593" t="str">
        <x:v>peak live Q+K+V footprint 544.0 KiB exceeds 256 KiB</x:v>
      </x:c>
    </x:row>
    <x:row r="16">
      <x:c r="A16" s="568" t="n">
        <x:v>128</x:v>
      </x:c>
      <x:c r="B16" s="568" t="n">
        <x:v>32</x:v>
      </x:c>
      <x:c r="C16" s="568" t="n">
        <x:v>256</x:v>
      </x:c>
      <x:c r="D16" s="568" t="n">
        <x:v>32</x:v>
      </x:c>
      <x:c r="E16" s="568" t="n">
        <x:v>8</x:v>
      </x:c>
      <x:c r="F16" s="568" t="n">
        <x:v>8</x:v>
      </x:c>
      <x:c r="G16" s="568" t="n">
        <x:v>48</x:v>
      </x:c>
      <x:c r="H16" s="568" t="n">
        <x:v>144833</x:v>
      </x:c>
      <x:c r="I16" s="569" t="n">
        <x:f>H16/('Markdown完整列表'!$B$4*1000)</x:f>
        <x:v>90.520625</x:v>
      </x:c>
      <x:c r="J16" s="570" t="n">
        <x:f>65536/H16</x:f>
        <x:v>0.4524935615501992</x:v>
      </x:c>
      <x:c r="K16" s="570" t="n">
        <x:f>H16/$H$12-1</x:f>
        <x:v>1.0842879346074143</x:v>
      </x:c>
      <x:c r="L16" s="571" t="str">
        <x:v>PASS</x:v>
      </x:c>
      <x:c r="M16" s="447" t="str">
        <x:v>/Users/blacktraker/Programming/gitproj/DV4/SuperNPUBench/outputs/fa_kchains_softmax_rollback_20261019/cases/tk32/gfsim.log</x:v>
      </x:c>
    </x:row>
    <x:row r="17">
      <x:c r="A17" s="572" t="n">
        <x:v>128</x:v>
      </x:c>
      <x:c r="B17" s="572" t="n">
        <x:v>64</x:v>
      </x:c>
      <x:c r="C17" s="572" t="n">
        <x:v>128</x:v>
      </x:c>
      <x:c r="D17" s="572" t="n">
        <x:v>32</x:v>
      </x:c>
      <x:c r="E17" s="572" t="n">
        <x:v>16</x:v>
      </x:c>
      <x:c r="F17" s="572" t="n">
        <x:v>16</x:v>
      </x:c>
      <x:c r="G17" s="572" t="n">
        <x:v>64</x:v>
      </x:c>
      <x:c r="H17" s="572" t="n">
        <x:v>73593</x:v>
      </x:c>
      <x:c r="I17" s="573" t="n">
        <x:f>H17/('Markdown完整列表'!$B$4*1000)</x:f>
        <x:v>45.995625</x:v>
      </x:c>
      <x:c r="J17" s="574" t="n">
        <x:f>65536/H17</x:f>
        <x:v>0.8905194787547729</x:v>
      </x:c>
      <x:c r="K17" s="574" t="n">
        <x:f>H17/$H$12-1</x:f>
        <x:v>0.059074948192493704</x:v>
      </x:c>
      <x:c r="L17" s="575" t="str">
        <x:v>PASS</x:v>
      </x:c>
      <x:c r="M17" s="455" t="str">
        <x:v>/Users/blacktraker/Programming/gitproj/DV4/SuperNPUBench/outputs/fa_kchains_softmax_rollback_20261019/cases/tk64/gfsim.log</x:v>
      </x:c>
    </x:row>
    <x:row r="18">
      <x:c r="A18" s="576" t="n">
        <x:v>128</x:v>
      </x:c>
      <x:c r="B18" s="576" t="n">
        <x:v>128</x:v>
      </x:c>
      <x:c r="C18" s="576" t="n">
        <x:v>64</x:v>
      </x:c>
      <x:c r="D18" s="576" t="n">
        <x:v>32</x:v>
      </x:c>
      <x:c r="E18" s="576" t="n">
        <x:v>32</x:v>
      </x:c>
      <x:c r="F18" s="576" t="n">
        <x:v>32</x:v>
      </x:c>
      <x:c r="G18" s="576" t="n">
        <x:v>96</x:v>
      </x:c>
      <x:c r="H18" s="576" t="n">
        <x:v>69483</x:v>
      </x:c>
      <x:c r="I18" s="577" t="n">
        <x:f>H18/('Markdown完整列表'!$B$4*1000)</x:f>
        <x:v>43.426875</x:v>
      </x:c>
      <x:c r="J18" s="578" t="n">
        <x:f>65536/H18</x:f>
        <x:v>0.9431947382813062</x:v>
      </x:c>
      <x:c r="K18" s="578" t="n">
        <x:f>H18/$H$12-1</x:f>
        <x:v>-0.00007195486990563271</x:v>
      </x:c>
      <x:c r="L18" s="579" t="str">
        <x:v>PASS</x:v>
      </x:c>
      <x:c r="M18" s="591" t="str">
        <x:v>/Users/blacktraker/Programming/gitproj/DV4/SuperNPUBench/outputs/fa_kchains_softmax_rollback_20261019/cases/row18/gfsim.log</x:v>
      </x:c>
    </x:row>
    <x:row r="19">
      <x:c r="A19" s="572" t="n">
        <x:v>128</x:v>
      </x:c>
      <x:c r="B19" s="572" t="n">
        <x:v>256</x:v>
      </x:c>
      <x:c r="C19" s="572" t="n">
        <x:v>32</x:v>
      </x:c>
      <x:c r="D19" s="572" t="n">
        <x:v>32</x:v>
      </x:c>
      <x:c r="E19" s="572" t="n">
        <x:v>64</x:v>
      </x:c>
      <x:c r="F19" s="572" t="n">
        <x:v>64</x:v>
      </x:c>
      <x:c r="G19" s="572" t="n">
        <x:v>160</x:v>
      </x:c>
      <x:c r="H19" s="572" t="n">
        <x:v>77371</x:v>
      </x:c>
      <x:c r="I19" s="573" t="n">
        <x:f>H19/('Markdown完整列表'!$B$4*1000)</x:f>
        <x:v>48.356875</x:v>
      </x:c>
      <x:c r="J19" s="574" t="n">
        <x:f>65536/H19</x:f>
        <x:v>0.8470357110545295</x:v>
      </x:c>
      <x:c r="K19" s="574" t="n">
        <x:f>H19/$H$12-1</x:f>
        <x:v>0.11344404789316131</x:v>
      </x:c>
      <x:c r="L19" s="575" t="str">
        <x:v>PASS</x:v>
      </x:c>
      <x:c r="M19" s="455" t="str">
        <x:v>/Users/blacktraker/Programming/gitproj/DV4/SuperNPUBench/outputs/fa_kchains_softmax_rollback_20261019/cases/tk256/gfsim.log</x:v>
      </x:c>
    </x:row>
    <x:row r="20">
      <x:c r="A20" s="1234" t="n">
        <x:v>128</x:v>
      </x:c>
      <x:c r="B20" s="1234" t="n">
        <x:v>32</x:v>
      </x:c>
      <x:c r="C20" s="1234" t="n">
        <x:v>256</x:v>
      </x:c>
      <x:c r="D20" s="1234" t="n">
        <x:v>32</x:v>
      </x:c>
      <x:c r="E20" s="1234" t="n">
        <x:v>8</x:v>
      </x:c>
      <x:c r="F20" s="1234" t="n">
        <x:v>8</x:v>
      </x:c>
      <x:c r="G20" s="1234" t="n">
        <x:v>48</x:v>
      </x:c>
      <x:c r="H20" s="1234" t="n">
        <x:v>68727</x:v>
      </x:c>
      <x:c r="I20" s="1235" t="n">
        <x:f>H20/('Markdown完整列表'!$B$4*1000)</x:f>
        <x:v>42.954375</x:v>
      </x:c>
      <x:c r="J20" s="1236" t="n">
        <x:f>65536/H20</x:f>
        <x:v>0.9535699215737629</x:v>
      </x:c>
      <x:c r="K20" s="1236" t="n">
        <x:f>H20/$H$12-1</x:f>
        <x:v>-0.010951531199631548</x:v>
      </x:c>
      <x:c r="L20" s="1237" t="str">
        <x:v>PASS</x:v>
      </x:c>
      <x:c r="M20" s="1238" t="str">
        <x:v>/Users/blacktraker/Programming/gitproj/DV4/SuperNPUBench/outputs/fa_asl_refresh_20261019/tk32.log</x:v>
      </x:c>
    </x:row>
    <x:row r="21">
      <x:c r="A21" s="1244" t="n">
        <x:v>128</x:v>
      </x:c>
      <x:c r="B21" s="1244" t="n">
        <x:v>64</x:v>
      </x:c>
      <x:c r="C21" s="1244" t="n">
        <x:v>128</x:v>
      </x:c>
      <x:c r="D21" s="1244" t="n">
        <x:v>32</x:v>
      </x:c>
      <x:c r="E21" s="1244" t="n">
        <x:v>16</x:v>
      </x:c>
      <x:c r="F21" s="1244" t="n">
        <x:v>16</x:v>
      </x:c>
      <x:c r="G21" s="1244" t="n">
        <x:v>64</x:v>
      </x:c>
      <x:c r="H21" s="1244" t="n">
        <x:v>68662</x:v>
      </x:c>
      <x:c r="I21" s="1245" t="n">
        <x:f>H21/('Markdown完整列表'!$B$4*1000)</x:f>
        <x:v>42.91375</x:v>
      </x:c>
      <x:c r="J21" s="1246" t="n">
        <x:f>65536/H21</x:f>
        <x:v>0.9544726340625092</x:v>
      </x:c>
      <x:c r="K21" s="1246" t="n">
        <x:f>H21/$H$12-1</x:f>
        <x:v>-0.011886944508404329</x:v>
      </x:c>
      <x:c r="L21" s="1242" t="str">
        <x:v>PASS</x:v>
      </x:c>
      <x:c r="M21" s="1247" t="str">
        <x:v>/Users/blacktraker/Programming/gitproj/DV4/SuperNPUBench/outputs/fa_asl_refresh_20261019/tk64.log</x:v>
      </x:c>
    </x:row>
    <x:row r="22">
      <x:c r="A22" s="1253" t="n">
        <x:v>128</x:v>
      </x:c>
      <x:c r="B22" s="1253" t="n">
        <x:v>128</x:v>
      </x:c>
      <x:c r="C22" s="1253" t="n">
        <x:v>64</x:v>
      </x:c>
      <x:c r="D22" s="1253" t="n">
        <x:v>32</x:v>
      </x:c>
      <x:c r="E22" s="1253" t="n">
        <x:v>32</x:v>
      </x:c>
      <x:c r="F22" s="1253" t="n">
        <x:v>32</x:v>
      </x:c>
      <x:c r="G22" s="1253" t="n">
        <x:v>96</x:v>
      </x:c>
      <x:c r="H22" s="1253" t="n">
        <x:v>68867</x:v>
      </x:c>
      <x:c r="I22" s="1254" t="n">
        <x:f>H22/('Markdown完整列表'!$B$4*1000)</x:f>
        <x:v>43.041875</x:v>
      </x:c>
      <x:c r="J22" s="1255" t="n">
        <x:f>65536/H22</x:f>
        <x:v>0.9516314054627034</x:v>
      </x:c>
      <x:c r="K22" s="1255" t="n">
        <x:f>H22/$H$12-1</x:f>
        <x:v>-0.008936794842274942</x:v>
      </x:c>
      <x:c r="L22" s="1256" t="str">
        <x:v>PASS</x:v>
      </x:c>
      <x:c r="M22" s="1257" t="str">
        <x:v>/Users/blacktraker/Programming/gitproj/DV4/SuperNPUBench/outputs/fa_asl_refresh_20261019/row18.log</x:v>
      </x:c>
    </x:row>
    <x:row r="23">
      <x:c r="A23" s="1253" t="n">
        <x:v>128</x:v>
      </x:c>
      <x:c r="B23" s="1253" t="n">
        <x:v>256</x:v>
      </x:c>
      <x:c r="C23" s="1253" t="n">
        <x:v>32</x:v>
      </x:c>
      <x:c r="D23" s="1253" t="n">
        <x:v>32</x:v>
      </x:c>
      <x:c r="E23" s="1253" t="n">
        <x:v>64</x:v>
      </x:c>
      <x:c r="F23" s="1253" t="n">
        <x:v>64</x:v>
      </x:c>
      <x:c r="G23" s="1253" t="n">
        <x:v>160</x:v>
      </x:c>
      <x:c r="H23" s="1253" t="n">
        <x:v>70286</x:v>
      </x:c>
      <x:c r="I23" s="1254" t="n">
        <x:f>H23/('Markdown完整列表'!$B$4*1000)</x:f>
        <x:v>43.92875</x:v>
      </x:c>
      <x:c r="J23" s="1255" t="n">
        <x:f>65536/H23</x:f>
        <x:v>0.9324189739066101</x:v>
      </x:c>
      <x:c r="K23" s="1255" t="n">
        <x:f>H23/$H$12-1</x:f>
        <x:v>0.011483997236932941</x:v>
      </x:c>
      <x:c r="L23" s="1256" t="str">
        <x:v>PASS</x:v>
      </x:c>
      <x:c r="M23" s="1257" t="str">
        <x:v>/Users/blacktraker/Programming/gitproj/DV4/SuperNPUBench/outputs/fa_asl_refresh_20261019/tk256.log</x:v>
      </x:c>
    </x:row>
  </x:sheetData>
  <x:mergeCells>
    <x:mergeCell ref="A2:M2"/>
    <x:mergeCell ref="B4:C4"/>
    <x:mergeCell ref="E4:M4"/>
    <x:mergeCell ref="B5:C5"/>
    <x:mergeCell ref="E5:M5"/>
    <x:mergeCell ref="B6:C6"/>
    <x:mergeCell ref="E6:M6"/>
    <x:mergeCell ref="B7:C7"/>
    <x:mergeCell ref="E7:M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329999923706055" hidden="0" customWidth="1"/>
    <x:col min="2" max="2" width="7.78000020980835" hidden="0" customWidth="1"/>
    <x:col min="3" max="3" width="6.670000076293945" hidden="0" customWidth="1"/>
    <x:col min="4" max="4" width="8.890000343322754" hidden="0" customWidth="1"/>
    <x:col min="5" max="5" width="7.78000020980835" hidden="0" customWidth="1"/>
    <x:col min="6" max="6" width="14.670000076293945" hidden="0" customWidth="1"/>
    <x:col min="7" max="7" width="8.670000076293945" hidden="0" customWidth="1"/>
    <x:col min="8" max="8" width="14.670000076293945" hidden="0" customWidth="1"/>
    <x:col min="9" max="9" width="6.670000076293945" hidden="0" customWidth="1"/>
    <x:col min="10" max="10" width="6.670000076293945" hidden="0" customWidth="1"/>
    <x:col min="11" max="11" width="6.670000076293945" hidden="0" customWidth="1"/>
    <x:col min="12" max="12" width="9.779999732971191" hidden="0" customWidth="1"/>
    <x:col min="13" max="13" width="9.779999732971191" hidden="0" customWidth="1"/>
    <x:col min="14" max="14" width="10.4399995803833" hidden="0" customWidth="1"/>
    <x:col min="15" max="15" width="10.220000267028809" hidden="0" customWidth="1"/>
    <x:col min="16" max="16" width="9.779999732971191" hidden="0" customWidth="1"/>
    <x:col min="17" max="17" width="11.329999923706055" hidden="0" customWidth="1"/>
    <x:col min="18" max="18" width="10.890000343322754" hidden="0" customWidth="1"/>
    <x:col min="19" max="19" width="8.670000076293945" hidden="0" customWidth="1"/>
    <x:col min="20" max="20" width="12" hidden="0" customWidth="1"/>
    <x:col min="21" max="21" width="12" hidden="0" customWidth="1"/>
    <x:col min="22" max="22" width="12.4399995803833" hidden="0" customWidth="1"/>
    <x:col min="23" max="23" width="11.109999656677246" hidden="0" customWidth="1"/>
    <x:col min="24" max="24" width="33.33000183105469" hidden="0" customWidth="1"/>
    <x:col min="25" max="25" width="33.33000183105469" hidden="0" customWidth="1"/>
    <x:col min="26" max="26" width="40" hidden="0" customWidth="1"/>
    <x:col min="27" max="27" width="31.110000610351562" hidden="0" customWidth="1"/>
    <x:col min="28" max="28" width="23.329999923706055" hidden="0" customWidth="1"/>
    <x:col min="29" max="29" width="9.329999923706055" hidden="0" customWidth="1"/>
    <x:col min="30" max="30" width="180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63"/>
      <x:c r="Q1" s="363"/>
      <x:c r="R1" s="363"/>
      <x:c r="S1" s="363"/>
      <x:c r="T1" s="363"/>
      <x:c r="U1" s="363"/>
      <x:c r="V1" s="363"/>
      <x:c r="W1" s="363"/>
      <x:c r="X1" s="363"/>
      <x:c r="Y1" s="363"/>
      <x:c r="Z1" s="363"/>
      <x:c r="AA1" s="363"/>
      <x:c r="AB1" s="363"/>
      <x:c r="AC1" s="363"/>
    </x:row>
    <x:row r="2" ht="19.5" customHeight="1">
      <x:c r="A2" s="364" t="str">
        <x:v>Matmul 原始性能数据：shape 按 M/K/N；C/D/E 列是编译参数 M/N/K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4"/>
      <x:c r="AA2" s="364"/>
      <x:c r="AB2" s="364"/>
      <x:c r="AC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  <x:c r="P3" s="363"/>
      <x:c r="Q3" s="363"/>
      <x:c r="R3" s="363"/>
      <x:c r="S3" s="363"/>
      <x:c r="T3" s="363"/>
      <x:c r="U3" s="363"/>
      <x:c r="V3" s="363"/>
      <x:c r="W3" s="363"/>
      <x:c r="X3" s="363"/>
      <x:c r="Y3" s="363"/>
      <x:c r="Z3" s="363"/>
      <x:c r="AA3" s="363"/>
      <x:c r="AB3" s="363"/>
      <x:c r="AC3" s="363"/>
    </x:row>
    <x:row r="4" ht="18" customHeight="1">
      <x:c r="A4" s="594" t="str">
        <x:v>第8–107行保留历史；第108–112行追加2026-10-17重测。reuseB最优是保留ELF复测，当前源码缺失cellA尾块定义；reuseA另列源码重编结果。带宽项未套用不适合混合M/复用链的单tile估算。 第113–118行追加HiF4 lowp_reuseA：大shape数值及timing通过，小shape契约断言失败，保留旧主表性能。</x:v>
      </x:c>
      <x:c r="B4" s="594"/>
      <x:c r="C4" s="594"/>
      <x:c r="D4" s="594"/>
      <x:c r="E4" s="594"/>
      <x:c r="F4" s="594"/>
      <x:c r="G4" s="594"/>
      <x:c r="H4" s="594"/>
      <x:c r="I4" s="594"/>
      <x:c r="J4" s="594"/>
      <x:c r="K4" s="594"/>
      <x:c r="L4" s="594"/>
      <x:c r="M4" s="594"/>
      <x:c r="N4" s="594"/>
      <x:c r="O4" s="594"/>
      <x:c r="P4" s="594"/>
      <x:c r="Q4" s="594"/>
      <x:c r="R4" s="594"/>
      <x:c r="S4" s="594"/>
      <x:c r="T4" s="594"/>
      <x:c r="U4" s="594"/>
      <x:c r="V4" s="594"/>
      <x:c r="W4" s="594"/>
      <x:c r="X4" s="594"/>
      <x:c r="Y4" s="594"/>
      <x:c r="Z4" s="594"/>
      <x:c r="AA4" s="594"/>
      <x:c r="AB4" s="594"/>
      <x:c r="AC4" s="594"/>
    </x:row>
    <x:row r="5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  <x:c r="L5" s="363"/>
      <x:c r="M5" s="363"/>
      <x:c r="N5" s="363"/>
      <x:c r="O5" s="363"/>
      <x:c r="P5" s="363"/>
      <x:c r="Q5" s="363"/>
      <x:c r="R5" s="363"/>
      <x:c r="S5" s="363"/>
      <x:c r="T5" s="363"/>
      <x:c r="U5" s="363"/>
      <x:c r="V5" s="363"/>
      <x:c r="W5" s="363"/>
      <x:c r="X5" s="363"/>
      <x:c r="Y5" s="363"/>
      <x:c r="Z5" s="363"/>
      <x:c r="AA5" s="363"/>
      <x:c r="AB5" s="363"/>
      <x:c r="AC5" s="363"/>
    </x:row>
    <x:row r="6" ht="21" customHeight="1">
      <x:c r="A6" s="595" t="str">
        <x:v>Shape 与类型</x:v>
      </x:c>
      <x:c r="B6" s="596"/>
      <x:c r="C6" s="596"/>
      <x:c r="D6" s="596"/>
      <x:c r="E6" s="596"/>
      <x:c r="F6" s="596"/>
      <x:c r="G6" s="596"/>
      <x:c r="H6" s="596" t="str">
        <x:v>实现与 Tile</x:v>
      </x:c>
      <x:c r="I6" s="596"/>
      <x:c r="J6" s="596"/>
      <x:c r="K6" s="596"/>
      <x:c r="L6" s="596"/>
      <x:c r="M6" s="596"/>
      <x:c r="N6" s="596"/>
      <x:c r="O6" s="596" t="str">
        <x:v>性能与带宽</x:v>
      </x:c>
      <x:c r="P6" s="596"/>
      <x:c r="Q6" s="596"/>
      <x:c r="R6" s="596"/>
      <x:c r="S6" s="596"/>
      <x:c r="T6" s="596"/>
      <x:c r="U6" s="596"/>
      <x:c r="V6" s="596"/>
      <x:c r="W6" s="596" t="str">
        <x:v>状态与复现证据</x:v>
      </x:c>
      <x:c r="X6" s="596"/>
      <x:c r="Y6" s="596"/>
      <x:c r="Z6" s="596"/>
      <x:c r="AA6" s="596"/>
      <x:c r="AB6" s="596"/>
      <x:c r="AC6" s="597"/>
      <x:c r="AD6" s="1180" t="str">
        <x:v>代码路径</x:v>
      </x:c>
    </x:row>
    <x:row r="7" ht="31.5" customHeight="1">
      <x:c r="A7" s="598" t="str">
        <x:v>category</x:v>
      </x:c>
      <x:c r="B7" s="598" t="str">
        <x:v>dtype</x:v>
      </x:c>
      <x:c r="C7" s="598" t="str">
        <x:v>M</x:v>
      </x:c>
      <x:c r="D7" s="598" t="str">
        <x:v>N</x:v>
      </x:c>
      <x:c r="E7" s="598" t="str">
        <x:v>K</x:v>
      </x:c>
      <x:c r="F7" s="598" t="str">
        <x:v>shape (M/K/N)</x:v>
      </x:c>
      <x:c r="G7" s="598" t="str">
        <x:v>排布</x:v>
      </x:c>
      <x:c r="H7" s="598" t="str">
        <x:v>实现方法</x:v>
      </x:c>
      <x:c r="I7" s="598" t="str">
        <x:v>tM</x:v>
      </x:c>
      <x:c r="J7" s="598" t="str">
        <x:v>tN</x:v>
      </x:c>
      <x:c r="K7" s="598" t="str">
        <x:v>tK</x:v>
      </x:c>
      <x:c r="L7" s="598" t="str">
        <x:v>Tile A (KiB)</x:v>
      </x:c>
      <x:c r="M7" s="598" t="str">
        <x:v>Tile B (KiB)</x:v>
      </x:c>
      <x:c r="N7" s="598" t="str">
        <x:v>Shared (KiB)</x:v>
      </x:c>
      <x:c r="O7" s="598" t="str">
        <x:v>cycles</x:v>
      </x:c>
      <x:c r="P7" s="598" t="str">
        <x:v>time (us)</x:v>
      </x:c>
      <x:c r="Q7" s="598" t="str">
        <x:v>Peak MAC/cycle</x:v>
      </x:c>
      <x:c r="R7" s="598" t="str">
        <x:v>理论 cycles</x:v>
      </x:c>
      <x:c r="S7" s="598" t="str">
        <x:v>MFU</x:v>
      </x:c>
      <x:c r="T7" s="598" t="str">
        <x:v>读带宽需求 (B/c)</x:v>
      </x:c>
      <x:c r="U7" s="598" t="str">
        <x:v>写带宽需求 (B/c)</x:v>
      </x:c>
      <x:c r="V7" s="598" t="str">
        <x:v>带宽约束利用率</x:v>
      </x:c>
      <x:c r="W7" s="598" t="str">
        <x:v>状态</x:v>
      </x:c>
      <x:c r="X7" s="598" t="str">
        <x:v>ELF</x:v>
      </x:c>
      <x:c r="Y7" s="598" t="str">
        <x:v>gfsim log</x:v>
      </x:c>
      <x:c r="Z7" s="598" t="str">
        <x:v>证据 / 说明</x:v>
      </x:c>
      <x:c r="AA7" s="598" t="str">
        <x:v>复现命令</x:v>
      </x:c>
      <x:c r="AB7" s="598" t="str">
        <x:v>主表算子配置</x:v>
      </x:c>
      <x:c r="AC7" s="598" t="str">
        <x:v>主表入选</x:v>
      </x:c>
      <x:c r="AD7" s="598" t="str">
        <x:v>函数体代码（main 优先）</x:v>
      </x:c>
    </x:row>
    <x:row r="8" ht="31.5" customHeight="1">
      <x:c r="A8" s="974" t="str">
        <x:v>matmul (ubm)</x:v>
      </x:c>
      <x:c r="B8" s="974" t="str">
        <x:v>BF16</x:v>
      </x:c>
      <x:c r="C8" s="981" t="n">
        <x:v>256</x:v>
      </x:c>
      <x:c r="D8" s="981" t="n">
        <x:v>7168</x:v>
      </x:c>
      <x:c r="E8" s="981" t="n">
        <x:v>512</x:v>
      </x:c>
      <x:c r="F8" s="974" t="str">
        <x:v>[256,512,7168]</x:v>
      </x:c>
      <x:c r="G8" s="974" t="str">
        <x:v>B-major</x:v>
      </x:c>
      <x:c r="H8" s="974" t="str">
        <x:v>matmul_shared</x:v>
      </x:c>
      <x:c r="I8" s="988" t="n">
        <x:v>128</x:v>
      </x:c>
      <x:c r="J8" s="988" t="n">
        <x:v>256</x:v>
      </x:c>
      <x:c r="K8" s="988" t="n">
        <x:v>256</x:v>
      </x:c>
      <x:c r="L8" s="989" t="n">
        <x:v>64</x:v>
      </x:c>
      <x:c r="M8" s="989" t="n">
        <x:v>128</x:v>
      </x:c>
      <x:c r="N8" s="989" t="n">
        <x:v>192</x:v>
      </x:c>
      <x:c r="O8" s="990" t="n">
        <x:v>517644</x:v>
      </x:c>
      <x:c r="P8" s="991" t="n">
        <x:v>323.5275</x:v>
      </x:c>
      <x:c r="Q8" s="990" t="n">
        <x:v>4096</x:v>
      </x:c>
      <x:c r="R8" s="990" t="n">
        <x:v>229376</x:v>
      </x:c>
      <x:c r="S8" s="992" t="n">
        <x:v>0.4431153456815881</x:v>
      </x:c>
      <x:c r="T8" s="989" t="n">
        <x:v>96</x:v>
      </x:c>
      <x:c r="U8" s="989" t="n">
        <x:v>64</x:v>
      </x:c>
      <x:c r="V8" s="993" t="n">
        <x:v>1</x:v>
      </x:c>
      <x:c r="W8" s="665" t="str">
        <x:v>PASS</x:v>
      </x:c>
      <x:c r="X8" s="1023" t="str">
        <x:v>/Users/blacktraker/Programming/gitproj/DV4/SuperNPUBench/outputs/markdown_matmul_refresh_20261009/01_bf16_m256_n7168_k512/build/BF16_M256_N7168_K512_tM128_tN256_tK256/kernel/matmul/elf/kernel_matmul_matmul_shared_B1_M256_N7168_K512_tM128_tN256_tK256_DType__bf16.elf</x:v>
      </x:c>
      <x:c r="Y8" s="1023" t="str">
        <x:v>/Users/blacktraker/Programming/gitproj/DV4/SuperNPUBench/outputs/markdown_matmul_refresh_20261009/01_bf16_m256_n7168_k512/logs/BF16_M256_N7168_K512_tM128_tN256_tK256.gfsim.log</x:v>
      </x:c>
      <x:c r="Z8" s="1023" t="str">
        <x:v>PASS；规整 M/N/K；ELF=/Users/blacktraker/Programming/gitproj/DV4/SuperNPUBench/outputs/markdown_matmul_refresh_20261009/01_bf16_m256_n7168_k512/build/BF16_M256_N7168_K512_tM128_tN256_tK256/kernel/matmul/elf/kernel_matmul_matmul_shared_B1_M256_N7168_K512_tM128_tN256_tK256_DType__bf16.elf；gfsim log=/Users/blacktraker/Programming/gitproj/DV4/SuperNPUBench/outputs/markdown_matmul_refresh_20261009/01_bf16_m256_n7168_k512/logs/BF16_M256_N7168_K512_tM128_tN256_tK256.gfsim.log</x:v>
      </x:c>
      <x:c r="AA8" s="1023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8" s="1023" t="str">
        <x:v>matmul_shared; tM=128; tN=256; tK=256</x:v>
      </x:c>
      <x:c r="AC8" s="674" t="str">
        <x:v>否</x:v>
      </x:c>
      <x:c r="AD8" s="1263" t="str">
        <x:v>https://github.com/PTO-ISA/SuperNPUBench/blob/main/benchmark/one-level-arch/kernels/basic_op/matmul/matmul_shared.hpp#L24</x:v>
      </x:c>
    </x:row>
    <x:row r="9" ht="31.5" customHeight="1">
      <x:c r="A9" s="975" t="str">
        <x:v>matmul (ubm)</x:v>
      </x:c>
      <x:c r="B9" s="975" t="str">
        <x:v>BF16</x:v>
      </x:c>
      <x:c r="C9" s="982" t="n">
        <x:v>256</x:v>
      </x:c>
      <x:c r="D9" s="982" t="n">
        <x:v>7168</x:v>
      </x:c>
      <x:c r="E9" s="982" t="n">
        <x:v>512</x:v>
      </x:c>
      <x:c r="F9" s="975" t="str">
        <x:v>[256,512,7168]</x:v>
      </x:c>
      <x:c r="G9" s="975" t="str">
        <x:v>B-major</x:v>
      </x:c>
      <x:c r="H9" s="975" t="str">
        <x:v>matmul_reuseA</x:v>
      </x:c>
      <x:c r="I9" s="982" t="n">
        <x:v>128</x:v>
      </x:c>
      <x:c r="J9" s="982" t="n">
        <x:v>64</x:v>
      </x:c>
      <x:c r="K9" s="982" t="n">
        <x:v>64</x:v>
      </x:c>
      <x:c r="L9" s="994" t="n">
        <x:v>4</x:v>
      </x:c>
      <x:c r="M9" s="994" t="n">
        <x:v>8</x:v>
      </x:c>
      <x:c r="N9" s="994" t="n">
        <x:v>8</x:v>
      </x:c>
      <x:c r="O9" s="982" t="n">
        <x:v>306005</x:v>
      </x:c>
      <x:c r="P9" s="995" t="n">
        <x:v>191.253125</x:v>
      </x:c>
      <x:c r="Q9" s="982" t="n">
        <x:v>4096</x:v>
      </x:c>
      <x:c r="R9" s="982" t="n">
        <x:v>229376</x:v>
      </x:c>
      <x:c r="S9" s="996" t="n">
        <x:v>0.7495825231613863</x:v>
      </x:c>
      <x:c r="T9" s="994" t="n">
        <x:v>64</x:v>
      </x:c>
      <x:c r="U9" s="994" t="n">
        <x:v>256</x:v>
      </x:c>
      <x:c r="V9" s="996" t="n">
        <x:v>1</x:v>
      </x:c>
      <x:c r="W9" s="674" t="str">
        <x:v>PASS</x:v>
      </x:c>
      <x:c r="X9" s="942" t="str">
        <x:v>/Users/blacktraker/Programming/gitproj/DV4/SuperNPUBench/outputs/matmul_reuseA_refresh_20261010/sweep/build/BF16_M256_N7168_K512_tM128_tN64_tK64/kernel/matmul/elf/kernel_matmul_matmul_reuseA_B1_M256_N7168_K512_tM128_tN64_tK64_DType__bf16.elf</x:v>
      </x:c>
      <x:c r="Y9" s="942" t="str">
        <x:v>/Users/blacktraker/Programming/gitproj/DV4/SuperNPUBench/outputs/matmul_reuseA_refresh_20261010/sweep/logs/BF16_M256_N7168_K512_tM128_tN64_tK64.gfsim.log</x:v>
      </x:c>
      <x:c r="Z9" s="942" t="str">
        <x:v>PASS；reuseA；ELF=/Users/blacktraker/Programming/gitproj/DV4/SuperNPUBench/outputs/matmul_reuseA_refresh_20261010/sweep/build/BF16_M256_N7168_K512_tM128_tN64_tK64/kernel/matmul/elf/kernel_matmul_matmul_reuseA_B1_M256_N7168_K512_tM128_tN64_tK64_DType__bf16.elf；gfsim log=/Users/blacktraker/Programming/gitproj/DV4/SuperNPUBench/outputs/matmul_reuseA_refresh_20261010/sweep/logs/BF16_M256_N7168_K512_tM128_tN64_tK64.gfsim.log</x:v>
      </x:c>
      <x:c r="AA9" s="942"/>
      <x:c r="AB9" s="942" t="str">
        <x:v>matmul_reuseA; tM=128; tN=64; tK=64</x:v>
      </x:c>
      <x:c r="AC9" s="674" t="str">
        <x:v>否</x:v>
      </x:c>
      <x:c r="AD9" s="1263" t="str">
        <x:v>https://github.com/PTO-ISA/SuperNPUBench/blob/main/benchmark/one-level-arch/kernels/basic_op/matmul/matmul_reuseA.hpp#L281</x:v>
      </x:c>
    </x:row>
    <x:row r="10" ht="31.5" customHeight="1">
      <x:c r="A10" s="975" t="str">
        <x:v>matmul (ubm)</x:v>
      </x:c>
      <x:c r="B10" s="975" t="str">
        <x:v>BF16</x:v>
      </x:c>
      <x:c r="C10" s="982" t="n">
        <x:v>256</x:v>
      </x:c>
      <x:c r="D10" s="982" t="n">
        <x:v>7168</x:v>
      </x:c>
      <x:c r="E10" s="982" t="n">
        <x:v>512</x:v>
      </x:c>
      <x:c r="F10" s="975" t="str">
        <x:v>[256,512,7168]</x:v>
      </x:c>
      <x:c r="G10" s="975" t="str">
        <x:v>B-major</x:v>
      </x:c>
      <x:c r="H10" s="975" t="str">
        <x:v>matmul_reuseA</x:v>
      </x:c>
      <x:c r="I10" s="982" t="n">
        <x:v>128</x:v>
      </x:c>
      <x:c r="J10" s="982" t="n">
        <x:v>64</x:v>
      </x:c>
      <x:c r="K10" s="982" t="n">
        <x:v>128</x:v>
      </x:c>
      <x:c r="L10" s="994" t="n">
        <x:v>8</x:v>
      </x:c>
      <x:c r="M10" s="994" t="n">
        <x:v>16</x:v>
      </x:c>
      <x:c r="N10" s="994" t="n">
        <x:v>16</x:v>
      </x:c>
      <x:c r="O10" s="982" t="n">
        <x:v>254433</x:v>
      </x:c>
      <x:c r="P10" s="995" t="n">
        <x:v>159.020625</x:v>
      </x:c>
      <x:c r="Q10" s="982" t="n">
        <x:v>4096</x:v>
      </x:c>
      <x:c r="R10" s="982" t="n">
        <x:v>229376</x:v>
      </x:c>
      <x:c r="S10" s="996" t="n">
        <x:v>0.9015182778963421</x:v>
      </x:c>
      <x:c r="T10" s="994" t="n">
        <x:v>64</x:v>
      </x:c>
      <x:c r="U10" s="994" t="n">
        <x:v>128</x:v>
      </x:c>
      <x:c r="V10" s="996" t="n">
        <x:v>1</x:v>
      </x:c>
      <x:c r="W10" s="674" t="str">
        <x:v>PASS</x:v>
      </x:c>
      <x:c r="X10" s="942" t="str">
        <x:v>/Users/blacktraker/Programming/gitproj/DV4/SuperNPUBench/outputs/matmul_reuseA_refresh_20261010/sweep/build/BF16_M256_N7168_K512_tM128_tN64_tK128/kernel/matmul/elf/kernel_matmul_matmul_reuseA_B1_M256_N7168_K512_tM128_tN64_tK128_DType__bf16.elf</x:v>
      </x:c>
      <x:c r="Y10" s="942" t="str">
        <x:v>/Users/blacktraker/Programming/gitproj/DV4/SuperNPUBench/outputs/matmul_reuseA_refresh_20261010/sweep/logs/BF16_M256_N7168_K512_tM128_tN64_tK128.gfsim.log</x:v>
      </x:c>
      <x:c r="Z10" s="942" t="str">
        <x:v>PASS；reuseA；ELF=/Users/blacktraker/Programming/gitproj/DV4/SuperNPUBench/outputs/matmul_reuseA_refresh_20261010/sweep/build/BF16_M256_N7168_K512_tM128_tN64_tK128/kernel/matmul/elf/kernel_matmul_matmul_reuseA_B1_M256_N7168_K512_tM128_tN64_tK128_DType__bf16.elf；gfsim log=/Users/blacktraker/Programming/gitproj/DV4/SuperNPUBench/outputs/matmul_reuseA_refresh_20261010/sweep/logs/BF16_M256_N7168_K512_tM128_tN64_tK128.gfsim.log</x:v>
      </x:c>
      <x:c r="AA10" s="942"/>
      <x:c r="AB10" s="942" t="str">
        <x:v>matmul_reuseA; tM=128; tN=64; tK=128</x:v>
      </x:c>
      <x:c r="AC10" s="674" t="str">
        <x:v>否</x:v>
      </x:c>
      <x:c r="AD10" s="1263" t="str">
        <x:v>https://github.com/PTO-ISA/SuperNPUBench/blob/main/benchmark/one-level-arch/kernels/basic_op/matmul/matmul_reuseA.hpp#L281</x:v>
      </x:c>
    </x:row>
    <x:row r="11" ht="31.5" customHeight="1">
      <x:c r="A11" s="975" t="str">
        <x:v>matmul (ubm)</x:v>
      </x:c>
      <x:c r="B11" s="975" t="str">
        <x:v>BF16</x:v>
      </x:c>
      <x:c r="C11" s="982" t="n">
        <x:v>256</x:v>
      </x:c>
      <x:c r="D11" s="982" t="n">
        <x:v>7168</x:v>
      </x:c>
      <x:c r="E11" s="982" t="n">
        <x:v>512</x:v>
      </x:c>
      <x:c r="F11" s="975" t="str">
        <x:v>[256,512,7168]</x:v>
      </x:c>
      <x:c r="G11" s="975" t="str">
        <x:v>B-major</x:v>
      </x:c>
      <x:c r="H11" s="975" t="str">
        <x:v>matmul_reuseA</x:v>
      </x:c>
      <x:c r="I11" s="982" t="n">
        <x:v>128</x:v>
      </x:c>
      <x:c r="J11" s="982" t="n">
        <x:v>64</x:v>
      </x:c>
      <x:c r="K11" s="982" t="n">
        <x:v>256</x:v>
      </x:c>
      <x:c r="L11" s="994" t="n">
        <x:v>16</x:v>
      </x:c>
      <x:c r="M11" s="994" t="n">
        <x:v>32</x:v>
      </x:c>
      <x:c r="N11" s="994" t="n">
        <x:v>32</x:v>
      </x:c>
      <x:c r="O11" s="982" t="n">
        <x:v>239175</x:v>
      </x:c>
      <x:c r="P11" s="995" t="n">
        <x:v>149.484375</x:v>
      </x:c>
      <x:c r="Q11" s="982" t="n">
        <x:v>4096</x:v>
      </x:c>
      <x:c r="R11" s="982" t="n">
        <x:v>229376</x:v>
      </x:c>
      <x:c r="S11" s="996" t="n">
        <x:v>0.9590299989547403</x:v>
      </x:c>
      <x:c r="T11" s="994" t="n">
        <x:v>64</x:v>
      </x:c>
      <x:c r="U11" s="994" t="n">
        <x:v>64</x:v>
      </x:c>
      <x:c r="V11" s="996" t="n">
        <x:v>1</x:v>
      </x:c>
      <x:c r="W11" s="674" t="str">
        <x:v>PASS</x:v>
      </x:c>
      <x:c r="X11" s="942" t="str">
        <x:v>/Users/blacktraker/Programming/gitproj/DV4/SuperNPUBench/outputs/matmul_reuseA_refresh_20261010/sweep/build/BF16_M256_N7168_K512_tM128_tN64_tK256/kernel/matmul/elf/kernel_matmul_matmul_reuseA_B1_M256_N7168_K512_tM128_tN64_tK256_DType__bf16.elf</x:v>
      </x:c>
      <x:c r="Y11" s="942" t="str">
        <x:v>/Users/blacktraker/Programming/gitproj/DV4/SuperNPUBench/outputs/matmul_reuseA_refresh_20261010/sweep/logs/BF16_M256_N7168_K512_tM128_tN64_tK256.gfsim.log</x:v>
      </x:c>
      <x:c r="Z11" s="942" t="str">
        <x:v>PASS；reuseA；ELF=/Users/blacktraker/Programming/gitproj/DV4/SuperNPUBench/outputs/matmul_reuseA_refresh_20261010/sweep/build/BF16_M256_N7168_K512_tM128_tN64_tK256/kernel/matmul/elf/kernel_matmul_matmul_reuseA_B1_M256_N7168_K512_tM128_tN64_tK256_DType__bf16.elf；gfsim log=/Users/blacktraker/Programming/gitproj/DV4/SuperNPUBench/outputs/matmul_reuseA_refresh_20261010/sweep/logs/BF16_M256_N7168_K512_tM128_tN64_tK256.gfsim.log</x:v>
      </x:c>
      <x:c r="AA11" s="942"/>
      <x:c r="AB11" s="942" t="str">
        <x:v>matmul_reuseA; tM=128; tN=64; tK=256</x:v>
      </x:c>
      <x:c r="AC11" s="674" t="str">
        <x:v>否</x:v>
      </x:c>
      <x:c r="AD11" s="1263" t="str">
        <x:v>https://github.com/PTO-ISA/SuperNPUBench/blob/main/benchmark/one-level-arch/kernels/basic_op/matmul/matmul_reuseA.hpp#L281</x:v>
      </x:c>
    </x:row>
    <x:row r="12" ht="31.5" customHeight="1">
      <x:c r="A12" s="975" t="str">
        <x:v>matmul (ubm)</x:v>
      </x:c>
      <x:c r="B12" s="975" t="str">
        <x:v>BF16</x:v>
      </x:c>
      <x:c r="C12" s="982" t="n">
        <x:v>256</x:v>
      </x:c>
      <x:c r="D12" s="982" t="n">
        <x:v>7168</x:v>
      </x:c>
      <x:c r="E12" s="982" t="n">
        <x:v>512</x:v>
      </x:c>
      <x:c r="F12" s="975" t="str">
        <x:v>[256,512,7168]</x:v>
      </x:c>
      <x:c r="G12" s="975" t="str">
        <x:v>B-major</x:v>
      </x:c>
      <x:c r="H12" s="975" t="str">
        <x:v>matmul_reuseA</x:v>
      </x:c>
      <x:c r="I12" s="982" t="n">
        <x:v>128</x:v>
      </x:c>
      <x:c r="J12" s="982" t="n">
        <x:v>64</x:v>
      </x:c>
      <x:c r="K12" s="982" t="n">
        <x:v>512</x:v>
      </x:c>
      <x:c r="L12" s="994" t="n">
        <x:v>32</x:v>
      </x:c>
      <x:c r="M12" s="994" t="n">
        <x:v>64</x:v>
      </x:c>
      <x:c r="N12" s="994" t="n">
        <x:v>64</x:v>
      </x:c>
      <x:c r="O12" s="982" t="n">
        <x:v>249776</x:v>
      </x:c>
      <x:c r="P12" s="995" t="n">
        <x:v>156.11</x:v>
      </x:c>
      <x:c r="Q12" s="982" t="n">
        <x:v>4096</x:v>
      </x:c>
      <x:c r="R12" s="982" t="n">
        <x:v>229376</x:v>
      </x:c>
      <x:c r="S12" s="996" t="n">
        <x:v>0.918326820831465</x:v>
      </x:c>
      <x:c r="T12" s="994" t="n">
        <x:v>64</x:v>
      </x:c>
      <x:c r="U12" s="994" t="n">
        <x:v>32</x:v>
      </x:c>
      <x:c r="V12" s="996" t="n">
        <x:v>1</x:v>
      </x:c>
      <x:c r="W12" s="674" t="str">
        <x:v>PASS</x:v>
      </x:c>
      <x:c r="X12" s="942" t="str">
        <x:v>/Users/blacktraker/Programming/gitproj/DV4/SuperNPUBench/outputs/matmul_reuseA_refresh_20261010/sweep/build/BF16_M256_N7168_K512_tM128_tN64_tK512/kernel/matmul/elf/kernel_matmul_matmul_reuseA_B1_M256_N7168_K512_tM128_tN64_tK512_DType__bf16.elf</x:v>
      </x:c>
      <x:c r="Y12" s="942" t="str">
        <x:v>/Users/blacktraker/Programming/gitproj/DV4/SuperNPUBench/outputs/matmul_reuseA_refresh_20261010/sweep/logs/BF16_M256_N7168_K512_tM128_tN64_tK512.gfsim.log</x:v>
      </x:c>
      <x:c r="Z12" s="942" t="str">
        <x:v>PASS；reuseA；ELF=/Users/blacktraker/Programming/gitproj/DV4/SuperNPUBench/outputs/matmul_reuseA_refresh_20261010/sweep/build/BF16_M256_N7168_K512_tM128_tN64_tK512/kernel/matmul/elf/kernel_matmul_matmul_reuseA_B1_M256_N7168_K512_tM128_tN64_tK512_DType__bf16.elf；gfsim log=/Users/blacktraker/Programming/gitproj/DV4/SuperNPUBench/outputs/matmul_reuseA_refresh_20261010/sweep/logs/BF16_M256_N7168_K512_tM128_tN64_tK512.gfsim.log</x:v>
      </x:c>
      <x:c r="AA12" s="942"/>
      <x:c r="AB12" s="942" t="str">
        <x:v>matmul_reuseA; tM=128; tN=64; tK=512</x:v>
      </x:c>
      <x:c r="AC12" s="674" t="str">
        <x:v>否</x:v>
      </x:c>
      <x:c r="AD12" s="1263" t="str">
        <x:v>https://github.com/PTO-ISA/SuperNPUBench/blob/main/benchmark/one-level-arch/kernels/basic_op/matmul/matmul_reuseA.hpp#L281</x:v>
      </x:c>
    </x:row>
    <x:row r="13" ht="31.5" customHeight="1">
      <x:c r="A13" s="975" t="str">
        <x:v>matmul (ubm)</x:v>
      </x:c>
      <x:c r="B13" s="975" t="str">
        <x:v>BF16</x:v>
      </x:c>
      <x:c r="C13" s="982" t="n">
        <x:v>256</x:v>
      </x:c>
      <x:c r="D13" s="982" t="n">
        <x:v>7168</x:v>
      </x:c>
      <x:c r="E13" s="982" t="n">
        <x:v>512</x:v>
      </x:c>
      <x:c r="F13" s="975" t="str">
        <x:v>[256,512,7168]</x:v>
      </x:c>
      <x:c r="G13" s="975" t="str">
        <x:v>B-major</x:v>
      </x:c>
      <x:c r="H13" s="975" t="str">
        <x:v>matmul_reuseA</x:v>
      </x:c>
      <x:c r="I13" s="982" t="n">
        <x:v>128</x:v>
      </x:c>
      <x:c r="J13" s="982" t="n">
        <x:v>128</x:v>
      </x:c>
      <x:c r="K13" s="982" t="n">
        <x:v>64</x:v>
      </x:c>
      <x:c r="L13" s="994" t="n">
        <x:v>4</x:v>
      </x:c>
      <x:c r="M13" s="994" t="n">
        <x:v>16</x:v>
      </x:c>
      <x:c r="N13" s="994" t="n">
        <x:v>16</x:v>
      </x:c>
      <x:c r="O13" s="982" t="n">
        <x:v>255253</x:v>
      </x:c>
      <x:c r="P13" s="995" t="n">
        <x:v>159.533125</x:v>
      </x:c>
      <x:c r="Q13" s="982" t="n">
        <x:v>4096</x:v>
      </x:c>
      <x:c r="R13" s="982" t="n">
        <x:v>229376</x:v>
      </x:c>
      <x:c r="S13" s="996" t="n">
        <x:v>0.8986221513557138</x:v>
      </x:c>
      <x:c r="T13" s="994" t="n">
        <x:v>64</x:v>
      </x:c>
      <x:c r="U13" s="994" t="n">
        <x:v>256</x:v>
      </x:c>
      <x:c r="V13" s="996" t="n">
        <x:v>1</x:v>
      </x:c>
      <x:c r="W13" s="674" t="str">
        <x:v>PASS</x:v>
      </x:c>
      <x:c r="X13" s="942" t="str">
        <x:v>/Users/blacktraker/Programming/gitproj/DV4/SuperNPUBench/outputs/matmul_reuseA_refresh_20261010/sweep/build/BF16_M256_N7168_K512_tM128_tN128_tK64/kernel/matmul/elf/kernel_matmul_matmul_reuseA_B1_M256_N7168_K512_tM128_tN128_tK64_DType__bf16.elf</x:v>
      </x:c>
      <x:c r="Y13" s="942" t="str">
        <x:v>/Users/blacktraker/Programming/gitproj/DV4/SuperNPUBench/outputs/matmul_reuseA_refresh_20261010/sweep/logs/BF16_M256_N7168_K512_tM128_tN128_tK64.gfsim.log</x:v>
      </x:c>
      <x:c r="Z13" s="942" t="str">
        <x:v>PASS；reuseA；ELF=/Users/blacktraker/Programming/gitproj/DV4/SuperNPUBench/outputs/matmul_reuseA_refresh_20261010/sweep/build/BF16_M256_N7168_K512_tM128_tN128_tK64/kernel/matmul/elf/kernel_matmul_matmul_reuseA_B1_M256_N7168_K512_tM128_tN128_tK64_DType__bf16.elf；gfsim log=/Users/blacktraker/Programming/gitproj/DV4/SuperNPUBench/outputs/matmul_reuseA_refresh_20261010/sweep/logs/BF16_M256_N7168_K512_tM128_tN128_tK64.gfsim.log</x:v>
      </x:c>
      <x:c r="AA13" s="942"/>
      <x:c r="AB13" s="942" t="str">
        <x:v>matmul_reuseA; tM=128; tN=128; tK=64</x:v>
      </x:c>
      <x:c r="AC13" s="674" t="str">
        <x:v>否</x:v>
      </x:c>
      <x:c r="AD13" s="1263" t="str">
        <x:v>https://github.com/PTO-ISA/SuperNPUBench/blob/main/benchmark/one-level-arch/kernels/basic_op/matmul/matmul_reuseA.hpp#L281</x:v>
      </x:c>
    </x:row>
    <x:row r="14" ht="31.5" customHeight="1">
      <x:c r="A14" s="975" t="str">
        <x:v>matmul (ubm)</x:v>
      </x:c>
      <x:c r="B14" s="975" t="str">
        <x:v>BF16</x:v>
      </x:c>
      <x:c r="C14" s="982" t="n">
        <x:v>256</x:v>
      </x:c>
      <x:c r="D14" s="982" t="n">
        <x:v>7168</x:v>
      </x:c>
      <x:c r="E14" s="982" t="n">
        <x:v>512</x:v>
      </x:c>
      <x:c r="F14" s="975" t="str">
        <x:v>[256,512,7168]</x:v>
      </x:c>
      <x:c r="G14" s="975" t="str">
        <x:v>B-major</x:v>
      </x:c>
      <x:c r="H14" s="975" t="str">
        <x:v>matmul_reuseA</x:v>
      </x:c>
      <x:c r="I14" s="982" t="n">
        <x:v>128</x:v>
      </x:c>
      <x:c r="J14" s="982" t="n">
        <x:v>128</x:v>
      </x:c>
      <x:c r="K14" s="982" t="n">
        <x:v>128</x:v>
      </x:c>
      <x:c r="L14" s="994" t="n">
        <x:v>8</x:v>
      </x:c>
      <x:c r="M14" s="994" t="n">
        <x:v>32</x:v>
      </x:c>
      <x:c r="N14" s="994" t="n">
        <x:v>32</x:v>
      </x:c>
      <x:c r="O14" s="982" t="n">
        <x:v>233200</x:v>
      </x:c>
      <x:c r="P14" s="995" t="n">
        <x:v>145.75</x:v>
      </x:c>
      <x:c r="Q14" s="982" t="n">
        <x:v>4096</x:v>
      </x:c>
      <x:c r="R14" s="982" t="n">
        <x:v>229376</x:v>
      </x:c>
      <x:c r="S14" s="996" t="n">
        <x:v>0.9836020583190395</x:v>
      </x:c>
      <x:c r="T14" s="994" t="n">
        <x:v>64</x:v>
      </x:c>
      <x:c r="U14" s="994" t="n">
        <x:v>128</x:v>
      </x:c>
      <x:c r="V14" s="996" t="n">
        <x:v>1</x:v>
      </x:c>
      <x:c r="W14" s="674" t="str">
        <x:v>PASS</x:v>
      </x:c>
      <x:c r="X14" s="942" t="str">
        <x:v>/Users/blacktraker/Programming/gitproj/DV4/SuperNPUBench/outputs/matmul_reuseA_refresh_20261010/sweep/build/BF16_M256_N7168_K512_tM128_tN128_tK128/kernel/matmul/elf/kernel_matmul_matmul_reuseA_B1_M256_N7168_K512_tM128_tN128_tK128_DType__bf16.elf</x:v>
      </x:c>
      <x:c r="Y14" s="942" t="str">
        <x:v>/Users/blacktraker/Programming/gitproj/DV4/SuperNPUBench/outputs/matmul_reuseA_refresh_20261010/sweep/logs/BF16_M256_N7168_K512_tM128_tN128_tK128.gfsim.log</x:v>
      </x:c>
      <x:c r="Z14" s="942" t="str">
        <x:v>PASS；reuseA；ELF=/Users/blacktraker/Programming/gitproj/DV4/SuperNPUBench/outputs/matmul_reuseA_refresh_20261010/sweep/build/BF16_M256_N7168_K512_tM128_tN128_tK128/kernel/matmul/elf/kernel_matmul_matmul_reuseA_B1_M256_N7168_K512_tM128_tN128_tK128_DType__bf16.elf；gfsim log=/Users/blacktraker/Programming/gitproj/DV4/SuperNPUBench/outputs/matmul_reuseA_refresh_20261010/sweep/logs/BF16_M256_N7168_K512_tM128_tN128_tK128.gfsim.log</x:v>
      </x:c>
      <x:c r="AA14" s="942"/>
      <x:c r="AB14" s="942" t="str">
        <x:v>matmul_reuseA; tM=128; tN=128; tK=128</x:v>
      </x:c>
      <x:c r="AC14" s="674" t="str">
        <x:v>否</x:v>
      </x:c>
      <x:c r="AD14" s="1263" t="str">
        <x:v>https://github.com/PTO-ISA/SuperNPUBench/blob/main/benchmark/one-level-arch/kernels/basic_op/matmul/matmul_reuseA.hpp#L281</x:v>
      </x:c>
    </x:row>
    <x:row r="15" ht="31.5" customHeight="1">
      <x:c r="A15" s="975" t="str">
        <x:v>matmul (ubm)</x:v>
      </x:c>
      <x:c r="B15" s="975" t="str">
        <x:v>BF16</x:v>
      </x:c>
      <x:c r="C15" s="982" t="n">
        <x:v>256</x:v>
      </x:c>
      <x:c r="D15" s="982" t="n">
        <x:v>7168</x:v>
      </x:c>
      <x:c r="E15" s="982" t="n">
        <x:v>512</x:v>
      </x:c>
      <x:c r="F15" s="975" t="str">
        <x:v>[256,512,7168]</x:v>
      </x:c>
      <x:c r="G15" s="975" t="str">
        <x:v>B-major</x:v>
      </x:c>
      <x:c r="H15" s="975" t="str">
        <x:v>matmul_reuseA</x:v>
      </x:c>
      <x:c r="I15" s="997" t="n">
        <x:v>128</x:v>
      </x:c>
      <x:c r="J15" s="997" t="n">
        <x:v>128</x:v>
      </x:c>
      <x:c r="K15" s="997" t="n">
        <x:v>256</x:v>
      </x:c>
      <x:c r="L15" s="994" t="n">
        <x:v>16</x:v>
      </x:c>
      <x:c r="M15" s="994" t="n">
        <x:v>64</x:v>
      </x:c>
      <x:c r="N15" s="994" t="n">
        <x:v>64</x:v>
      </x:c>
      <x:c r="O15" s="998" t="n">
        <x:v>233006</x:v>
      </x:c>
      <x:c r="P15" s="999" t="n">
        <x:v>145.62875</x:v>
      </x:c>
      <x:c r="Q15" s="998" t="n">
        <x:v>4096</x:v>
      </x:c>
      <x:c r="R15" s="998" t="n">
        <x:v>229376</x:v>
      </x:c>
      <x:c r="S15" s="1000" t="n">
        <x:v>0.9844210020342824</x:v>
      </x:c>
      <x:c r="T15" s="994" t="n">
        <x:v>64</x:v>
      </x:c>
      <x:c r="U15" s="994" t="n">
        <x:v>64</x:v>
      </x:c>
      <x:c r="V15" s="996" t="n">
        <x:v>1</x:v>
      </x:c>
      <x:c r="W15" s="674" t="str">
        <x:v>PASS</x:v>
      </x:c>
      <x:c r="X15" s="942" t="str">
        <x:v>/Users/blacktraker/Programming/gitproj/DV4/SuperNPUBench/outputs/matmul_reuseA_refresh_20261010/sweep/build/BF16_M256_N7168_K512_tM128_tN128_tK256/kernel/matmul/elf/kernel_matmul_matmul_reuseA_B1_M256_N7168_K512_tM128_tN128_tK256_DType__bf16.elf</x:v>
      </x:c>
      <x:c r="Y15" s="942" t="str">
        <x:v>/Users/blacktraker/Programming/gitproj/DV4/SuperNPUBench/outputs/matmul_reuseA_refresh_20261010/sweep/logs/BF16_M256_N7168_K512_tM128_tN128_tK256.gfsim.log</x:v>
      </x:c>
      <x:c r="Z15" s="942" t="str">
        <x:v>PASS；reuseA；ELF=/Users/blacktraker/Programming/gitproj/DV4/SuperNPUBench/outputs/matmul_reuseA_refresh_20261010/sweep/build/BF16_M256_N7168_K512_tM128_tN128_tK256/kernel/matmul/elf/kernel_matmul_matmul_reuseA_B1_M256_N7168_K512_tM128_tN128_tK256_DType__bf16.elf；gfsim log=/Users/blacktraker/Programming/gitproj/DV4/SuperNPUBench/outputs/matmul_reuseA_refresh_20261010/sweep/logs/BF16_M256_N7168_K512_tM128_tN128_tK256.gfsim.log</x:v>
      </x:c>
      <x:c r="AA15" s="942"/>
      <x:c r="AB15" s="942" t="str">
        <x:v>matmul_reuseA; tM=128; tN=128; tK=256</x:v>
      </x:c>
      <x:c r="AC15" s="674" t="str">
        <x:v>否</x:v>
      </x:c>
      <x:c r="AD15" s="1263" t="str">
        <x:v>https://github.com/PTO-ISA/SuperNPUBench/blob/main/benchmark/one-level-arch/kernels/basic_op/matmul/matmul_reuseA.hpp#L281</x:v>
      </x:c>
    </x:row>
    <x:row r="16" ht="31.5" customHeight="1">
      <x:c r="A16" s="975" t="str">
        <x:v>matmul (ubm)</x:v>
      </x:c>
      <x:c r="B16" s="975" t="str">
        <x:v>BF16</x:v>
      </x:c>
      <x:c r="C16" s="982" t="n">
        <x:v>256</x:v>
      </x:c>
      <x:c r="D16" s="982" t="n">
        <x:v>7168</x:v>
      </x:c>
      <x:c r="E16" s="982" t="n">
        <x:v>512</x:v>
      </x:c>
      <x:c r="F16" s="975" t="str">
        <x:v>[256,512,7168]</x:v>
      </x:c>
      <x:c r="G16" s="975" t="str">
        <x:v>B-major</x:v>
      </x:c>
      <x:c r="H16" s="975" t="str">
        <x:v>matmul_reuseA</x:v>
      </x:c>
      <x:c r="I16" s="982" t="n">
        <x:v>128</x:v>
      </x:c>
      <x:c r="J16" s="982" t="n">
        <x:v>128</x:v>
      </x:c>
      <x:c r="K16" s="982" t="n">
        <x:v>512</x:v>
      </x:c>
      <x:c r="L16" s="994" t="n">
        <x:v>32</x:v>
      </x:c>
      <x:c r="M16" s="994" t="n">
        <x:v>128</x:v>
      </x:c>
      <x:c r="N16" s="994" t="n">
        <x:v>128</x:v>
      </x:c>
      <x:c r="O16" s="982" t="n">
        <x:v>260730</x:v>
      </x:c>
      <x:c r="P16" s="995" t="n">
        <x:v>162.95625</x:v>
      </x:c>
      <x:c r="Q16" s="982" t="n">
        <x:v>4096</x:v>
      </x:c>
      <x:c r="R16" s="982" t="n">
        <x:v>229376</x:v>
      </x:c>
      <x:c r="S16" s="996" t="n">
        <x:v>0.8797453304184405</x:v>
      </x:c>
      <x:c r="T16" s="994" t="n">
        <x:v>64</x:v>
      </x:c>
      <x:c r="U16" s="994" t="n">
        <x:v>32</x:v>
      </x:c>
      <x:c r="V16" s="996" t="n">
        <x:v>1</x:v>
      </x:c>
      <x:c r="W16" s="674" t="str">
        <x:v>PASS</x:v>
      </x:c>
      <x:c r="X16" s="942" t="str">
        <x:v>/Users/blacktraker/Programming/gitproj/DV4/SuperNPUBench/outputs/matmul_reuseA_refresh_20261010/sweep/build/BF16_M256_N7168_K512_tM128_tN128_tK512/kernel/matmul/elf/kernel_matmul_matmul_reuseA_B1_M256_N7168_K512_tM128_tN128_tK512_DType__bf16.elf</x:v>
      </x:c>
      <x:c r="Y16" s="942" t="str">
        <x:v>/Users/blacktraker/Programming/gitproj/DV4/SuperNPUBench/outputs/matmul_reuseA_refresh_20261010/sweep/logs/BF16_M256_N7168_K512_tM128_tN128_tK512.gfsim.log</x:v>
      </x:c>
      <x:c r="Z16" s="942" t="str">
        <x:v>PASS；reuseA；ELF=/Users/blacktraker/Programming/gitproj/DV4/SuperNPUBench/outputs/matmul_reuseA_refresh_20261010/sweep/build/BF16_M256_N7168_K512_tM128_tN128_tK512/kernel/matmul/elf/kernel_matmul_matmul_reuseA_B1_M256_N7168_K512_tM128_tN128_tK512_DType__bf16.elf；gfsim log=/Users/blacktraker/Programming/gitproj/DV4/SuperNPUBench/outputs/matmul_reuseA_refresh_20261010/sweep/logs/BF16_M256_N7168_K512_tM128_tN128_tK512.gfsim.log</x:v>
      </x:c>
      <x:c r="AA16" s="942"/>
      <x:c r="AB16" s="942" t="str">
        <x:v>matmul_reuseA; tM=128; tN=128; tK=512</x:v>
      </x:c>
      <x:c r="AC16" s="674" t="str">
        <x:v>否</x:v>
      </x:c>
      <x:c r="AD16" s="1263" t="str">
        <x:v>https://github.com/PTO-ISA/SuperNPUBench/blob/main/benchmark/one-level-arch/kernels/basic_op/matmul/matmul_reuseA.hpp#L281</x:v>
      </x:c>
    </x:row>
    <x:row r="17" ht="31.5" customHeight="1">
      <x:c r="A17" s="975" t="str">
        <x:v>matmul (ubm)</x:v>
      </x:c>
      <x:c r="B17" s="975" t="str">
        <x:v>BF16</x:v>
      </x:c>
      <x:c r="C17" s="982" t="n">
        <x:v>256</x:v>
      </x:c>
      <x:c r="D17" s="982" t="n">
        <x:v>7168</x:v>
      </x:c>
      <x:c r="E17" s="982" t="n">
        <x:v>512</x:v>
      </x:c>
      <x:c r="F17" s="975" t="str">
        <x:v>[256,512,7168]</x:v>
      </x:c>
      <x:c r="G17" s="975" t="str">
        <x:v>B-major</x:v>
      </x:c>
      <x:c r="H17" s="975" t="str">
        <x:v>matmul_reuseA</x:v>
      </x:c>
      <x:c r="I17" s="982" t="n">
        <x:v>128</x:v>
      </x:c>
      <x:c r="J17" s="982" t="n">
        <x:v>256</x:v>
      </x:c>
      <x:c r="K17" s="982" t="n">
        <x:v>64</x:v>
      </x:c>
      <x:c r="L17" s="994" t="n">
        <x:v>4</x:v>
      </x:c>
      <x:c r="M17" s="994" t="n">
        <x:v>32</x:v>
      </x:c>
      <x:c r="N17" s="994" t="n">
        <x:v>32</x:v>
      </x:c>
      <x:c r="O17" s="982" t="n">
        <x:v>261803</x:v>
      </x:c>
      <x:c r="P17" s="995" t="n">
        <x:v>163.626875</x:v>
      </x:c>
      <x:c r="Q17" s="982" t="n">
        <x:v>4096</x:v>
      </x:c>
      <x:c r="R17" s="982" t="n">
        <x:v>229376</x:v>
      </x:c>
      <x:c r="S17" s="996" t="n">
        <x:v>0.8761396928224657</x:v>
      </x:c>
      <x:c r="T17" s="994" t="n">
        <x:v>64</x:v>
      </x:c>
      <x:c r="U17" s="994" t="n">
        <x:v>256</x:v>
      </x:c>
      <x:c r="V17" s="996" t="n">
        <x:v>1</x:v>
      </x:c>
      <x:c r="W17" s="674" t="str">
        <x:v>PASS</x:v>
      </x:c>
      <x:c r="X17" s="942" t="str">
        <x:v>/Users/blacktraker/Programming/gitproj/DV4/SuperNPUBench/outputs/matmul_reuseA_refresh_20261010/sweep/build/BF16_M256_N7168_K512_tM128_tN256_tK64/kernel/matmul/elf/kernel_matmul_matmul_reuseA_B1_M256_N7168_K512_tM128_tN256_tK64_DType__bf16.elf</x:v>
      </x:c>
      <x:c r="Y17" s="942" t="str">
        <x:v>/Users/blacktraker/Programming/gitproj/DV4/SuperNPUBench/outputs/matmul_reuseA_refresh_20261010/sweep/logs/BF16_M256_N7168_K512_tM128_tN256_tK64.gfsim.log</x:v>
      </x:c>
      <x:c r="Z17" s="942" t="str">
        <x:v>PASS；reuseA；ELF=/Users/blacktraker/Programming/gitproj/DV4/SuperNPUBench/outputs/matmul_reuseA_refresh_20261010/sweep/build/BF16_M256_N7168_K512_tM128_tN256_tK64/kernel/matmul/elf/kernel_matmul_matmul_reuseA_B1_M256_N7168_K512_tM128_tN256_tK64_DType__bf16.elf；gfsim log=/Users/blacktraker/Programming/gitproj/DV4/SuperNPUBench/outputs/matmul_reuseA_refresh_20261010/sweep/logs/BF16_M256_N7168_K512_tM128_tN256_tK64.gfsim.log</x:v>
      </x:c>
      <x:c r="AA17" s="942"/>
      <x:c r="AB17" s="942" t="str">
        <x:v>matmul_reuseA; tM=128; tN=256; tK=64</x:v>
      </x:c>
      <x:c r="AC17" s="674" t="str">
        <x:v>否</x:v>
      </x:c>
      <x:c r="AD17" s="1263" t="str">
        <x:v>https://github.com/PTO-ISA/SuperNPUBench/blob/main/benchmark/one-level-arch/kernels/basic_op/matmul/matmul_reuseA.hpp#L281</x:v>
      </x:c>
    </x:row>
    <x:row r="18" ht="31.5" customHeight="1">
      <x:c r="A18" s="975" t="str">
        <x:v>matmul (ubm)</x:v>
      </x:c>
      <x:c r="B18" s="975" t="str">
        <x:v>BF16</x:v>
      </x:c>
      <x:c r="C18" s="982" t="n">
        <x:v>256</x:v>
      </x:c>
      <x:c r="D18" s="982" t="n">
        <x:v>7168</x:v>
      </x:c>
      <x:c r="E18" s="982" t="n">
        <x:v>512</x:v>
      </x:c>
      <x:c r="F18" s="975" t="str">
        <x:v>[256,512,7168]</x:v>
      </x:c>
      <x:c r="G18" s="975" t="str">
        <x:v>B-major</x:v>
      </x:c>
      <x:c r="H18" s="975" t="str">
        <x:v>matmul_reuseA</x:v>
      </x:c>
      <x:c r="I18" s="982" t="n">
        <x:v>128</x:v>
      </x:c>
      <x:c r="J18" s="982" t="n">
        <x:v>256</x:v>
      </x:c>
      <x:c r="K18" s="982" t="n">
        <x:v>128</x:v>
      </x:c>
      <x:c r="L18" s="994" t="n">
        <x:v>8</x:v>
      </x:c>
      <x:c r="M18" s="994" t="n">
        <x:v>64</x:v>
      </x:c>
      <x:c r="N18" s="994" t="n">
        <x:v>64</x:v>
      </x:c>
      <x:c r="O18" s="982" t="n">
        <x:v>240393</x:v>
      </x:c>
      <x:c r="P18" s="995" t="n">
        <x:v>150.245625</x:v>
      </x:c>
      <x:c r="Q18" s="982" t="n">
        <x:v>4096</x:v>
      </x:c>
      <x:c r="R18" s="982" t="n">
        <x:v>229376</x:v>
      </x:c>
      <x:c r="S18" s="996" t="n">
        <x:v>0.9541708785197572</x:v>
      </x:c>
      <x:c r="T18" s="994" t="n">
        <x:v>64</x:v>
      </x:c>
      <x:c r="U18" s="994" t="n">
        <x:v>128</x:v>
      </x:c>
      <x:c r="V18" s="996" t="n">
        <x:v>1</x:v>
      </x:c>
      <x:c r="W18" s="674" t="str">
        <x:v>PASS</x:v>
      </x:c>
      <x:c r="X18" s="942" t="str">
        <x:v>/Users/blacktraker/Programming/gitproj/DV4/SuperNPUBench/outputs/matmul_reuseA_refresh_20261010/sweep/build/BF16_M256_N7168_K512_tM128_tN256_tK128/kernel/matmul/elf/kernel_matmul_matmul_reuseA_B1_M256_N7168_K512_tM128_tN256_tK128_DType__bf16.elf</x:v>
      </x:c>
      <x:c r="Y18" s="942" t="str">
        <x:v>/Users/blacktraker/Programming/gitproj/DV4/SuperNPUBench/outputs/matmul_reuseA_refresh_20261010/sweep/logs/BF16_M256_N7168_K512_tM128_tN256_tK128.gfsim.log</x:v>
      </x:c>
      <x:c r="Z18" s="942" t="str">
        <x:v>PASS；reuseA；ELF=/Users/blacktraker/Programming/gitproj/DV4/SuperNPUBench/outputs/matmul_reuseA_refresh_20261010/sweep/build/BF16_M256_N7168_K512_tM128_tN256_tK128/kernel/matmul/elf/kernel_matmul_matmul_reuseA_B1_M256_N7168_K512_tM128_tN256_tK128_DType__bf16.elf；gfsim log=/Users/blacktraker/Programming/gitproj/DV4/SuperNPUBench/outputs/matmul_reuseA_refresh_20261010/sweep/logs/BF16_M256_N7168_K512_tM128_tN256_tK128.gfsim.log</x:v>
      </x:c>
      <x:c r="AA18" s="942"/>
      <x:c r="AB18" s="942" t="str">
        <x:v>matmul_reuseA; tM=128; tN=256; tK=128</x:v>
      </x:c>
      <x:c r="AC18" s="674" t="str">
        <x:v>否</x:v>
      </x:c>
      <x:c r="AD18" s="1263" t="str">
        <x:v>https://github.com/PTO-ISA/SuperNPUBench/blob/main/benchmark/one-level-arch/kernels/basic_op/matmul/matmul_reuseA.hpp#L281</x:v>
      </x:c>
    </x:row>
    <x:row r="19" ht="31.5" customHeight="1">
      <x:c r="A19" s="975" t="str">
        <x:v>matmul (ubm)</x:v>
      </x:c>
      <x:c r="B19" s="975" t="str">
        <x:v>BF16</x:v>
      </x:c>
      <x:c r="C19" s="982" t="n">
        <x:v>256</x:v>
      </x:c>
      <x:c r="D19" s="982" t="n">
        <x:v>7168</x:v>
      </x:c>
      <x:c r="E19" s="982" t="n">
        <x:v>512</x:v>
      </x:c>
      <x:c r="F19" s="975" t="str">
        <x:v>[256,512,7168]</x:v>
      </x:c>
      <x:c r="G19" s="975" t="str">
        <x:v>B-major</x:v>
      </x:c>
      <x:c r="H19" s="975" t="str">
        <x:v>matmul_reuseA</x:v>
      </x:c>
      <x:c r="I19" s="982" t="n">
        <x:v>128</x:v>
      </x:c>
      <x:c r="J19" s="982" t="n">
        <x:v>256</x:v>
      </x:c>
      <x:c r="K19" s="982" t="n">
        <x:v>256</x:v>
      </x:c>
      <x:c r="L19" s="994" t="n">
        <x:v>16</x:v>
      </x:c>
      <x:c r="M19" s="994" t="n">
        <x:v>128</x:v>
      </x:c>
      <x:c r="N19" s="994" t="n">
        <x:v>128</x:v>
      </x:c>
      <x:c r="O19" s="982" t="n">
        <x:v>249230</x:v>
      </x:c>
      <x:c r="P19" s="995" t="n">
        <x:v>155.76875</x:v>
      </x:c>
      <x:c r="Q19" s="982" t="n">
        <x:v>4096</x:v>
      </x:c>
      <x:c r="R19" s="982" t="n">
        <x:v>229376</x:v>
      </x:c>
      <x:c r="S19" s="996" t="n">
        <x:v>0.9203386430205032</x:v>
      </x:c>
      <x:c r="T19" s="994" t="n">
        <x:v>64</x:v>
      </x:c>
      <x:c r="U19" s="994" t="n">
        <x:v>64</x:v>
      </x:c>
      <x:c r="V19" s="996" t="n">
        <x:v>1</x:v>
      </x:c>
      <x:c r="W19" s="674" t="str">
        <x:v>PASS</x:v>
      </x:c>
      <x:c r="X19" s="942" t="str">
        <x:v>/Users/blacktraker/Programming/gitproj/DV4/SuperNPUBench/outputs/matmul_reuseA_refresh_20261010/sweep/build/BF16_M256_N7168_K512_tM128_tN256_tK256/kernel/matmul/elf/kernel_matmul_matmul_reuseA_B1_M256_N7168_K512_tM128_tN256_tK256_DType__bf16.elf</x:v>
      </x:c>
      <x:c r="Y19" s="942" t="str">
        <x:v>/Users/blacktraker/Programming/gitproj/DV4/SuperNPUBench/outputs/matmul_reuseA_refresh_20261010/sweep/logs/BF16_M256_N7168_K512_tM128_tN256_tK256.gfsim.log</x:v>
      </x:c>
      <x:c r="Z19" s="942" t="str">
        <x:v>PASS；reuseA；ELF=/Users/blacktraker/Programming/gitproj/DV4/SuperNPUBench/outputs/matmul_reuseA_refresh_20261010/sweep/build/BF16_M256_N7168_K512_tM128_tN256_tK256/kernel/matmul/elf/kernel_matmul_matmul_reuseA_B1_M256_N7168_K512_tM128_tN256_tK256_DType__bf16.elf；gfsim log=/Users/blacktraker/Programming/gitproj/DV4/SuperNPUBench/outputs/matmul_reuseA_refresh_20261010/sweep/logs/BF16_M256_N7168_K512_tM128_tN256_tK256.gfsim.log</x:v>
      </x:c>
      <x:c r="AA19" s="942"/>
      <x:c r="AB19" s="942" t="str">
        <x:v>matmul_reuseA; tM=128; tN=256; tK=256</x:v>
      </x:c>
      <x:c r="AC19" s="674" t="str">
        <x:v>否</x:v>
      </x:c>
      <x:c r="AD19" s="1263" t="str">
        <x:v>https://github.com/PTO-ISA/SuperNPUBench/blob/main/benchmark/one-level-arch/kernels/basic_op/matmul/matmul_reuseA.hpp#L281</x:v>
      </x:c>
    </x:row>
    <x:row r="20" ht="31.5" customHeight="1">
      <x:c r="A20" s="975" t="str">
        <x:v>matmul (ubm)</x:v>
      </x:c>
      <x:c r="B20" s="975" t="str">
        <x:v>BF16</x:v>
      </x:c>
      <x:c r="C20" s="982" t="n">
        <x:v>256</x:v>
      </x:c>
      <x:c r="D20" s="982" t="n">
        <x:v>7168</x:v>
      </x:c>
      <x:c r="E20" s="982" t="n">
        <x:v>512</x:v>
      </x:c>
      <x:c r="F20" s="975" t="str">
        <x:v>[256,512,7168]</x:v>
      </x:c>
      <x:c r="G20" s="975" t="str">
        <x:v>B-major</x:v>
      </x:c>
      <x:c r="H20" s="975" t="str">
        <x:v>matmul_reuseA</x:v>
      </x:c>
      <x:c r="I20" s="982" t="n">
        <x:v>128</x:v>
      </x:c>
      <x:c r="J20" s="982" t="n">
        <x:v>256</x:v>
      </x:c>
      <x:c r="K20" s="982" t="n">
        <x:v>512</x:v>
      </x:c>
      <x:c r="L20" s="994" t="n">
        <x:v>32</x:v>
      </x:c>
      <x:c r="M20" s="994" t="n">
        <x:v>256</x:v>
      </x:c>
      <x:c r="N20" s="994" t="n">
        <x:v>256</x:v>
      </x:c>
      <x:c r="O20" s="982" t="n">
        <x:v>416689</x:v>
      </x:c>
      <x:c r="P20" s="995" t="n">
        <x:v>260.430625</x:v>
      </x:c>
      <x:c r="Q20" s="982" t="n">
        <x:v>4096</x:v>
      </x:c>
      <x:c r="R20" s="982" t="n">
        <x:v>229376</x:v>
      </x:c>
      <x:c r="S20" s="996" t="n">
        <x:v>0.5504728946528467</x:v>
      </x:c>
      <x:c r="T20" s="994" t="n">
        <x:v>64</x:v>
      </x:c>
      <x:c r="U20" s="994" t="n">
        <x:v>32</x:v>
      </x:c>
      <x:c r="V20" s="996" t="n">
        <x:v>1</x:v>
      </x:c>
      <x:c r="W20" s="674" t="str">
        <x:v>PASS</x:v>
      </x:c>
      <x:c r="X20" s="942" t="str">
        <x:v>/Users/blacktraker/Programming/gitproj/DV4/SuperNPUBench/outputs/matmul_reuseA_refresh_20261010/sweep/build/BF16_M256_N7168_K512_tM128_tN256_tK512/kernel/matmul/elf/kernel_matmul_matmul_reuseA_B1_M256_N7168_K512_tM128_tN256_tK512_DType__bf16.elf</x:v>
      </x:c>
      <x:c r="Y20" s="942" t="str">
        <x:v>/Users/blacktraker/Programming/gitproj/DV4/SuperNPUBench/outputs/matmul_reuseA_refresh_20261010/sweep/logs/BF16_M256_N7168_K512_tM128_tN256_tK512.gfsim.log</x:v>
      </x:c>
      <x:c r="Z20" s="942" t="str">
        <x:v>PASS；reuseA；ELF=/Users/blacktraker/Programming/gitproj/DV4/SuperNPUBench/outputs/matmul_reuseA_refresh_20261010/sweep/build/BF16_M256_N7168_K512_tM128_tN256_tK512/kernel/matmul/elf/kernel_matmul_matmul_reuseA_B1_M256_N7168_K512_tM128_tN256_tK512_DType__bf16.elf；gfsim log=/Users/blacktraker/Programming/gitproj/DV4/SuperNPUBench/outputs/matmul_reuseA_refresh_20261010/sweep/logs/BF16_M256_N7168_K512_tM128_tN256_tK512.gfsim.log</x:v>
      </x:c>
      <x:c r="AA20" s="942"/>
      <x:c r="AB20" s="942" t="str">
        <x:v>matmul_reuseA; tM=128; tN=256; tK=512</x:v>
      </x:c>
      <x:c r="AC20" s="674" t="str">
        <x:v>否</x:v>
      </x:c>
      <x:c r="AD20" s="1263" t="str">
        <x:v>https://github.com/PTO-ISA/SuperNPUBench/blob/main/benchmark/one-level-arch/kernels/basic_op/matmul/matmul_reuseA.hpp#L281</x:v>
      </x:c>
    </x:row>
    <x:row r="21" ht="31.5" customHeight="1">
      <x:c r="A21" s="976" t="str">
        <x:v>matmul (ubm)</x:v>
      </x:c>
      <x:c r="B21" s="976" t="str">
        <x:v>BF16</x:v>
      </x:c>
      <x:c r="C21" s="983" t="n">
        <x:v>256</x:v>
      </x:c>
      <x:c r="D21" s="983" t="n">
        <x:v>32767</x:v>
      </x:c>
      <x:c r="E21" s="983" t="n">
        <x:v>128</x:v>
      </x:c>
      <x:c r="F21" s="976" t="str">
        <x:v>[256,128,32767]</x:v>
      </x:c>
      <x:c r="G21" s="976" t="str">
        <x:v>B-major</x:v>
      </x:c>
      <x:c r="H21" s="976" t="str">
        <x:v>matmul_shared</x:v>
      </x:c>
      <x:c r="I21" s="983" t="n">
        <x:v>128</x:v>
      </x:c>
      <x:c r="J21" s="983" t="n">
        <x:v>64</x:v>
      </x:c>
      <x:c r="K21" s="983" t="n">
        <x:v>64</x:v>
      </x:c>
      <x:c r="L21" s="1001" t="n">
        <x:v>16</x:v>
      </x:c>
      <x:c r="M21" s="1001" t="n">
        <x:v>8</x:v>
      </x:c>
      <x:c r="N21" s="1001" t="n">
        <x:v>24</x:v>
      </x:c>
      <x:c r="O21" s="983" t="n">
        <x:v>712530</x:v>
      </x:c>
      <x:c r="P21" s="1002" t="n">
        <x:v>445.33125</x:v>
      </x:c>
      <x:c r="Q21" s="983" t="n">
        <x:v>4096</x:v>
      </x:c>
      <x:c r="R21" s="983" t="n">
        <x:v>262136</x:v>
      </x:c>
      <x:c r="S21" s="1003" t="n">
        <x:v>0.36789468513606444</x:v>
      </x:c>
      <x:c r="T21" s="1001" t="n">
        <x:v>192</x:v>
      </x:c>
      <x:c r="U21" s="1001" t="n">
        <x:v>256</x:v>
      </x:c>
      <x:c r="V21" s="1003" t="n">
        <x:v>0.6666666666666666</x:v>
      </x:c>
      <x:c r="W21" s="685" t="str">
        <x:v>PASS</x:v>
      </x:c>
      <x:c r="X21" s="940" t="str">
        <x:v>/Users/blacktraker/Programming/gitproj/DV4/SuperNPUBench/outputs/matmul_other4_refresh_20261010/sweep/02_bf16/build/BF16_M256_N32767_K128_tM128_tN64_tK64/kernel/matmul/elf/kernel_matmul_matmul_shared_B1_M256_N32767_K128_tM128_tN64_tK64_DType__bf16.elf</x:v>
      </x:c>
      <x:c r="Y21" s="940" t="str">
        <x:v>/Users/blacktraker/Programming/gitproj/DV4/SuperNPUBench/outputs/matmul_other4_refresh_20261010/sweep/02_bf16/logs/BF16_M256_N32767_K128_tM128_tN64_tK64.gfsim.log</x:v>
      </x:c>
      <x:c r="Z21" s="940" t="str">
        <x:v>PASS；matmul_shared；ELF=/Users/blacktraker/Programming/gitproj/DV4/SuperNPUBench/outputs/matmul_other4_refresh_20261010/sweep/02_bf16/build/BF16_M256_N32767_K128_tM128_tN64_tK64/kernel/matmul/elf/kernel_matmul_matmul_shared_B1_M256_N32767_K128_tM128_tN64_tK64_DType__bf16.elf；gfsim log=/Users/blacktraker/Programming/gitproj/DV4/SuperNPUBench/outputs/matmul_other4_refresh_20261010/sweep/02_bf16/logs/BF16_M256_N32767_K128_tM128_tN64_tK64.gfsim.log</x:v>
      </x:c>
      <x:c r="AA21" s="940"/>
      <x:c r="AB21" s="940" t="str">
        <x:v>matmul_shared; tM=128; tN=64; tK=64</x:v>
      </x:c>
      <x:c r="AC21" s="685" t="str">
        <x:v>否</x:v>
      </x:c>
      <x:c r="AD21" s="1263" t="str">
        <x:v>https://github.com/PTO-ISA/SuperNPUBench/blob/main/benchmark/one-level-arch/kernels/basic_op/matmul/matmul_shared.hpp#L24</x:v>
      </x:c>
    </x:row>
    <x:row r="22" ht="31.5" customHeight="1">
      <x:c r="A22" s="976" t="str">
        <x:v>matmul (ubm)</x:v>
      </x:c>
      <x:c r="B22" s="976" t="str">
        <x:v>BF16</x:v>
      </x:c>
      <x:c r="C22" s="983" t="n">
        <x:v>256</x:v>
      </x:c>
      <x:c r="D22" s="983" t="n">
        <x:v>32767</x:v>
      </x:c>
      <x:c r="E22" s="983" t="n">
        <x:v>128</x:v>
      </x:c>
      <x:c r="F22" s="976" t="str">
        <x:v>[256,128,32767]</x:v>
      </x:c>
      <x:c r="G22" s="976" t="str">
        <x:v>B-major</x:v>
      </x:c>
      <x:c r="H22" s="976" t="str">
        <x:v>matmul_shared</x:v>
      </x:c>
      <x:c r="I22" s="983" t="n">
        <x:v>128</x:v>
      </x:c>
      <x:c r="J22" s="983" t="n">
        <x:v>64</x:v>
      </x:c>
      <x:c r="K22" s="983" t="n">
        <x:v>128</x:v>
      </x:c>
      <x:c r="L22" s="1001" t="n">
        <x:v>32</x:v>
      </x:c>
      <x:c r="M22" s="1001" t="n">
        <x:v>16</x:v>
      </x:c>
      <x:c r="N22" s="1001" t="n">
        <x:v>48</x:v>
      </x:c>
      <x:c r="O22" s="983" t="n">
        <x:v>711777</x:v>
      </x:c>
      <x:c r="P22" s="1002" t="n">
        <x:v>444.860625</x:v>
      </x:c>
      <x:c r="Q22" s="983" t="n">
        <x:v>4096</x:v>
      </x:c>
      <x:c r="R22" s="983" t="n">
        <x:v>262136</x:v>
      </x:c>
      <x:c r="S22" s="1003" t="n">
        <x:v>0.36828388666675094</x:v>
      </x:c>
      <x:c r="T22" s="1001" t="n">
        <x:v>192</x:v>
      </x:c>
      <x:c r="U22" s="1001" t="n">
        <x:v>128</x:v>
      </x:c>
      <x:c r="V22" s="1003" t="n">
        <x:v>0.6666666666666666</x:v>
      </x:c>
      <x:c r="W22" s="685" t="str">
        <x:v>PASS</x:v>
      </x:c>
      <x:c r="X22" s="940" t="str">
        <x:v>/Users/blacktraker/Programming/gitproj/DV4/SuperNPUBench/outputs/matmul_other4_refresh_20261010/sweep/02_bf16/build/BF16_M256_N32767_K128_tM128_tN64_tK128/kernel/matmul/elf/kernel_matmul_matmul_shared_B1_M256_N32767_K128_tM128_tN64_tK128_DType__bf16.elf</x:v>
      </x:c>
      <x:c r="Y22" s="940" t="str">
        <x:v>/Users/blacktraker/Programming/gitproj/DV4/SuperNPUBench/outputs/matmul_other4_refresh_20261010/sweep/02_bf16/logs/BF16_M256_N32767_K128_tM128_tN64_tK128.gfsim.log</x:v>
      </x:c>
      <x:c r="Z22" s="940" t="str">
        <x:v>PASS；matmul_shared；ELF=/Users/blacktraker/Programming/gitproj/DV4/SuperNPUBench/outputs/matmul_other4_refresh_20261010/sweep/02_bf16/build/BF16_M256_N32767_K128_tM128_tN64_tK128/kernel/matmul/elf/kernel_matmul_matmul_shared_B1_M256_N32767_K128_tM128_tN64_tK128_DType__bf16.elf；gfsim log=/Users/blacktraker/Programming/gitproj/DV4/SuperNPUBench/outputs/matmul_other4_refresh_20261010/sweep/02_bf16/logs/BF16_M256_N32767_K128_tM128_tN64_tK128.gfsim.log</x:v>
      </x:c>
      <x:c r="AA22" s="940"/>
      <x:c r="AB22" s="940" t="str">
        <x:v>matmul_shared; tM=128; tN=64; tK=128</x:v>
      </x:c>
      <x:c r="AC22" s="685" t="str">
        <x:v>否</x:v>
      </x:c>
      <x:c r="AD22" s="1263" t="str">
        <x:v>https://github.com/PTO-ISA/SuperNPUBench/blob/main/benchmark/one-level-arch/kernels/basic_op/matmul/matmul_shared.hpp#L24</x:v>
      </x:c>
    </x:row>
    <x:row r="23" ht="31.5" customHeight="1">
      <x:c r="A23" s="976" t="str">
        <x:v>matmul (ubm)</x:v>
      </x:c>
      <x:c r="B23" s="976" t="str">
        <x:v>BF16</x:v>
      </x:c>
      <x:c r="C23" s="983" t="n">
        <x:v>256</x:v>
      </x:c>
      <x:c r="D23" s="983" t="n">
        <x:v>32767</x:v>
      </x:c>
      <x:c r="E23" s="983" t="n">
        <x:v>128</x:v>
      </x:c>
      <x:c r="F23" s="976" t="str">
        <x:v>[256,128,32767]</x:v>
      </x:c>
      <x:c r="G23" s="976" t="str">
        <x:v>B-major</x:v>
      </x:c>
      <x:c r="H23" s="976" t="str">
        <x:v>matmul_shared</x:v>
      </x:c>
      <x:c r="I23" s="983" t="n">
        <x:v>128</x:v>
      </x:c>
      <x:c r="J23" s="983" t="n">
        <x:v>128</x:v>
      </x:c>
      <x:c r="K23" s="983" t="n">
        <x:v>64</x:v>
      </x:c>
      <x:c r="L23" s="1001" t="n">
        <x:v>16</x:v>
      </x:c>
      <x:c r="M23" s="1001" t="n">
        <x:v>16</x:v>
      </x:c>
      <x:c r="N23" s="1001" t="n">
        <x:v>32</x:v>
      </x:c>
      <x:c r="O23" s="983" t="n">
        <x:v>618109</x:v>
      </x:c>
      <x:c r="P23" s="1002" t="n">
        <x:v>386.318125</x:v>
      </x:c>
      <x:c r="Q23" s="983" t="n">
        <x:v>4096</x:v>
      </x:c>
      <x:c r="R23" s="983" t="n">
        <x:v>262136</x:v>
      </x:c>
      <x:c r="S23" s="1003" t="n">
        <x:v>0.4240934851296454</x:v>
      </x:c>
      <x:c r="T23" s="1001" t="n">
        <x:v>128</x:v>
      </x:c>
      <x:c r="U23" s="1001" t="n">
        <x:v>256</x:v>
      </x:c>
      <x:c r="V23" s="1003" t="n">
        <x:v>1</x:v>
      </x:c>
      <x:c r="W23" s="685" t="str">
        <x:v>PASS</x:v>
      </x:c>
      <x:c r="X23" s="940" t="str">
        <x:v>/Users/blacktraker/Programming/gitproj/DV4/SuperNPUBench/outputs/matmul_other4_refresh_20261010/sweep/02_bf16/build/BF16_M256_N32767_K128_tM128_tN128_tK64/kernel/matmul/elf/kernel_matmul_matmul_shared_B1_M256_N32767_K128_tM128_tN128_tK64_DType__bf16.elf</x:v>
      </x:c>
      <x:c r="Y23" s="940" t="str">
        <x:v>/Users/blacktraker/Programming/gitproj/DV4/SuperNPUBench/outputs/matmul_other4_refresh_20261010/sweep/02_bf16/logs/BF16_M256_N32767_K128_tM128_tN128_tK64.gfsim.log</x:v>
      </x:c>
      <x:c r="Z23" s="940" t="str">
        <x:v>PASS；matmul_shared；ELF=/Users/blacktraker/Programming/gitproj/DV4/SuperNPUBench/outputs/matmul_other4_refresh_20261010/sweep/02_bf16/build/BF16_M256_N32767_K128_tM128_tN128_tK64/kernel/matmul/elf/kernel_matmul_matmul_shared_B1_M256_N32767_K128_tM128_tN128_tK64_DType__bf16.elf；gfsim log=/Users/blacktraker/Programming/gitproj/DV4/SuperNPUBench/outputs/matmul_other4_refresh_20261010/sweep/02_bf16/logs/BF16_M256_N32767_K128_tM128_tN128_tK64.gfsim.log</x:v>
      </x:c>
      <x:c r="AA23" s="940"/>
      <x:c r="AB23" s="940" t="str">
        <x:v>matmul_shared; tM=128; tN=128; tK=64</x:v>
      </x:c>
      <x:c r="AC23" s="685" t="str">
        <x:v>否</x:v>
      </x:c>
      <x:c r="AD23" s="1263" t="str">
        <x:v>https://github.com/PTO-ISA/SuperNPUBench/blob/main/benchmark/one-level-arch/kernels/basic_op/matmul/matmul_shared.hpp#L24</x:v>
      </x:c>
    </x:row>
    <x:row r="24" ht="31.5" customHeight="1">
      <x:c r="A24" s="976" t="str">
        <x:v>matmul (ubm)</x:v>
      </x:c>
      <x:c r="B24" s="976" t="str">
        <x:v>BF16</x:v>
      </x:c>
      <x:c r="C24" s="983" t="n">
        <x:v>256</x:v>
      </x:c>
      <x:c r="D24" s="983" t="n">
        <x:v>32767</x:v>
      </x:c>
      <x:c r="E24" s="983" t="n">
        <x:v>128</x:v>
      </x:c>
      <x:c r="F24" s="976" t="str">
        <x:v>[256,128,32767]</x:v>
      </x:c>
      <x:c r="G24" s="976" t="str">
        <x:v>B-major</x:v>
      </x:c>
      <x:c r="H24" s="976" t="str">
        <x:v>matmul_shared</x:v>
      </x:c>
      <x:c r="I24" s="983" t="n">
        <x:v>128</x:v>
      </x:c>
      <x:c r="J24" s="983" t="n">
        <x:v>128</x:v>
      </x:c>
      <x:c r="K24" s="983" t="n">
        <x:v>128</x:v>
      </x:c>
      <x:c r="L24" s="1001" t="n">
        <x:v>32</x:v>
      </x:c>
      <x:c r="M24" s="1001" t="n">
        <x:v>32</x:v>
      </x:c>
      <x:c r="N24" s="1001" t="n">
        <x:v>64</x:v>
      </x:c>
      <x:c r="O24" s="983" t="n">
        <x:v>616935</x:v>
      </x:c>
      <x:c r="P24" s="1002" t="n">
        <x:v>385.584375</x:v>
      </x:c>
      <x:c r="Q24" s="983" t="n">
        <x:v>4096</x:v>
      </x:c>
      <x:c r="R24" s="983" t="n">
        <x:v>262136</x:v>
      </x:c>
      <x:c r="S24" s="1003" t="n">
        <x:v>0.42490051626184283</x:v>
      </x:c>
      <x:c r="T24" s="1001" t="n">
        <x:v>128</x:v>
      </x:c>
      <x:c r="U24" s="1001" t="n">
        <x:v>128</x:v>
      </x:c>
      <x:c r="V24" s="1003" t="n">
        <x:v>1</x:v>
      </x:c>
      <x:c r="W24" s="685" t="str">
        <x:v>PASS</x:v>
      </x:c>
      <x:c r="X24" s="940" t="str">
        <x:v>/Users/blacktraker/Programming/gitproj/DV4/SuperNPUBench/outputs/matmul_other4_refresh_20261010/sweep/02_bf16/build/BF16_M256_N32767_K128_tM128_tN128_tK128/kernel/matmul/elf/kernel_matmul_matmul_shared_B1_M256_N32767_K128_tM128_tN128_tK128_DType__bf16.elf</x:v>
      </x:c>
      <x:c r="Y24" s="940" t="str">
        <x:v>/Users/blacktraker/Programming/gitproj/DV4/SuperNPUBench/outputs/matmul_other4_refresh_20261010/sweep/02_bf16/logs/BF16_M256_N32767_K128_tM128_tN128_tK128.gfsim.log</x:v>
      </x:c>
      <x:c r="Z24" s="940" t="str">
        <x:v>PASS；matmul_shared；ELF=/Users/blacktraker/Programming/gitproj/DV4/SuperNPUBench/outputs/matmul_other4_refresh_20261010/sweep/02_bf16/build/BF16_M256_N32767_K128_tM128_tN128_tK128/kernel/matmul/elf/kernel_matmul_matmul_shared_B1_M256_N32767_K128_tM128_tN128_tK128_DType__bf16.elf；gfsim log=/Users/blacktraker/Programming/gitproj/DV4/SuperNPUBench/outputs/matmul_other4_refresh_20261010/sweep/02_bf16/logs/BF16_M256_N32767_K128_tM128_tN128_tK128.gfsim.log</x:v>
      </x:c>
      <x:c r="AA24" s="940"/>
      <x:c r="AB24" s="940" t="str">
        <x:v>matmul_shared; tM=128; tN=128; tK=128</x:v>
      </x:c>
      <x:c r="AC24" s="685" t="str">
        <x:v>否</x:v>
      </x:c>
      <x:c r="AD24" s="1263" t="str">
        <x:v>https://github.com/PTO-ISA/SuperNPUBench/blob/main/benchmark/one-level-arch/kernels/basic_op/matmul/matmul_shared.hpp#L24</x:v>
      </x:c>
    </x:row>
    <x:row r="25" ht="31.5" customHeight="1">
      <x:c r="A25" s="976" t="str">
        <x:v>matmul (ubm)</x:v>
      </x:c>
      <x:c r="B25" s="976" t="str">
        <x:v>BF16</x:v>
      </x:c>
      <x:c r="C25" s="983" t="n">
        <x:v>256</x:v>
      </x:c>
      <x:c r="D25" s="983" t="n">
        <x:v>32767</x:v>
      </x:c>
      <x:c r="E25" s="983" t="n">
        <x:v>128</x:v>
      </x:c>
      <x:c r="F25" s="976" t="str">
        <x:v>[256,128,32767]</x:v>
      </x:c>
      <x:c r="G25" s="976" t="str">
        <x:v>B-major</x:v>
      </x:c>
      <x:c r="H25" s="976" t="str">
        <x:v>matmul_shared</x:v>
      </x:c>
      <x:c r="I25" s="983" t="n">
        <x:v>128</x:v>
      </x:c>
      <x:c r="J25" s="983" t="n">
        <x:v>256</x:v>
      </x:c>
      <x:c r="K25" s="983" t="n">
        <x:v>64</x:v>
      </x:c>
      <x:c r="L25" s="1001" t="n">
        <x:v>16</x:v>
      </x:c>
      <x:c r="M25" s="1001" t="n">
        <x:v>32</x:v>
      </x:c>
      <x:c r="N25" s="1001" t="n">
        <x:v>48</x:v>
      </x:c>
      <x:c r="O25" s="983" t="n">
        <x:v>518308</x:v>
      </x:c>
      <x:c r="P25" s="1002" t="n">
        <x:v>323.9425</x:v>
      </x:c>
      <x:c r="Q25" s="983" t="n">
        <x:v>4096</x:v>
      </x:c>
      <x:c r="R25" s="983" t="n">
        <x:v>262136</x:v>
      </x:c>
      <x:c r="S25" s="1003" t="n">
        <x:v>0.5057533358543569</x:v>
      </x:c>
      <x:c r="T25" s="1001" t="n">
        <x:v>96</x:v>
      </x:c>
      <x:c r="U25" s="1001" t="n">
        <x:v>256</x:v>
      </x:c>
      <x:c r="V25" s="1003" t="n">
        <x:v>1</x:v>
      </x:c>
      <x:c r="W25" s="685" t="str">
        <x:v>PASS</x:v>
      </x:c>
      <x:c r="X25" s="940" t="str">
        <x:v>/Users/blacktraker/Programming/gitproj/DV4/SuperNPUBench/outputs/matmul_other4_refresh_20261010/sweep/02_bf16/build/BF16_M256_N32767_K128_tM128_tN256_tK64/kernel/matmul/elf/kernel_matmul_matmul_shared_B1_M256_N32767_K128_tM128_tN256_tK64_DType__bf16.elf</x:v>
      </x:c>
      <x:c r="Y25" s="940" t="str">
        <x:v>/Users/blacktraker/Programming/gitproj/DV4/SuperNPUBench/outputs/matmul_other4_refresh_20261010/sweep/02_bf16/logs/BF16_M256_N32767_K128_tM128_tN256_tK64.gfsim.log</x:v>
      </x:c>
      <x:c r="Z25" s="940" t="str">
        <x:v>PASS；matmul_shared；ELF=/Users/blacktraker/Programming/gitproj/DV4/SuperNPUBench/outputs/matmul_other4_refresh_20261010/sweep/02_bf16/build/BF16_M256_N32767_K128_tM128_tN256_tK64/kernel/matmul/elf/kernel_matmul_matmul_shared_B1_M256_N32767_K128_tM128_tN256_tK64_DType__bf16.elf；gfsim log=/Users/blacktraker/Programming/gitproj/DV4/SuperNPUBench/outputs/matmul_other4_refresh_20261010/sweep/02_bf16/logs/BF16_M256_N32767_K128_tM128_tN256_tK64.gfsim.log</x:v>
      </x:c>
      <x:c r="AA25" s="940"/>
      <x:c r="AB25" s="940" t="str">
        <x:v>matmul_shared; tM=128; tN=256; tK=64</x:v>
      </x:c>
      <x:c r="AC25" s="685" t="str">
        <x:v>否</x:v>
      </x:c>
      <x:c r="AD25" s="1263" t="str">
        <x:v>https://github.com/PTO-ISA/SuperNPUBench/blob/main/benchmark/one-level-arch/kernels/basic_op/matmul/matmul_shared.hpp#L24</x:v>
      </x:c>
    </x:row>
    <x:row r="26" ht="31.5" customHeight="1">
      <x:c r="A26" s="976" t="str">
        <x:v>matmul (ubm)</x:v>
      </x:c>
      <x:c r="B26" s="976" t="str">
        <x:v>BF16</x:v>
      </x:c>
      <x:c r="C26" s="983" t="n">
        <x:v>256</x:v>
      </x:c>
      <x:c r="D26" s="983" t="n">
        <x:v>32767</x:v>
      </x:c>
      <x:c r="E26" s="983" t="n">
        <x:v>128</x:v>
      </x:c>
      <x:c r="F26" s="976" t="str">
        <x:v>[256,128,32767]</x:v>
      </x:c>
      <x:c r="G26" s="976" t="str">
        <x:v>B-major</x:v>
      </x:c>
      <x:c r="H26" s="976" t="str">
        <x:v>matmul_shared</x:v>
      </x:c>
      <x:c r="I26" s="1004" t="n">
        <x:v>128</x:v>
      </x:c>
      <x:c r="J26" s="1004" t="n">
        <x:v>256</x:v>
      </x:c>
      <x:c r="K26" s="1004" t="n">
        <x:v>128</x:v>
      </x:c>
      <x:c r="L26" s="1001" t="n">
        <x:v>32</x:v>
      </x:c>
      <x:c r="M26" s="1001" t="n">
        <x:v>64</x:v>
      </x:c>
      <x:c r="N26" s="1001" t="n">
        <x:v>96</x:v>
      </x:c>
      <x:c r="O26" s="998" t="n">
        <x:v>516077</x:v>
      </x:c>
      <x:c r="P26" s="999" t="n">
        <x:v>322.548125</x:v>
      </x:c>
      <x:c r="Q26" s="998" t="n">
        <x:v>4096</x:v>
      </x:c>
      <x:c r="R26" s="998" t="n">
        <x:v>262136</x:v>
      </x:c>
      <x:c r="S26" s="1000" t="n">
        <x:v>0.5079397066716789</x:v>
      </x:c>
      <x:c r="T26" s="1001" t="n">
        <x:v>96</x:v>
      </x:c>
      <x:c r="U26" s="1001" t="n">
        <x:v>128</x:v>
      </x:c>
      <x:c r="V26" s="1003" t="n">
        <x:v>1</x:v>
      </x:c>
      <x:c r="W26" s="685" t="str">
        <x:v>PASS</x:v>
      </x:c>
      <x:c r="X26" s="940" t="str">
        <x:v>/Users/blacktraker/Programming/gitproj/DV4/SuperNPUBench/outputs/matmul_other4_refresh_20261010/sweep/02_bf16/build/BF16_M256_N32767_K128_tM128_tN256_tK128/kernel/matmul/elf/kernel_matmul_matmul_shared_B1_M256_N32767_K128_tM128_tN256_tK128_DType__bf16.elf</x:v>
      </x:c>
      <x:c r="Y26" s="940" t="str">
        <x:v>/Users/blacktraker/Programming/gitproj/DV4/SuperNPUBench/outputs/matmul_other4_refresh_20261010/sweep/02_bf16/logs/BF16_M256_N32767_K128_tM128_tN256_tK128.gfsim.log</x:v>
      </x:c>
      <x:c r="Z26" s="940" t="str">
        <x:v>PASS；matmul_shared；ELF=/Users/blacktraker/Programming/gitproj/DV4/SuperNPUBench/outputs/matmul_other4_refresh_20261010/sweep/02_bf16/build/BF16_M256_N32767_K128_tM128_tN256_tK128/kernel/matmul/elf/kernel_matmul_matmul_shared_B1_M256_N32767_K128_tM128_tN256_tK128_DType__bf16.elf；gfsim log=/Users/blacktraker/Programming/gitproj/DV4/SuperNPUBench/outputs/matmul_other4_refresh_20261010/sweep/02_bf16/logs/BF16_M256_N32767_K128_tM128_tN256_tK128.gfsim.log</x:v>
      </x:c>
      <x:c r="AA26" s="940"/>
      <x:c r="AB26" s="940" t="str">
        <x:v>matmul_shared; tM=128; tN=256; tK=128</x:v>
      </x:c>
      <x:c r="AC26" s="685" t="str">
        <x:v>否</x:v>
      </x:c>
      <x:c r="AD26" s="1263" t="str">
        <x:v>https://github.com/PTO-ISA/SuperNPUBench/blob/main/benchmark/one-level-arch/kernels/basic_op/matmul/matmul_shared.hpp#L24</x:v>
      </x:c>
    </x:row>
    <x:row r="27" ht="31.5" customHeight="1">
      <x:c r="A27" s="976" t="str">
        <x:v>matmul (ubm)</x:v>
      </x:c>
      <x:c r="B27" s="976" t="str">
        <x:v>BF16</x:v>
      </x:c>
      <x:c r="C27" s="983" t="n">
        <x:v>256</x:v>
      </x:c>
      <x:c r="D27" s="983" t="n">
        <x:v>32767</x:v>
      </x:c>
      <x:c r="E27" s="983" t="n">
        <x:v>128</x:v>
      </x:c>
      <x:c r="F27" s="976" t="str">
        <x:v>[256,128,32767]</x:v>
      </x:c>
      <x:c r="G27" s="976" t="str">
        <x:v>B-major</x:v>
      </x:c>
      <x:c r="H27" s="976" t="str">
        <x:v>matmul_reuseA</x:v>
      </x:c>
      <x:c r="I27" s="983" t="n">
        <x:v>128</x:v>
      </x:c>
      <x:c r="J27" s="983" t="n">
        <x:v>64</x:v>
      </x:c>
      <x:c r="K27" s="983" t="n">
        <x:v>64</x:v>
      </x:c>
      <x:c r="L27" s="1001" t="n">
        <x:v>4</x:v>
      </x:c>
      <x:c r="M27" s="1001" t="n">
        <x:v>8</x:v>
      </x:c>
      <x:c r="N27" s="1001" t="n">
        <x:v>8</x:v>
      </x:c>
      <x:c r="O27" s="983" t="n">
        <x:v>519868</x:v>
      </x:c>
      <x:c r="P27" s="1002" t="n">
        <x:v>324.9175</x:v>
      </x:c>
      <x:c r="Q27" s="983" t="n">
        <x:v>4096</x:v>
      </x:c>
      <x:c r="R27" s="983" t="n">
        <x:v>262136</x:v>
      </x:c>
      <x:c r="S27" s="1003" t="n">
        <x:v>0.5042356905983827</x:v>
      </x:c>
      <x:c r="T27" s="1001" t="n">
        <x:v>64</x:v>
      </x:c>
      <x:c r="U27" s="1001" t="n">
        <x:v>256</x:v>
      </x:c>
      <x:c r="V27" s="1003" t="n">
        <x:v>1</x:v>
      </x:c>
      <x:c r="W27" s="685" t="str">
        <x:v>PASS</x:v>
      </x:c>
      <x:c r="X27" s="940" t="str">
        <x:v>/Users/blacktraker/Programming/gitproj/DV4/SuperNPUBench/outputs/matmul_reuseA_other_shapes_20261010/sweep_bf16_m256_n32767_k128/build/BF16_M256_N32767_K128_tM128_tN64_tK64/kernel/matmul/elf/kernel_matmul_matmul_reuseA_B1_M256_N32767_K128_tM128_tN64_tK64_DType__bf16.elf</x:v>
      </x:c>
      <x:c r="Y27" s="940" t="str">
        <x:v>/Users/blacktraker/Programming/gitproj/DV4/SuperNPUBench/outputs/matmul_reuseA_other_shapes_20261010/sweep_bf16_m256_n32767_k128/logs/BF16_M256_N32767_K128_tM128_tN64_tK64.gfsim.log</x:v>
      </x:c>
      <x:c r="Z27" s="940" t="str">
        <x:v>PASS；matmul_reuseA；valid_row/valid_col 尾块处理；ELF=/Users/blacktraker/Programming/gitproj/DV4/SuperNPUBench/outputs/matmul_reuseA_other_shapes_20261010/sweep_bf16_m256_n32767_k128/build/BF16_M256_N32767_K128_tM128_tN64_tK64/kernel/matmul/elf/kernel_matmul_matmul_reuseA_B1_M256_N32767_K128_tM128_tN64_tK64_DType__bf16.elf；gfsim log=/Users/blacktraker/Programming/gitproj/DV4/SuperNPUBench/outputs/matmul_reuseA_other_shapes_20261010/sweep_bf16_m256_n32767_k128/logs/BF16_M256_N32767_K128_tM128_tN64_tK64.gfsim.log；source=/Users/blacktraker/Programming/gitproj/DV4/SuperNPUBench/benchmark/one-level-arch/kernels/basic_op/matmul/matmul_reuseA.hpp</x:v>
      </x:c>
      <x:c r="AA27" s="940"/>
      <x:c r="AB27" s="940" t="str">
        <x:v>matmul_reuseA; tM=128; tN=64; tK=64; tail=valid_row/valid_col</x:v>
      </x:c>
      <x:c r="AC27" s="685" t="str">
        <x:v>否</x:v>
      </x:c>
      <x:c r="AD27" s="1263" t="str">
        <x:v>https://github.com/PTO-ISA/SuperNPUBench/blob/main/benchmark/one-level-arch/kernels/basic_op/matmul/matmul_reuseA.hpp#L281</x:v>
      </x:c>
    </x:row>
    <x:row r="28" ht="31.5" customHeight="1">
      <x:c r="A28" s="976" t="str">
        <x:v>matmul (ubm)</x:v>
      </x:c>
      <x:c r="B28" s="976" t="str">
        <x:v>BF16</x:v>
      </x:c>
      <x:c r="C28" s="983" t="n">
        <x:v>256</x:v>
      </x:c>
      <x:c r="D28" s="983" t="n">
        <x:v>32767</x:v>
      </x:c>
      <x:c r="E28" s="983" t="n">
        <x:v>128</x:v>
      </x:c>
      <x:c r="F28" s="976" t="str">
        <x:v>[256,128,32767]</x:v>
      </x:c>
      <x:c r="G28" s="976" t="str">
        <x:v>B-major</x:v>
      </x:c>
      <x:c r="H28" s="976" t="str">
        <x:v>matmul_reuseA</x:v>
      </x:c>
      <x:c r="I28" s="983" t="n">
        <x:v>128</x:v>
      </x:c>
      <x:c r="J28" s="983" t="n">
        <x:v>64</x:v>
      </x:c>
      <x:c r="K28" s="983" t="n">
        <x:v>128</x:v>
      </x:c>
      <x:c r="L28" s="1001" t="n">
        <x:v>8</x:v>
      </x:c>
      <x:c r="M28" s="1001" t="n">
        <x:v>16</x:v>
      </x:c>
      <x:c r="N28" s="1001" t="n">
        <x:v>16</x:v>
      </x:c>
      <x:c r="O28" s="983" t="n">
        <x:v>486573</x:v>
      </x:c>
      <x:c r="P28" s="1002" t="n">
        <x:v>304.108125</x:v>
      </x:c>
      <x:c r="Q28" s="983" t="n">
        <x:v>4096</x:v>
      </x:c>
      <x:c r="R28" s="983" t="n">
        <x:v>262136</x:v>
      </x:c>
      <x:c r="S28" s="1003" t="n">
        <x:v>0.5387393053046511</x:v>
      </x:c>
      <x:c r="T28" s="1001" t="n">
        <x:v>64</x:v>
      </x:c>
      <x:c r="U28" s="1001" t="n">
        <x:v>128</x:v>
      </x:c>
      <x:c r="V28" s="1003" t="n">
        <x:v>1</x:v>
      </x:c>
      <x:c r="W28" s="685" t="str">
        <x:v>PASS</x:v>
      </x:c>
      <x:c r="X28" s="940" t="str">
        <x:v>/Users/blacktraker/Programming/gitproj/DV4/SuperNPUBench/outputs/matmul_reuseA_other_shapes_20261010/sweep_bf16_m256_n32767_k128/build/BF16_M256_N32767_K128_tM128_tN64_tK128/kernel/matmul/elf/kernel_matmul_matmul_reuseA_B1_M256_N32767_K128_tM128_tN64_tK128_DType__bf16.elf</x:v>
      </x:c>
      <x:c r="Y28" s="940" t="str">
        <x:v>/Users/blacktraker/Programming/gitproj/DV4/SuperNPUBench/outputs/matmul_reuseA_other_shapes_20261010/sweep_bf16_m256_n32767_k128/logs/BF16_M256_N32767_K128_tM128_tN64_tK128.gfsim.log</x:v>
      </x:c>
      <x:c r="Z28" s="940" t="str">
        <x:v>PASS；matmul_reuseA；valid_row/valid_col 尾块处理；ELF=/Users/blacktraker/Programming/gitproj/DV4/SuperNPUBench/outputs/matmul_reuseA_other_shapes_20261010/sweep_bf16_m256_n32767_k128/build/BF16_M256_N32767_K128_tM128_tN64_tK128/kernel/matmul/elf/kernel_matmul_matmul_reuseA_B1_M256_N32767_K128_tM128_tN64_tK128_DType__bf16.elf；gfsim log=/Users/blacktraker/Programming/gitproj/DV4/SuperNPUBench/outputs/matmul_reuseA_other_shapes_20261010/sweep_bf16_m256_n32767_k128/logs/BF16_M256_N32767_K128_tM128_tN64_tK128.gfsim.log；source=/Users/blacktraker/Programming/gitproj/DV4/SuperNPUBench/benchmark/one-level-arch/kernels/basic_op/matmul/matmul_reuseA.hpp</x:v>
      </x:c>
      <x:c r="AA28" s="940"/>
      <x:c r="AB28" s="940" t="str">
        <x:v>matmul_reuseA; tM=128; tN=64; tK=128; tail=valid_row/valid_col</x:v>
      </x:c>
      <x:c r="AC28" s="685" t="str">
        <x:v>否</x:v>
      </x:c>
      <x:c r="AD28" s="1263" t="str">
        <x:v>https://github.com/PTO-ISA/SuperNPUBench/blob/main/benchmark/one-level-arch/kernels/basic_op/matmul/matmul_reuseA.hpp#L281</x:v>
      </x:c>
    </x:row>
    <x:row r="29" ht="31.5" customHeight="1">
      <x:c r="A29" s="976" t="str">
        <x:v>matmul (ubm)</x:v>
      </x:c>
      <x:c r="B29" s="976" t="str">
        <x:v>BF16</x:v>
      </x:c>
      <x:c r="C29" s="983" t="n">
        <x:v>256</x:v>
      </x:c>
      <x:c r="D29" s="983" t="n">
        <x:v>32767</x:v>
      </x:c>
      <x:c r="E29" s="983" t="n">
        <x:v>128</x:v>
      </x:c>
      <x:c r="F29" s="976" t="str">
        <x:v>[256,128,32767]</x:v>
      </x:c>
      <x:c r="G29" s="976" t="str">
        <x:v>B-major</x:v>
      </x:c>
      <x:c r="H29" s="976" t="str">
        <x:v>matmul_reuseA</x:v>
      </x:c>
      <x:c r="I29" s="1004" t="n">
        <x:v>128</x:v>
      </x:c>
      <x:c r="J29" s="1004" t="n">
        <x:v>128</x:v>
      </x:c>
      <x:c r="K29" s="1004" t="n">
        <x:v>64</x:v>
      </x:c>
      <x:c r="L29" s="1001" t="n">
        <x:v>4</x:v>
      </x:c>
      <x:c r="M29" s="1001" t="n">
        <x:v>16</x:v>
      </x:c>
      <x:c r="N29" s="1001" t="n">
        <x:v>16</x:v>
      </x:c>
      <x:c r="O29" s="998" t="n">
        <x:v>431896</x:v>
      </x:c>
      <x:c r="P29" s="999" t="n">
        <x:v>269.935</x:v>
      </x:c>
      <x:c r="Q29" s="998" t="n">
        <x:v>4096</x:v>
      </x:c>
      <x:c r="R29" s="998" t="n">
        <x:v>262136</x:v>
      </x:c>
      <x:c r="S29" s="1000" t="n">
        <x:v>0.6069424120621632</x:v>
      </x:c>
      <x:c r="T29" s="1001" t="n">
        <x:v>64</x:v>
      </x:c>
      <x:c r="U29" s="1001" t="n">
        <x:v>256</x:v>
      </x:c>
      <x:c r="V29" s="1003" t="n">
        <x:v>1</x:v>
      </x:c>
      <x:c r="W29" s="685" t="str">
        <x:v>PASS</x:v>
      </x:c>
      <x:c r="X29" s="940" t="str">
        <x:v>/Users/blacktraker/Programming/gitproj/DV4/SuperNPUBench/outputs/matmul_reuseA_other_shapes_20261010/sweep_bf16_m256_n32767_k128/build/BF16_M256_N32767_K128_tM128_tN128_tK64/kernel/matmul/elf/kernel_matmul_matmul_reuseA_B1_M256_N32767_K128_tM128_tN128_tK64_DType__bf16.elf</x:v>
      </x:c>
      <x:c r="Y29" s="940" t="str">
        <x:v>/Users/blacktraker/Programming/gitproj/DV4/SuperNPUBench/outputs/matmul_reuseA_other_shapes_20261010/sweep_bf16_m256_n32767_k128/logs/BF16_M256_N32767_K128_tM128_tN128_tK64.gfsim.log</x:v>
      </x:c>
      <x:c r="Z29" s="940" t="str">
        <x:v>PASS；matmul_reuseA；valid_row/valid_col 尾块处理；ELF=/Users/blacktraker/Programming/gitproj/DV4/SuperNPUBench/outputs/matmul_reuseA_other_shapes_20261010/sweep_bf16_m256_n32767_k128/build/BF16_M256_N32767_K128_tM128_tN128_tK64/kernel/matmul/elf/kernel_matmul_matmul_reuseA_B1_M256_N32767_K128_tM128_tN128_tK64_DType__bf16.elf；gfsim log=/Users/blacktraker/Programming/gitproj/DV4/SuperNPUBench/outputs/matmul_reuseA_other_shapes_20261010/sweep_bf16_m256_n32767_k128/logs/BF16_M256_N32767_K128_tM128_tN128_tK64.gfsim.log；source=/Users/blacktraker/Programming/gitproj/DV4/SuperNPUBench/benchmark/one-level-arch/kernels/basic_op/matmul/matmul_reuseA.hpp</x:v>
      </x:c>
      <x:c r="AA29" s="940"/>
      <x:c r="AB29" s="940" t="str">
        <x:v>matmul_reuseA; tM=128; tN=128; tK=64; tail=valid_row/valid_col</x:v>
      </x:c>
      <x:c r="AC29" s="685" t="str">
        <x:v>否</x:v>
      </x:c>
      <x:c r="AD29" s="1263" t="str">
        <x:v>https://github.com/PTO-ISA/SuperNPUBench/blob/main/benchmark/one-level-arch/kernels/basic_op/matmul/matmul_reuseA.hpp#L281</x:v>
      </x:c>
    </x:row>
    <x:row r="30" ht="31.5" customHeight="1">
      <x:c r="A30" s="976" t="str">
        <x:v>matmul (ubm)</x:v>
      </x:c>
      <x:c r="B30" s="976" t="str">
        <x:v>BF16</x:v>
      </x:c>
      <x:c r="C30" s="983" t="n">
        <x:v>256</x:v>
      </x:c>
      <x:c r="D30" s="983" t="n">
        <x:v>32767</x:v>
      </x:c>
      <x:c r="E30" s="983" t="n">
        <x:v>128</x:v>
      </x:c>
      <x:c r="F30" s="976" t="str">
        <x:v>[256,128,32767]</x:v>
      </x:c>
      <x:c r="G30" s="976" t="str">
        <x:v>B-major</x:v>
      </x:c>
      <x:c r="H30" s="976" t="str">
        <x:v>matmul_reuseA</x:v>
      </x:c>
      <x:c r="I30" s="983" t="n">
        <x:v>128</x:v>
      </x:c>
      <x:c r="J30" s="983" t="n">
        <x:v>128</x:v>
      </x:c>
      <x:c r="K30" s="983" t="n">
        <x:v>128</x:v>
      </x:c>
      <x:c r="L30" s="1001" t="n">
        <x:v>8</x:v>
      </x:c>
      <x:c r="M30" s="1001" t="n">
        <x:v>32</x:v>
      </x:c>
      <x:c r="N30" s="1001" t="n">
        <x:v>32</x:v>
      </x:c>
      <x:c r="O30" s="983" t="n">
        <x:v>434208</x:v>
      </x:c>
      <x:c r="P30" s="1002" t="n">
        <x:v>271.38</x:v>
      </x:c>
      <x:c r="Q30" s="983" t="n">
        <x:v>4096</x:v>
      </x:c>
      <x:c r="R30" s="983" t="n">
        <x:v>262136</x:v>
      </x:c>
      <x:c r="S30" s="1003" t="n">
        <x:v>0.6037106640135603</x:v>
      </x:c>
      <x:c r="T30" s="1001" t="n">
        <x:v>64</x:v>
      </x:c>
      <x:c r="U30" s="1001" t="n">
        <x:v>128</x:v>
      </x:c>
      <x:c r="V30" s="1003" t="n">
        <x:v>1</x:v>
      </x:c>
      <x:c r="W30" s="685" t="str">
        <x:v>PASS</x:v>
      </x:c>
      <x:c r="X30" s="940" t="str">
        <x:v>/Users/blacktraker/Programming/gitproj/DV4/SuperNPUBench/outputs/matmul_reuseA_other_shapes_20261010/sweep_bf16_m256_n32767_k128/build/BF16_M256_N32767_K128_tM128_tN128_tK128/kernel/matmul/elf/kernel_matmul_matmul_reuseA_B1_M256_N32767_K128_tM128_tN128_tK128_DType__bf16.elf</x:v>
      </x:c>
      <x:c r="Y30" s="940" t="str">
        <x:v>/Users/blacktraker/Programming/gitproj/DV4/SuperNPUBench/outputs/matmul_reuseA_other_shapes_20261010/sweep_bf16_m256_n32767_k128/logs/BF16_M256_N32767_K128_tM128_tN128_tK128.gfsim.log</x:v>
      </x:c>
      <x:c r="Z30" s="940" t="str">
        <x:v>PASS；matmul_reuseA；valid_row/valid_col 尾块处理；ELF=/Users/blacktraker/Programming/gitproj/DV4/SuperNPUBench/outputs/matmul_reuseA_other_shapes_20261010/sweep_bf16_m256_n32767_k128/build/BF16_M256_N32767_K128_tM128_tN128_tK128/kernel/matmul/elf/kernel_matmul_matmul_reuseA_B1_M256_N32767_K128_tM128_tN128_tK128_DType__bf16.elf；gfsim log=/Users/blacktraker/Programming/gitproj/DV4/SuperNPUBench/outputs/matmul_reuseA_other_shapes_20261010/sweep_bf16_m256_n32767_k128/logs/BF16_M256_N32767_K128_tM128_tN128_tK128.gfsim.log；source=/Users/blacktraker/Programming/gitproj/DV4/SuperNPUBench/benchmark/one-level-arch/kernels/basic_op/matmul/matmul_reuseA.hpp</x:v>
      </x:c>
      <x:c r="AA30" s="940"/>
      <x:c r="AB30" s="940" t="str">
        <x:v>matmul_reuseA; tM=128; tN=128; tK=128; tail=valid_row/valid_col</x:v>
      </x:c>
      <x:c r="AC30" s="685" t="str">
        <x:v>否</x:v>
      </x:c>
      <x:c r="AD30" s="1263" t="str">
        <x:v>https://github.com/PTO-ISA/SuperNPUBench/blob/main/benchmark/one-level-arch/kernels/basic_op/matmul/matmul_reuseA.hpp#L281</x:v>
      </x:c>
    </x:row>
    <x:row r="31" ht="31.5" customHeight="1">
      <x:c r="A31" s="976" t="str">
        <x:v>matmul (ubm)</x:v>
      </x:c>
      <x:c r="B31" s="976" t="str">
        <x:v>BF16</x:v>
      </x:c>
      <x:c r="C31" s="983" t="n">
        <x:v>256</x:v>
      </x:c>
      <x:c r="D31" s="983" t="n">
        <x:v>32767</x:v>
      </x:c>
      <x:c r="E31" s="983" t="n">
        <x:v>128</x:v>
      </x:c>
      <x:c r="F31" s="976" t="str">
        <x:v>[256,128,32767]</x:v>
      </x:c>
      <x:c r="G31" s="976" t="str">
        <x:v>B-major</x:v>
      </x:c>
      <x:c r="H31" s="976" t="str">
        <x:v>matmul_reuseA</x:v>
      </x:c>
      <x:c r="I31" s="983" t="n">
        <x:v>128</x:v>
      </x:c>
      <x:c r="J31" s="983" t="n">
        <x:v>256</x:v>
      </x:c>
      <x:c r="K31" s="983" t="n">
        <x:v>64</x:v>
      </x:c>
      <x:c r="L31" s="1001" t="n">
        <x:v>4</x:v>
      </x:c>
      <x:c r="M31" s="1001" t="n">
        <x:v>32</x:v>
      </x:c>
      <x:c r="N31" s="1001" t="n">
        <x:v>32</x:v>
      </x:c>
      <x:c r="O31" s="983" t="n">
        <x:v>439538</x:v>
      </x:c>
      <x:c r="P31" s="1002" t="n">
        <x:v>274.71125</x:v>
      </x:c>
      <x:c r="Q31" s="983" t="n">
        <x:v>4096</x:v>
      </x:c>
      <x:c r="R31" s="983" t="n">
        <x:v>262136</x:v>
      </x:c>
      <x:c r="S31" s="1003" t="n">
        <x:v>0.5963898457016231</x:v>
      </x:c>
      <x:c r="T31" s="1001" t="n">
        <x:v>64</x:v>
      </x:c>
      <x:c r="U31" s="1001" t="n">
        <x:v>256</x:v>
      </x:c>
      <x:c r="V31" s="1003" t="n">
        <x:v>1</x:v>
      </x:c>
      <x:c r="W31" s="685" t="str">
        <x:v>PASS</x:v>
      </x:c>
      <x:c r="X31" s="940" t="str">
        <x:v>/Users/blacktraker/Programming/gitproj/DV4/SuperNPUBench/outputs/matmul_reuseA_other_shapes_20261010/sweep_bf16_m256_n32767_k128/build/BF16_M256_N32767_K128_tM128_tN256_tK64/kernel/matmul/elf/kernel_matmul_matmul_reuseA_B1_M256_N32767_K128_tM128_tN256_tK64_DType__bf16.elf</x:v>
      </x:c>
      <x:c r="Y31" s="940" t="str">
        <x:v>/Users/blacktraker/Programming/gitproj/DV4/SuperNPUBench/outputs/matmul_reuseA_other_shapes_20261010/sweep_bf16_m256_n32767_k128/logs/BF16_M256_N32767_K128_tM128_tN256_tK64.gfsim.log</x:v>
      </x:c>
      <x:c r="Z31" s="940" t="str">
        <x:v>PASS；matmul_reuseA；valid_row/valid_col 尾块处理；ELF=/Users/blacktraker/Programming/gitproj/DV4/SuperNPUBench/outputs/matmul_reuseA_other_shapes_20261010/sweep_bf16_m256_n32767_k128/build/BF16_M256_N32767_K128_tM128_tN256_tK64/kernel/matmul/elf/kernel_matmul_matmul_reuseA_B1_M256_N32767_K128_tM128_tN256_tK64_DType__bf16.elf；gfsim log=/Users/blacktraker/Programming/gitproj/DV4/SuperNPUBench/outputs/matmul_reuseA_other_shapes_20261010/sweep_bf16_m256_n32767_k128/logs/BF16_M256_N32767_K128_tM128_tN256_tK64.gfsim.log；source=/Users/blacktraker/Programming/gitproj/DV4/SuperNPUBench/benchmark/one-level-arch/kernels/basic_op/matmul/matmul_reuseA.hpp</x:v>
      </x:c>
      <x:c r="AA31" s="940"/>
      <x:c r="AB31" s="940" t="str">
        <x:v>matmul_reuseA; tM=128; tN=256; tK=64; tail=valid_row/valid_col</x:v>
      </x:c>
      <x:c r="AC31" s="685" t="str">
        <x:v>否</x:v>
      </x:c>
      <x:c r="AD31" s="1263" t="str">
        <x:v>https://github.com/PTO-ISA/SuperNPUBench/blob/main/benchmark/one-level-arch/kernels/basic_op/matmul/matmul_reuseA.hpp#L281</x:v>
      </x:c>
    </x:row>
    <x:row r="32" ht="31.5" customHeight="1">
      <x:c r="A32" s="976" t="str">
        <x:v>matmul (ubm)</x:v>
      </x:c>
      <x:c r="B32" s="976" t="str">
        <x:v>BF16</x:v>
      </x:c>
      <x:c r="C32" s="983" t="n">
        <x:v>256</x:v>
      </x:c>
      <x:c r="D32" s="983" t="n">
        <x:v>32767</x:v>
      </x:c>
      <x:c r="E32" s="983" t="n">
        <x:v>128</x:v>
      </x:c>
      <x:c r="F32" s="976" t="str">
        <x:v>[256,128,32767]</x:v>
      </x:c>
      <x:c r="G32" s="976" t="str">
        <x:v>B-major</x:v>
      </x:c>
      <x:c r="H32" s="976" t="str">
        <x:v>matmul_reuseA</x:v>
      </x:c>
      <x:c r="I32" s="983" t="n">
        <x:v>128</x:v>
      </x:c>
      <x:c r="J32" s="983" t="n">
        <x:v>256</x:v>
      </x:c>
      <x:c r="K32" s="983" t="n">
        <x:v>128</x:v>
      </x:c>
      <x:c r="L32" s="1001" t="n">
        <x:v>8</x:v>
      </x:c>
      <x:c r="M32" s="1001" t="n">
        <x:v>64</x:v>
      </x:c>
      <x:c r="N32" s="1001" t="n">
        <x:v>64</x:v>
      </x:c>
      <x:c r="O32" s="983" t="n">
        <x:v>437956</x:v>
      </x:c>
      <x:c r="P32" s="1002" t="n">
        <x:v>273.7225</x:v>
      </x:c>
      <x:c r="Q32" s="983" t="n">
        <x:v>4096</x:v>
      </x:c>
      <x:c r="R32" s="983" t="n">
        <x:v>262136</x:v>
      </x:c>
      <x:c r="S32" s="1003" t="n">
        <x:v>0.5985441459872681</x:v>
      </x:c>
      <x:c r="T32" s="1001" t="n">
        <x:v>64</x:v>
      </x:c>
      <x:c r="U32" s="1001" t="n">
        <x:v>128</x:v>
      </x:c>
      <x:c r="V32" s="1003" t="n">
        <x:v>1</x:v>
      </x:c>
      <x:c r="W32" s="685" t="str">
        <x:v>PASS</x:v>
      </x:c>
      <x:c r="X32" s="940" t="str">
        <x:v>/Users/blacktraker/Programming/gitproj/DV4/SuperNPUBench/outputs/matmul_reuseA_other_shapes_20261010/sweep_bf16_m256_n32767_k128/build/BF16_M256_N32767_K128_tM128_tN256_tK128/kernel/matmul/elf/kernel_matmul_matmul_reuseA_B1_M256_N32767_K128_tM128_tN256_tK128_DType__bf16.elf</x:v>
      </x:c>
      <x:c r="Y32" s="940" t="str">
        <x:v>/Users/blacktraker/Programming/gitproj/DV4/SuperNPUBench/outputs/matmul_reuseA_other_shapes_20261010/sweep_bf16_m256_n32767_k128/logs/BF16_M256_N32767_K128_tM128_tN256_tK128.gfsim.log</x:v>
      </x:c>
      <x:c r="Z32" s="940" t="str">
        <x:v>PASS；matmul_reuseA；valid_row/valid_col 尾块处理；ELF=/Users/blacktraker/Programming/gitproj/DV4/SuperNPUBench/outputs/matmul_reuseA_other_shapes_20261010/sweep_bf16_m256_n32767_k128/build/BF16_M256_N32767_K128_tM128_tN256_tK128/kernel/matmul/elf/kernel_matmul_matmul_reuseA_B1_M256_N32767_K128_tM128_tN256_tK128_DType__bf16.elf；gfsim log=/Users/blacktraker/Programming/gitproj/DV4/SuperNPUBench/outputs/matmul_reuseA_other_shapes_20261010/sweep_bf16_m256_n32767_k128/logs/BF16_M256_N32767_K128_tM128_tN256_tK128.gfsim.log；source=/Users/blacktraker/Programming/gitproj/DV4/SuperNPUBench/benchmark/one-level-arch/kernels/basic_op/matmul/matmul_reuseA.hpp</x:v>
      </x:c>
      <x:c r="AA32" s="940"/>
      <x:c r="AB32" s="940" t="str">
        <x:v>matmul_reuseA; tM=128; tN=256; tK=128; tail=valid_row/valid_col</x:v>
      </x:c>
      <x:c r="AC32" s="685" t="str">
        <x:v>否</x:v>
      </x:c>
      <x:c r="AD32" s="1263" t="str">
        <x:v>https://github.com/PTO-ISA/SuperNPUBench/blob/main/benchmark/one-level-arch/kernels/basic_op/matmul/matmul_reuseA.hpp#L281</x:v>
      </x:c>
    </x:row>
    <x:row r="33" ht="31.5" customHeight="1">
      <x:c r="A33" s="977" t="str">
        <x:v>matmul (ubm)</x:v>
      </x:c>
      <x:c r="B33" s="977" t="str">
        <x:v>FP16</x:v>
      </x:c>
      <x:c r="C33" s="984" t="n">
        <x:v>288</x:v>
      </x:c>
      <x:c r="D33" s="984" t="n">
        <x:v>7392</x:v>
      </x:c>
      <x:c r="E33" s="984" t="n">
        <x:v>256</x:v>
      </x:c>
      <x:c r="F33" s="977" t="str">
        <x:v>[288,256,7392]</x:v>
      </x:c>
      <x:c r="G33" s="977" t="str">
        <x:v>B-major</x:v>
      </x:c>
      <x:c r="H33" s="977" t="str">
        <x:v>matmul_shared</x:v>
      </x:c>
      <x:c r="I33" s="984" t="n">
        <x:v>128</x:v>
      </x:c>
      <x:c r="J33" s="984" t="n">
        <x:v>64</x:v>
      </x:c>
      <x:c r="K33" s="984" t="n">
        <x:v>64</x:v>
      </x:c>
      <x:c r="L33" s="1005" t="n">
        <x:v>16</x:v>
      </x:c>
      <x:c r="M33" s="1005" t="n">
        <x:v>8</x:v>
      </x:c>
      <x:c r="N33" s="1005" t="n">
        <x:v>24</x:v>
      </x:c>
      <x:c r="O33" s="984" t="n">
        <x:v>331634</x:v>
      </x:c>
      <x:c r="P33" s="1006" t="n">
        <x:v>207.27125</x:v>
      </x:c>
      <x:c r="Q33" s="984" t="n">
        <x:v>4096</x:v>
      </x:c>
      <x:c r="R33" s="984" t="n">
        <x:v>133056</x:v>
      </x:c>
      <x:c r="S33" s="1007" t="n">
        <x:v>0.4012133858410175</x:v>
      </x:c>
      <x:c r="T33" s="1005" t="n">
        <x:v>192</x:v>
      </x:c>
      <x:c r="U33" s="1005" t="n">
        <x:v>256</x:v>
      </x:c>
      <x:c r="V33" s="1007" t="n">
        <x:v>0.6666666666666666</x:v>
      </x:c>
      <x:c r="W33" s="692" t="str">
        <x:v>PASS</x:v>
      </x:c>
      <x:c r="X33" s="944" t="str">
        <x:v>/Users/blacktraker/Programming/gitproj/DV4/SuperNPUBench/outputs/matmul_other4_refresh_20261010/sweep/03_fp16/build/FP16_M288_N7392_K256_tM128_tN64_tK64/kernel/matmul/elf/kernel_matmul_matmul_shared_B1_M288_N7392_K256_tM128_tN64_tK64_DType__half.elf</x:v>
      </x:c>
      <x:c r="Y33" s="944" t="str">
        <x:v>/Users/blacktraker/Programming/gitproj/DV4/SuperNPUBench/outputs/matmul_other4_refresh_20261010/sweep/03_fp16/logs/FP16_M288_N7392_K256_tM128_tN64_tK64.gfsim.log</x:v>
      </x:c>
      <x:c r="Z33" s="944" t="str">
        <x:v>PASS；matmul_shared；ELF=/Users/blacktraker/Programming/gitproj/DV4/SuperNPUBench/outputs/matmul_other4_refresh_20261010/sweep/03_fp16/build/FP16_M288_N7392_K256_tM128_tN64_tK64/kernel/matmul/elf/kernel_matmul_matmul_shared_B1_M288_N7392_K256_tM128_tN64_tK64_DType__half.elf；gfsim log=/Users/blacktraker/Programming/gitproj/DV4/SuperNPUBench/outputs/matmul_other4_refresh_20261010/sweep/03_fp16/logs/FP16_M288_N7392_K256_tM128_tN64_tK64.gfsim.log</x:v>
      </x:c>
      <x:c r="AA33" s="944"/>
      <x:c r="AB33" s="944" t="str">
        <x:v>matmul_shared; tM=128; tN=64; tK=64</x:v>
      </x:c>
      <x:c r="AC33" s="692" t="str">
        <x:v>否</x:v>
      </x:c>
      <x:c r="AD33" s="1263" t="str">
        <x:v>https://github.com/PTO-ISA/SuperNPUBench/blob/main/benchmark/one-level-arch/kernels/basic_op/matmul/matmul_shared.hpp#L24</x:v>
      </x:c>
    </x:row>
    <x:row r="34" ht="31.5" customHeight="1">
      <x:c r="A34" s="977" t="str">
        <x:v>matmul (ubm)</x:v>
      </x:c>
      <x:c r="B34" s="977" t="str">
        <x:v>FP16</x:v>
      </x:c>
      <x:c r="C34" s="984" t="n">
        <x:v>288</x:v>
      </x:c>
      <x:c r="D34" s="984" t="n">
        <x:v>7392</x:v>
      </x:c>
      <x:c r="E34" s="984" t="n">
        <x:v>256</x:v>
      </x:c>
      <x:c r="F34" s="977" t="str">
        <x:v>[288,256,7392]</x:v>
      </x:c>
      <x:c r="G34" s="977" t="str">
        <x:v>B-major</x:v>
      </x:c>
      <x:c r="H34" s="977" t="str">
        <x:v>matmul_shared</x:v>
      </x:c>
      <x:c r="I34" s="984" t="n">
        <x:v>128</x:v>
      </x:c>
      <x:c r="J34" s="984" t="n">
        <x:v>64</x:v>
      </x:c>
      <x:c r="K34" s="984" t="n">
        <x:v>128</x:v>
      </x:c>
      <x:c r="L34" s="1005" t="n">
        <x:v>32</x:v>
      </x:c>
      <x:c r="M34" s="1005" t="n">
        <x:v>16</x:v>
      </x:c>
      <x:c r="N34" s="1005" t="n">
        <x:v>48</x:v>
      </x:c>
      <x:c r="O34" s="984" t="n">
        <x:v>346305</x:v>
      </x:c>
      <x:c r="P34" s="1006" t="n">
        <x:v>216.440625</x:v>
      </x:c>
      <x:c r="Q34" s="984" t="n">
        <x:v>4096</x:v>
      </x:c>
      <x:c r="R34" s="984" t="n">
        <x:v>133056</x:v>
      </x:c>
      <x:c r="S34" s="1007" t="n">
        <x:v>0.3842162255814961</x:v>
      </x:c>
      <x:c r="T34" s="1005" t="n">
        <x:v>192</x:v>
      </x:c>
      <x:c r="U34" s="1005" t="n">
        <x:v>128</x:v>
      </x:c>
      <x:c r="V34" s="1007" t="n">
        <x:v>0.6666666666666666</x:v>
      </x:c>
      <x:c r="W34" s="692" t="str">
        <x:v>PASS</x:v>
      </x:c>
      <x:c r="X34" s="944" t="str">
        <x:v>/Users/blacktraker/Programming/gitproj/DV4/SuperNPUBench/outputs/matmul_other4_refresh_20261010/sweep/03_fp16/build/FP16_M288_N7392_K256_tM128_tN64_tK128/kernel/matmul/elf/kernel_matmul_matmul_shared_B1_M288_N7392_K256_tM128_tN64_tK128_DType__half.elf</x:v>
      </x:c>
      <x:c r="Y34" s="944" t="str">
        <x:v>/Users/blacktraker/Programming/gitproj/DV4/SuperNPUBench/outputs/matmul_other4_refresh_20261010/sweep/03_fp16/logs/FP16_M288_N7392_K256_tM128_tN64_tK128.gfsim.log</x:v>
      </x:c>
      <x:c r="Z34" s="944" t="str">
        <x:v>PASS；matmul_shared；ELF=/Users/blacktraker/Programming/gitproj/DV4/SuperNPUBench/outputs/matmul_other4_refresh_20261010/sweep/03_fp16/build/FP16_M288_N7392_K256_tM128_tN64_tK128/kernel/matmul/elf/kernel_matmul_matmul_shared_B1_M288_N7392_K256_tM128_tN64_tK128_DType__half.elf；gfsim log=/Users/blacktraker/Programming/gitproj/DV4/SuperNPUBench/outputs/matmul_other4_refresh_20261010/sweep/03_fp16/logs/FP16_M288_N7392_K256_tM128_tN64_tK128.gfsim.log</x:v>
      </x:c>
      <x:c r="AA34" s="944"/>
      <x:c r="AB34" s="944" t="str">
        <x:v>matmul_shared; tM=128; tN=64; tK=128</x:v>
      </x:c>
      <x:c r="AC34" s="692" t="str">
        <x:v>否</x:v>
      </x:c>
      <x:c r="AD34" s="1263" t="str">
        <x:v>https://github.com/PTO-ISA/SuperNPUBench/blob/main/benchmark/one-level-arch/kernels/basic_op/matmul/matmul_shared.hpp#L24</x:v>
      </x:c>
    </x:row>
    <x:row r="35" ht="31.5" customHeight="1">
      <x:c r="A35" s="977" t="str">
        <x:v>matmul (ubm)</x:v>
      </x:c>
      <x:c r="B35" s="977" t="str">
        <x:v>FP16</x:v>
      </x:c>
      <x:c r="C35" s="984" t="n">
        <x:v>288</x:v>
      </x:c>
      <x:c r="D35" s="984" t="n">
        <x:v>7392</x:v>
      </x:c>
      <x:c r="E35" s="984" t="n">
        <x:v>256</x:v>
      </x:c>
      <x:c r="F35" s="977" t="str">
        <x:v>[288,256,7392]</x:v>
      </x:c>
      <x:c r="G35" s="977" t="str">
        <x:v>B-major</x:v>
      </x:c>
      <x:c r="H35" s="977" t="str">
        <x:v>matmul_shared</x:v>
      </x:c>
      <x:c r="I35" s="984" t="n">
        <x:v>128</x:v>
      </x:c>
      <x:c r="J35" s="984" t="n">
        <x:v>64</x:v>
      </x:c>
      <x:c r="K35" s="984" t="n">
        <x:v>256</x:v>
      </x:c>
      <x:c r="L35" s="1005" t="n">
        <x:v>64</x:v>
      </x:c>
      <x:c r="M35" s="1005" t="n">
        <x:v>32</x:v>
      </x:c>
      <x:c r="N35" s="1005" t="n">
        <x:v>96</x:v>
      </x:c>
      <x:c r="O35" s="984" t="n">
        <x:v>383679</x:v>
      </x:c>
      <x:c r="P35" s="1006" t="n">
        <x:v>239.799375</x:v>
      </x:c>
      <x:c r="Q35" s="984" t="n">
        <x:v>4096</x:v>
      </x:c>
      <x:c r="R35" s="984" t="n">
        <x:v>133056</x:v>
      </x:c>
      <x:c r="S35" s="1007" t="n">
        <x:v>0.34678989467758203</x:v>
      </x:c>
      <x:c r="T35" s="1005" t="n">
        <x:v>192</x:v>
      </x:c>
      <x:c r="U35" s="1005" t="n">
        <x:v>64</x:v>
      </x:c>
      <x:c r="V35" s="1007" t="n">
        <x:v>0.6666666666666666</x:v>
      </x:c>
      <x:c r="W35" s="692" t="str">
        <x:v>PASS</x:v>
      </x:c>
      <x:c r="X35" s="944" t="str">
        <x:v>/Users/blacktraker/Programming/gitproj/DV4/SuperNPUBench/outputs/matmul_other4_refresh_20261010/sweep/03_fp16/build/FP16_M288_N7392_K256_tM128_tN64_tK256/kernel/matmul/elf/kernel_matmul_matmul_shared_B1_M288_N7392_K256_tM128_tN64_tK256_DType__half.elf</x:v>
      </x:c>
      <x:c r="Y35" s="944" t="str">
        <x:v>/Users/blacktraker/Programming/gitproj/DV4/SuperNPUBench/outputs/matmul_other4_refresh_20261010/sweep/03_fp16/logs/FP16_M288_N7392_K256_tM128_tN64_tK256.gfsim.log</x:v>
      </x:c>
      <x:c r="Z35" s="944" t="str">
        <x:v>PASS；matmul_shared；ELF=/Users/blacktraker/Programming/gitproj/DV4/SuperNPUBench/outputs/matmul_other4_refresh_20261010/sweep/03_fp16/build/FP16_M288_N7392_K256_tM128_tN64_tK256/kernel/matmul/elf/kernel_matmul_matmul_shared_B1_M288_N7392_K256_tM128_tN64_tK256_DType__half.elf；gfsim log=/Users/blacktraker/Programming/gitproj/DV4/SuperNPUBench/outputs/matmul_other4_refresh_20261010/sweep/03_fp16/logs/FP16_M288_N7392_K256_tM128_tN64_tK256.gfsim.log</x:v>
      </x:c>
      <x:c r="AA35" s="944"/>
      <x:c r="AB35" s="944" t="str">
        <x:v>matmul_shared; tM=128; tN=64; tK=256</x:v>
      </x:c>
      <x:c r="AC35" s="692" t="str">
        <x:v>否</x:v>
      </x:c>
      <x:c r="AD35" s="1263" t="str">
        <x:v>https://github.com/PTO-ISA/SuperNPUBench/blob/main/benchmark/one-level-arch/kernels/basic_op/matmul/matmul_shared.hpp#L24</x:v>
      </x:c>
    </x:row>
    <x:row r="36" ht="31.5" customHeight="1">
      <x:c r="A36" s="977" t="str">
        <x:v>matmul (ubm)</x:v>
      </x:c>
      <x:c r="B36" s="977" t="str">
        <x:v>FP16</x:v>
      </x:c>
      <x:c r="C36" s="984" t="n">
        <x:v>288</x:v>
      </x:c>
      <x:c r="D36" s="984" t="n">
        <x:v>7392</x:v>
      </x:c>
      <x:c r="E36" s="984" t="n">
        <x:v>256</x:v>
      </x:c>
      <x:c r="F36" s="977" t="str">
        <x:v>[288,256,7392]</x:v>
      </x:c>
      <x:c r="G36" s="977" t="str">
        <x:v>B-major</x:v>
      </x:c>
      <x:c r="H36" s="977" t="str">
        <x:v>matmul_shared</x:v>
      </x:c>
      <x:c r="I36" s="984" t="n">
        <x:v>128</x:v>
      </x:c>
      <x:c r="J36" s="984" t="n">
        <x:v>128</x:v>
      </x:c>
      <x:c r="K36" s="984" t="n">
        <x:v>64</x:v>
      </x:c>
      <x:c r="L36" s="1005" t="n">
        <x:v>16</x:v>
      </x:c>
      <x:c r="M36" s="1005" t="n">
        <x:v>16</x:v>
      </x:c>
      <x:c r="N36" s="1005" t="n">
        <x:v>32</x:v>
      </x:c>
      <x:c r="O36" s="984" t="n">
        <x:v>254615</x:v>
      </x:c>
      <x:c r="P36" s="1006" t="n">
        <x:v>159.134375</x:v>
      </x:c>
      <x:c r="Q36" s="984" t="n">
        <x:v>4096</x:v>
      </x:c>
      <x:c r="R36" s="984" t="n">
        <x:v>133056</x:v>
      </x:c>
      <x:c r="S36" s="1007" t="n">
        <x:v>0.5225772244368949</x:v>
      </x:c>
      <x:c r="T36" s="1005" t="n">
        <x:v>128</x:v>
      </x:c>
      <x:c r="U36" s="1005" t="n">
        <x:v>256</x:v>
      </x:c>
      <x:c r="V36" s="1007" t="n">
        <x:v>1</x:v>
      </x:c>
      <x:c r="W36" s="692" t="str">
        <x:v>PASS</x:v>
      </x:c>
      <x:c r="X36" s="944" t="str">
        <x:v>/Users/blacktraker/Programming/gitproj/DV4/SuperNPUBench/outputs/matmul_other4_refresh_20261010/sweep/03_fp16/build/FP16_M288_N7392_K256_tM128_tN128_tK64/kernel/matmul/elf/kernel_matmul_matmul_shared_B1_M288_N7392_K256_tM128_tN128_tK64_DType__half.elf</x:v>
      </x:c>
      <x:c r="Y36" s="944" t="str">
        <x:v>/Users/blacktraker/Programming/gitproj/DV4/SuperNPUBench/outputs/matmul_other4_refresh_20261010/sweep/03_fp16/logs/FP16_M288_N7392_K256_tM128_tN128_tK64.gfsim.log</x:v>
      </x:c>
      <x:c r="Z36" s="944" t="str">
        <x:v>PASS；matmul_shared；ELF=/Users/blacktraker/Programming/gitproj/DV4/SuperNPUBench/outputs/matmul_other4_refresh_20261010/sweep/03_fp16/build/FP16_M288_N7392_K256_tM128_tN128_tK64/kernel/matmul/elf/kernel_matmul_matmul_shared_B1_M288_N7392_K256_tM128_tN128_tK64_DType__half.elf；gfsim log=/Users/blacktraker/Programming/gitproj/DV4/SuperNPUBench/outputs/matmul_other4_refresh_20261010/sweep/03_fp16/logs/FP16_M288_N7392_K256_tM128_tN128_tK64.gfsim.log</x:v>
      </x:c>
      <x:c r="AA36" s="944"/>
      <x:c r="AB36" s="944" t="str">
        <x:v>matmul_shared; tM=128; tN=128; tK=64</x:v>
      </x:c>
      <x:c r="AC36" s="692" t="str">
        <x:v>否</x:v>
      </x:c>
      <x:c r="AD36" s="1263" t="str">
        <x:v>https://github.com/PTO-ISA/SuperNPUBench/blob/main/benchmark/one-level-arch/kernels/basic_op/matmul/matmul_shared.hpp#L24</x:v>
      </x:c>
    </x:row>
    <x:row r="37" ht="31.5" customHeight="1">
      <x:c r="A37" s="977" t="str">
        <x:v>matmul (ubm)</x:v>
      </x:c>
      <x:c r="B37" s="977" t="str">
        <x:v>FP16</x:v>
      </x:c>
      <x:c r="C37" s="984" t="n">
        <x:v>288</x:v>
      </x:c>
      <x:c r="D37" s="984" t="n">
        <x:v>7392</x:v>
      </x:c>
      <x:c r="E37" s="984" t="n">
        <x:v>256</x:v>
      </x:c>
      <x:c r="F37" s="977" t="str">
        <x:v>[288,256,7392]</x:v>
      </x:c>
      <x:c r="G37" s="977" t="str">
        <x:v>B-major</x:v>
      </x:c>
      <x:c r="H37" s="977" t="str">
        <x:v>matmul_shared</x:v>
      </x:c>
      <x:c r="I37" s="984" t="n">
        <x:v>128</x:v>
      </x:c>
      <x:c r="J37" s="984" t="n">
        <x:v>128</x:v>
      </x:c>
      <x:c r="K37" s="984" t="n">
        <x:v>128</x:v>
      </x:c>
      <x:c r="L37" s="1005" t="n">
        <x:v>32</x:v>
      </x:c>
      <x:c r="M37" s="1005" t="n">
        <x:v>32</x:v>
      </x:c>
      <x:c r="N37" s="1005" t="n">
        <x:v>64</x:v>
      </x:c>
      <x:c r="O37" s="984" t="n">
        <x:v>247917</x:v>
      </x:c>
      <x:c r="P37" s="1006" t="n">
        <x:v>154.948125</x:v>
      </x:c>
      <x:c r="Q37" s="984" t="n">
        <x:v>4096</x:v>
      </x:c>
      <x:c r="R37" s="984" t="n">
        <x:v>133056</x:v>
      </x:c>
      <x:c r="S37" s="1007" t="n">
        <x:v>0.5366957489805055</x:v>
      </x:c>
      <x:c r="T37" s="1005" t="n">
        <x:v>128</x:v>
      </x:c>
      <x:c r="U37" s="1005" t="n">
        <x:v>128</x:v>
      </x:c>
      <x:c r="V37" s="1007" t="n">
        <x:v>1</x:v>
      </x:c>
      <x:c r="W37" s="692" t="str">
        <x:v>PASS</x:v>
      </x:c>
      <x:c r="X37" s="944" t="str">
        <x:v>/Users/blacktraker/Programming/gitproj/DV4/SuperNPUBench/outputs/matmul_other4_refresh_20261010/sweep/03_fp16/build/FP16_M288_N7392_K256_tM128_tN128_tK128/kernel/matmul/elf/kernel_matmul_matmul_shared_B1_M288_N7392_K256_tM128_tN128_tK128_DType__half.elf</x:v>
      </x:c>
      <x:c r="Y37" s="944" t="str">
        <x:v>/Users/blacktraker/Programming/gitproj/DV4/SuperNPUBench/outputs/matmul_other4_refresh_20261010/sweep/03_fp16/logs/FP16_M288_N7392_K256_tM128_tN128_tK128.gfsim.log</x:v>
      </x:c>
      <x:c r="Z37" s="944" t="str">
        <x:v>PASS；matmul_shared；ELF=/Users/blacktraker/Programming/gitproj/DV4/SuperNPUBench/outputs/matmul_other4_refresh_20261010/sweep/03_fp16/build/FP16_M288_N7392_K256_tM128_tN128_tK128/kernel/matmul/elf/kernel_matmul_matmul_shared_B1_M288_N7392_K256_tM128_tN128_tK128_DType__half.elf；gfsim log=/Users/blacktraker/Programming/gitproj/DV4/SuperNPUBench/outputs/matmul_other4_refresh_20261010/sweep/03_fp16/logs/FP16_M288_N7392_K256_tM128_tN128_tK128.gfsim.log</x:v>
      </x:c>
      <x:c r="AA37" s="944"/>
      <x:c r="AB37" s="944" t="str">
        <x:v>matmul_shared; tM=128; tN=128; tK=128</x:v>
      </x:c>
      <x:c r="AC37" s="692" t="str">
        <x:v>否</x:v>
      </x:c>
      <x:c r="AD37" s="1263" t="str">
        <x:v>https://github.com/PTO-ISA/SuperNPUBench/blob/main/benchmark/one-level-arch/kernels/basic_op/matmul/matmul_shared.hpp#L24</x:v>
      </x:c>
    </x:row>
    <x:row r="38" ht="31.5" customHeight="1">
      <x:c r="A38" s="977" t="str">
        <x:v>matmul (ubm)</x:v>
      </x:c>
      <x:c r="B38" s="977" t="str">
        <x:v>FP16</x:v>
      </x:c>
      <x:c r="C38" s="984" t="n">
        <x:v>288</x:v>
      </x:c>
      <x:c r="D38" s="984" t="n">
        <x:v>7392</x:v>
      </x:c>
      <x:c r="E38" s="984" t="n">
        <x:v>256</x:v>
      </x:c>
      <x:c r="F38" s="977" t="str">
        <x:v>[288,256,7392]</x:v>
      </x:c>
      <x:c r="G38" s="977" t="str">
        <x:v>B-major</x:v>
      </x:c>
      <x:c r="H38" s="977" t="str">
        <x:v>matmul_shared</x:v>
      </x:c>
      <x:c r="I38" s="984" t="n">
        <x:v>128</x:v>
      </x:c>
      <x:c r="J38" s="984" t="n">
        <x:v>128</x:v>
      </x:c>
      <x:c r="K38" s="984" t="n">
        <x:v>256</x:v>
      </x:c>
      <x:c r="L38" s="1005" t="n">
        <x:v>64</x:v>
      </x:c>
      <x:c r="M38" s="1005" t="n">
        <x:v>64</x:v>
      </x:c>
      <x:c r="N38" s="1005" t="n">
        <x:v>128</x:v>
      </x:c>
      <x:c r="O38" s="984" t="n">
        <x:v>275304</x:v>
      </x:c>
      <x:c r="P38" s="1006" t="n">
        <x:v>172.065</x:v>
      </x:c>
      <x:c r="Q38" s="984" t="n">
        <x:v>4096</x:v>
      </x:c>
      <x:c r="R38" s="984" t="n">
        <x:v>133056</x:v>
      </x:c>
      <x:c r="S38" s="1007" t="n">
        <x:v>0.4833057274867056</x:v>
      </x:c>
      <x:c r="T38" s="1005" t="n">
        <x:v>128</x:v>
      </x:c>
      <x:c r="U38" s="1005" t="n">
        <x:v>64</x:v>
      </x:c>
      <x:c r="V38" s="1007" t="n">
        <x:v>1</x:v>
      </x:c>
      <x:c r="W38" s="692" t="str">
        <x:v>PASS</x:v>
      </x:c>
      <x:c r="X38" s="944" t="str">
        <x:v>/Users/blacktraker/Programming/gitproj/DV4/SuperNPUBench/outputs/matmul_other4_refresh_20261010/sweep/03_fp16/build/FP16_M288_N7392_K256_tM128_tN128_tK256/kernel/matmul/elf/kernel_matmul_matmul_shared_B1_M288_N7392_K256_tM128_tN128_tK256_DType__half.elf</x:v>
      </x:c>
      <x:c r="Y38" s="944" t="str">
        <x:v>/Users/blacktraker/Programming/gitproj/DV4/SuperNPUBench/outputs/matmul_other4_refresh_20261010/sweep/03_fp16/logs/FP16_M288_N7392_K256_tM128_tN128_tK256.gfsim.log</x:v>
      </x:c>
      <x:c r="Z38" s="944" t="str">
        <x:v>PASS；matmul_shared；ELF=/Users/blacktraker/Programming/gitproj/DV4/SuperNPUBench/outputs/matmul_other4_refresh_20261010/sweep/03_fp16/build/FP16_M288_N7392_K256_tM128_tN128_tK256/kernel/matmul/elf/kernel_matmul_matmul_shared_B1_M288_N7392_K256_tM128_tN128_tK256_DType__half.elf；gfsim log=/Users/blacktraker/Programming/gitproj/DV4/SuperNPUBench/outputs/matmul_other4_refresh_20261010/sweep/03_fp16/logs/FP16_M288_N7392_K256_tM128_tN128_tK256.gfsim.log</x:v>
      </x:c>
      <x:c r="AA38" s="944"/>
      <x:c r="AB38" s="944" t="str">
        <x:v>matmul_shared; tM=128; tN=128; tK=256</x:v>
      </x:c>
      <x:c r="AC38" s="692" t="str">
        <x:v>否</x:v>
      </x:c>
      <x:c r="AD38" s="1263" t="str">
        <x:v>https://github.com/PTO-ISA/SuperNPUBench/blob/main/benchmark/one-level-arch/kernels/basic_op/matmul/matmul_shared.hpp#L24</x:v>
      </x:c>
    </x:row>
    <x:row r="39" ht="31.5" customHeight="1">
      <x:c r="A39" s="977" t="str">
        <x:v>matmul (ubm)</x:v>
      </x:c>
      <x:c r="B39" s="977" t="str">
        <x:v>FP16</x:v>
      </x:c>
      <x:c r="C39" s="984" t="n">
        <x:v>288</x:v>
      </x:c>
      <x:c r="D39" s="984" t="n">
        <x:v>7392</x:v>
      </x:c>
      <x:c r="E39" s="984" t="n">
        <x:v>256</x:v>
      </x:c>
      <x:c r="F39" s="977" t="str">
        <x:v>[288,256,7392]</x:v>
      </x:c>
      <x:c r="G39" s="977" t="str">
        <x:v>B-major</x:v>
      </x:c>
      <x:c r="H39" s="977" t="str">
        <x:v>matmul_shared</x:v>
      </x:c>
      <x:c r="I39" s="1008" t="n">
        <x:v>128</x:v>
      </x:c>
      <x:c r="J39" s="1008" t="n">
        <x:v>256</x:v>
      </x:c>
      <x:c r="K39" s="1008" t="n">
        <x:v>64</x:v>
      </x:c>
      <x:c r="L39" s="1005" t="n">
        <x:v>16</x:v>
      </x:c>
      <x:c r="M39" s="1005" t="n">
        <x:v>32</x:v>
      </x:c>
      <x:c r="N39" s="1005" t="n">
        <x:v>48</x:v>
      </x:c>
      <x:c r="O39" s="998" t="n">
        <x:v>218744</x:v>
      </x:c>
      <x:c r="P39" s="999" t="n">
        <x:v>136.715</x:v>
      </x:c>
      <x:c r="Q39" s="998" t="n">
        <x:v>4096</x:v>
      </x:c>
      <x:c r="R39" s="998" t="n">
        <x:v>133056</x:v>
      </x:c>
      <x:c r="S39" s="1000" t="n">
        <x:v>0.6082726840507625</x:v>
      </x:c>
      <x:c r="T39" s="1005" t="n">
        <x:v>96</x:v>
      </x:c>
      <x:c r="U39" s="1005" t="n">
        <x:v>256</x:v>
      </x:c>
      <x:c r="V39" s="1007" t="n">
        <x:v>1</x:v>
      </x:c>
      <x:c r="W39" s="692" t="str">
        <x:v>PASS</x:v>
      </x:c>
      <x:c r="X39" s="944" t="str">
        <x:v>/Users/blacktraker/Programming/gitproj/DV4/SuperNPUBench/outputs/matmul_other4_refresh_20261010/sweep/03_fp16/build/FP16_M288_N7392_K256_tM128_tN256_tK64/kernel/matmul/elf/kernel_matmul_matmul_shared_B1_M288_N7392_K256_tM128_tN256_tK64_DType__half.elf</x:v>
      </x:c>
      <x:c r="Y39" s="944" t="str">
        <x:v>/Users/blacktraker/Programming/gitproj/DV4/SuperNPUBench/outputs/matmul_other4_refresh_20261010/sweep/03_fp16/logs/FP16_M288_N7392_K256_tM128_tN256_tK64.gfsim.log</x:v>
      </x:c>
      <x:c r="Z39" s="944" t="str">
        <x:v>PASS；matmul_shared；ELF=/Users/blacktraker/Programming/gitproj/DV4/SuperNPUBench/outputs/matmul_other4_refresh_20261010/sweep/03_fp16/build/FP16_M288_N7392_K256_tM128_tN256_tK64/kernel/matmul/elf/kernel_matmul_matmul_shared_B1_M288_N7392_K256_tM128_tN256_tK64_DType__half.elf；gfsim log=/Users/blacktraker/Programming/gitproj/DV4/SuperNPUBench/outputs/matmul_other4_refresh_20261010/sweep/03_fp16/logs/FP16_M288_N7392_K256_tM128_tN256_tK64.gfsim.log</x:v>
      </x:c>
      <x:c r="AA39" s="944"/>
      <x:c r="AB39" s="944" t="str">
        <x:v>matmul_shared; tM=128; tN=256; tK=64</x:v>
      </x:c>
      <x:c r="AC39" s="692" t="str">
        <x:v>否</x:v>
      </x:c>
      <x:c r="AD39" s="1263" t="str">
        <x:v>https://github.com/PTO-ISA/SuperNPUBench/blob/main/benchmark/one-level-arch/kernels/basic_op/matmul/matmul_shared.hpp#L24</x:v>
      </x:c>
    </x:row>
    <x:row r="40" ht="31.5" customHeight="1">
      <x:c r="A40" s="977" t="str">
        <x:v>matmul (ubm)</x:v>
      </x:c>
      <x:c r="B40" s="977" t="str">
        <x:v>FP16</x:v>
      </x:c>
      <x:c r="C40" s="984" t="n">
        <x:v>288</x:v>
      </x:c>
      <x:c r="D40" s="984" t="n">
        <x:v>7392</x:v>
      </x:c>
      <x:c r="E40" s="984" t="n">
        <x:v>256</x:v>
      </x:c>
      <x:c r="F40" s="977" t="str">
        <x:v>[288,256,7392]</x:v>
      </x:c>
      <x:c r="G40" s="977" t="str">
        <x:v>B-major</x:v>
      </x:c>
      <x:c r="H40" s="977" t="str">
        <x:v>matmul_shared</x:v>
      </x:c>
      <x:c r="I40" s="984" t="n">
        <x:v>128</x:v>
      </x:c>
      <x:c r="J40" s="984" t="n">
        <x:v>256</x:v>
      </x:c>
      <x:c r="K40" s="984" t="n">
        <x:v>128</x:v>
      </x:c>
      <x:c r="L40" s="1005" t="n">
        <x:v>32</x:v>
      </x:c>
      <x:c r="M40" s="1005" t="n">
        <x:v>64</x:v>
      </x:c>
      <x:c r="N40" s="1005" t="n">
        <x:v>96</x:v>
      </x:c>
      <x:c r="O40" s="984"/>
      <x:c r="P40" s="1006"/>
      <x:c r="Q40" s="984" t="n">
        <x:v>4096</x:v>
      </x:c>
      <x:c r="R40" s="984" t="n">
        <x:v>133056</x:v>
      </x:c>
      <x:c r="S40" s="1007"/>
      <x:c r="T40" s="1005"/>
      <x:c r="U40" s="1005"/>
      <x:c r="V40" s="1007"/>
      <x:c r="W40" s="969" t="str">
        <x:v>ASSERT_FAIL</x:v>
      </x:c>
      <x:c r="X40" s="944" t="str">
        <x:v>/Users/blacktraker/Programming/gitproj/DV4/SuperNPUBench/outputs/matmul_other4_refresh_20261010/sweep/03_fp16/build/FP16_M288_N7392_K256_tM128_tN256_tK128/kernel/matmul/elf/kernel_matmul_matmul_shared_B1_M288_N7392_K256_tM128_tN256_tK128_DType__half.elf</x:v>
      </x:c>
      <x:c r="Y40" s="944" t="str">
        <x:v>/Users/blacktraker/Programming/gitproj/DV4/SuperNPUBench/outputs/matmul_other4_refresh_20261010/sweep/03_fp16/logs/FP16_M288_N7392_K256_tM128_tN256_tK128.gfsim.log</x:v>
      </x:c>
      <x:c r="Z40" s="944" t="str">
        <x:v>ASSERT_FAIL；matmul_shared；ELF=/Users/blacktraker/Programming/gitproj/DV4/SuperNPUBench/outputs/matmul_other4_refresh_20261010/sweep/03_fp16/build/FP16_M288_N7392_K256_tM128_tN256_tK128/kernel/matmul/elf/kernel_matmul_matmul_shared_B1_M288_N7392_K256_tM128_tN256_tK128_DType__half.elf；gfsim log=/Users/blacktraker/Programming/gitproj/DV4/SuperNPUBench/outputs/matmul_other4_refresh_20261010/sweep/03_fp16/logs/FP16_M288_N7392_K256_tM128_tN256_tK128.gfsim.log</x:v>
      </x:c>
      <x:c r="AA40" s="944"/>
      <x:c r="AB40" s="944" t="str">
        <x:v>matmul_shared; tM=128; tN=256; tK=128</x:v>
      </x:c>
      <x:c r="AC40" s="692" t="str">
        <x:v>否</x:v>
      </x:c>
      <x:c r="AD40" s="1263" t="str">
        <x:v>https://github.com/PTO-ISA/SuperNPUBench/blob/main/benchmark/one-level-arch/kernels/basic_op/matmul/matmul_shared.hpp#L24</x:v>
      </x:c>
    </x:row>
    <x:row r="41" ht="31.5" customHeight="1">
      <x:c r="A41" s="977" t="str">
        <x:v>matmul (ubm)</x:v>
      </x:c>
      <x:c r="B41" s="977" t="str">
        <x:v>FP16</x:v>
      </x:c>
      <x:c r="C41" s="984" t="n">
        <x:v>288</x:v>
      </x:c>
      <x:c r="D41" s="984" t="n">
        <x:v>7392</x:v>
      </x:c>
      <x:c r="E41" s="984" t="n">
        <x:v>256</x:v>
      </x:c>
      <x:c r="F41" s="977" t="str">
        <x:v>[288,256,7392]</x:v>
      </x:c>
      <x:c r="G41" s="977" t="str">
        <x:v>B-major</x:v>
      </x:c>
      <x:c r="H41" s="977" t="str">
        <x:v>matmul_shared</x:v>
      </x:c>
      <x:c r="I41" s="984" t="n">
        <x:v>128</x:v>
      </x:c>
      <x:c r="J41" s="984" t="n">
        <x:v>256</x:v>
      </x:c>
      <x:c r="K41" s="984" t="n">
        <x:v>256</x:v>
      </x:c>
      <x:c r="L41" s="1005" t="n">
        <x:v>64</x:v>
      </x:c>
      <x:c r="M41" s="1005" t="n">
        <x:v>128</x:v>
      </x:c>
      <x:c r="N41" s="1005" t="n">
        <x:v>192</x:v>
      </x:c>
      <x:c r="O41" s="984"/>
      <x:c r="P41" s="1006"/>
      <x:c r="Q41" s="984" t="n">
        <x:v>4096</x:v>
      </x:c>
      <x:c r="R41" s="984" t="n">
        <x:v>133056</x:v>
      </x:c>
      <x:c r="S41" s="1007"/>
      <x:c r="T41" s="1005"/>
      <x:c r="U41" s="1005"/>
      <x:c r="V41" s="1007"/>
      <x:c r="W41" s="969" t="str">
        <x:v>ASSERT_FAIL</x:v>
      </x:c>
      <x:c r="X41" s="944" t="str">
        <x:v>/Users/blacktraker/Programming/gitproj/DV4/SuperNPUBench/outputs/matmul_other4_refresh_20261010/sweep/03_fp16/build/FP16_M288_N7392_K256_tM128_tN256_tK256/kernel/matmul/elf/kernel_matmul_matmul_shared_B1_M288_N7392_K256_tM128_tN256_tK256_DType__half.elf</x:v>
      </x:c>
      <x:c r="Y41" s="944" t="str">
        <x:v>/Users/blacktraker/Programming/gitproj/DV4/SuperNPUBench/outputs/matmul_other4_refresh_20261010/sweep/03_fp16/logs/FP16_M288_N7392_K256_tM128_tN256_tK256.gfsim.log</x:v>
      </x:c>
      <x:c r="Z41" s="944" t="str">
        <x:v>ASSERT_FAIL；matmul_shared；ELF=/Users/blacktraker/Programming/gitproj/DV4/SuperNPUBench/outputs/matmul_other4_refresh_20261010/sweep/03_fp16/build/FP16_M288_N7392_K256_tM128_tN256_tK256/kernel/matmul/elf/kernel_matmul_matmul_shared_B1_M288_N7392_K256_tM128_tN256_tK256_DType__half.elf；gfsim log=/Users/blacktraker/Programming/gitproj/DV4/SuperNPUBench/outputs/matmul_other4_refresh_20261010/sweep/03_fp16/logs/FP16_M288_N7392_K256_tM128_tN256_tK256.gfsim.log</x:v>
      </x:c>
      <x:c r="AA41" s="944"/>
      <x:c r="AB41" s="944" t="str">
        <x:v>matmul_shared; tM=128; tN=256; tK=256</x:v>
      </x:c>
      <x:c r="AC41" s="692" t="str">
        <x:v>否</x:v>
      </x:c>
      <x:c r="AD41" s="1263" t="str">
        <x:v>https://github.com/PTO-ISA/SuperNPUBench/blob/main/benchmark/one-level-arch/kernels/basic_op/matmul/matmul_shared.hpp#L24</x:v>
      </x:c>
    </x:row>
    <x:row r="42" ht="31.5" customHeight="1">
      <x:c r="A42" s="977" t="str">
        <x:v>matmul (ubm)</x:v>
      </x:c>
      <x:c r="B42" s="977" t="str">
        <x:v>FP16</x:v>
      </x:c>
      <x:c r="C42" s="984" t="n">
        <x:v>288</x:v>
      </x:c>
      <x:c r="D42" s="984" t="n">
        <x:v>7392</x:v>
      </x:c>
      <x:c r="E42" s="984" t="n">
        <x:v>256</x:v>
      </x:c>
      <x:c r="F42" s="977" t="str">
        <x:v>[288,256,7392]</x:v>
      </x:c>
      <x:c r="G42" s="977" t="str">
        <x:v>B-major</x:v>
      </x:c>
      <x:c r="H42" s="977" t="str">
        <x:v>matmul_reuseA</x:v>
      </x:c>
      <x:c r="I42" s="984" t="n">
        <x:v>128</x:v>
      </x:c>
      <x:c r="J42" s="984" t="n">
        <x:v>64</x:v>
      </x:c>
      <x:c r="K42" s="984" t="n">
        <x:v>64</x:v>
      </x:c>
      <x:c r="L42" s="1005" t="n">
        <x:v>4</x:v>
      </x:c>
      <x:c r="M42" s="1005" t="n">
        <x:v>8</x:v>
      </x:c>
      <x:c r="N42" s="1005" t="n">
        <x:v>8</x:v>
      </x:c>
      <x:c r="O42" s="984" t="n">
        <x:v>247722</x:v>
      </x:c>
      <x:c r="P42" s="1006" t="n">
        <x:v>154.82625</x:v>
      </x:c>
      <x:c r="Q42" s="984" t="n">
        <x:v>4096</x:v>
      </x:c>
      <x:c r="R42" s="984" t="n">
        <x:v>133056</x:v>
      </x:c>
      <x:c r="S42" s="1007" t="n">
        <x:v>0.5371182212318647</x:v>
      </x:c>
      <x:c r="T42" s="1005" t="n">
        <x:v>64</x:v>
      </x:c>
      <x:c r="U42" s="1005" t="n">
        <x:v>256</x:v>
      </x:c>
      <x:c r="V42" s="1007" t="n">
        <x:v>1</x:v>
      </x:c>
      <x:c r="W42" s="692" t="str">
        <x:v>PASS</x:v>
      </x:c>
      <x:c r="X42" s="944" t="str">
        <x:v>/Users/blacktraker/Programming/gitproj/DV4/SuperNPUBench/outputs/matmul_reuseA_other_shapes_20261010/sweep_fp16_m288_n7392_k256/build/FP16_M288_N7392_K256_tM128_tN64_tK64/kernel/matmul/elf/kernel_matmul_matmul_reuseA_B1_M288_N7392_K256_tM128_tN64_tK64_DType__half.elf</x:v>
      </x:c>
      <x:c r="Y42" s="944" t="str">
        <x:v>/Users/blacktraker/Programming/gitproj/DV4/SuperNPUBench/outputs/matmul_reuseA_other_shapes_20261010/sweep_fp16_m288_n7392_k256/logs/FP16_M288_N7392_K256_tM128_tN64_tK64.gfsim.log</x:v>
      </x:c>
      <x:c r="Z42" s="944" t="str">
        <x:v>PASS；matmul_reuseA；valid_row/valid_col 尾块处理；ELF=/Users/blacktraker/Programming/gitproj/DV4/SuperNPUBench/outputs/matmul_reuseA_other_shapes_20261010/sweep_fp16_m288_n7392_k256/build/FP16_M288_N7392_K256_tM128_tN64_tK64/kernel/matmul/elf/kernel_matmul_matmul_reuseA_B1_M288_N7392_K256_tM128_tN64_tK64_DType__half.elf；gfsim log=/Users/blacktraker/Programming/gitproj/DV4/SuperNPUBench/outputs/matmul_reuseA_other_shapes_20261010/sweep_fp16_m288_n7392_k256/logs/FP16_M288_N7392_K256_tM128_tN64_tK64.gfsim.log；source=/Users/blacktraker/Programming/gitproj/DV4/SuperNPUBench/benchmark/one-level-arch/kernels/basic_op/matmul/matmul_reuseA.hpp</x:v>
      </x:c>
      <x:c r="AA42" s="944"/>
      <x:c r="AB42" s="944" t="str">
        <x:v>matmul_reuseA; tM=128; tN=64; tK=64; tail=valid_row/valid_col</x:v>
      </x:c>
      <x:c r="AC42" s="692" t="str">
        <x:v>否</x:v>
      </x:c>
      <x:c r="AD42" s="1263" t="str">
        <x:v>https://github.com/PTO-ISA/SuperNPUBench/blob/main/benchmark/one-level-arch/kernels/basic_op/matmul/matmul_reuseA.hpp#L281</x:v>
      </x:c>
    </x:row>
    <x:row r="43" ht="31.5" customHeight="1">
      <x:c r="A43" s="977" t="str">
        <x:v>matmul (ubm)</x:v>
      </x:c>
      <x:c r="B43" s="977" t="str">
        <x:v>FP16</x:v>
      </x:c>
      <x:c r="C43" s="984" t="n">
        <x:v>288</x:v>
      </x:c>
      <x:c r="D43" s="984" t="n">
        <x:v>7392</x:v>
      </x:c>
      <x:c r="E43" s="984" t="n">
        <x:v>256</x:v>
      </x:c>
      <x:c r="F43" s="977" t="str">
        <x:v>[288,256,7392]</x:v>
      </x:c>
      <x:c r="G43" s="977" t="str">
        <x:v>B-major</x:v>
      </x:c>
      <x:c r="H43" s="977" t="str">
        <x:v>matmul_reuseA</x:v>
      </x:c>
      <x:c r="I43" s="984" t="n">
        <x:v>128</x:v>
      </x:c>
      <x:c r="J43" s="984" t="n">
        <x:v>64</x:v>
      </x:c>
      <x:c r="K43" s="984" t="n">
        <x:v>128</x:v>
      </x:c>
      <x:c r="L43" s="1005" t="n">
        <x:v>8</x:v>
      </x:c>
      <x:c r="M43" s="1005" t="n">
        <x:v>16</x:v>
      </x:c>
      <x:c r="N43" s="1005" t="n">
        <x:v>16</x:v>
      </x:c>
      <x:c r="O43" s="984" t="n">
        <x:v>208084</x:v>
      </x:c>
      <x:c r="P43" s="1006" t="n">
        <x:v>130.0525</x:v>
      </x:c>
      <x:c r="Q43" s="984" t="n">
        <x:v>4096</x:v>
      </x:c>
      <x:c r="R43" s="984" t="n">
        <x:v>133056</x:v>
      </x:c>
      <x:c r="S43" s="1007" t="n">
        <x:v>0.6394340747006017</x:v>
      </x:c>
      <x:c r="T43" s="1005" t="n">
        <x:v>64</x:v>
      </x:c>
      <x:c r="U43" s="1005" t="n">
        <x:v>128</x:v>
      </x:c>
      <x:c r="V43" s="1007" t="n">
        <x:v>1</x:v>
      </x:c>
      <x:c r="W43" s="692" t="str">
        <x:v>PASS</x:v>
      </x:c>
      <x:c r="X43" s="944" t="str">
        <x:v>/Users/blacktraker/Programming/gitproj/DV4/SuperNPUBench/outputs/matmul_reuseA_other_shapes_20261010/sweep_fp16_m288_n7392_k256/build/FP16_M288_N7392_K256_tM128_tN64_tK128/kernel/matmul/elf/kernel_matmul_matmul_reuseA_B1_M288_N7392_K256_tM128_tN64_tK128_DType__half.elf</x:v>
      </x:c>
      <x:c r="Y43" s="944" t="str">
        <x:v>/Users/blacktraker/Programming/gitproj/DV4/SuperNPUBench/outputs/matmul_reuseA_other_shapes_20261010/sweep_fp16_m288_n7392_k256/logs/FP16_M288_N7392_K256_tM128_tN64_tK128.gfsim.log</x:v>
      </x:c>
      <x:c r="Z43" s="944" t="str">
        <x:v>PASS；matmul_reuseA；valid_row/valid_col 尾块处理；ELF=/Users/blacktraker/Programming/gitproj/DV4/SuperNPUBench/outputs/matmul_reuseA_other_shapes_20261010/sweep_fp16_m288_n7392_k256/build/FP16_M288_N7392_K256_tM128_tN64_tK128/kernel/matmul/elf/kernel_matmul_matmul_reuseA_B1_M288_N7392_K256_tM128_tN64_tK128_DType__half.elf；gfsim log=/Users/blacktraker/Programming/gitproj/DV4/SuperNPUBench/outputs/matmul_reuseA_other_shapes_20261010/sweep_fp16_m288_n7392_k256/logs/FP16_M288_N7392_K256_tM128_tN64_tK128.gfsim.log；source=/Users/blacktraker/Programming/gitproj/DV4/SuperNPUBench/benchmark/one-level-arch/kernels/basic_op/matmul/matmul_reuseA.hpp</x:v>
      </x:c>
      <x:c r="AA43" s="944"/>
      <x:c r="AB43" s="944" t="str">
        <x:v>matmul_reuseA; tM=128; tN=64; tK=128; tail=valid_row/valid_col</x:v>
      </x:c>
      <x:c r="AC43" s="692" t="str">
        <x:v>否</x:v>
      </x:c>
      <x:c r="AD43" s="1263" t="str">
        <x:v>https://github.com/PTO-ISA/SuperNPUBench/blob/main/benchmark/one-level-arch/kernels/basic_op/matmul/matmul_reuseA.hpp#L281</x:v>
      </x:c>
    </x:row>
    <x:row r="44" ht="31.5" customHeight="1">
      <x:c r="A44" s="977" t="str">
        <x:v>matmul (ubm)</x:v>
      </x:c>
      <x:c r="B44" s="977" t="str">
        <x:v>FP16</x:v>
      </x:c>
      <x:c r="C44" s="984" t="n">
        <x:v>288</x:v>
      </x:c>
      <x:c r="D44" s="984" t="n">
        <x:v>7392</x:v>
      </x:c>
      <x:c r="E44" s="984" t="n">
        <x:v>256</x:v>
      </x:c>
      <x:c r="F44" s="977" t="str">
        <x:v>[288,256,7392]</x:v>
      </x:c>
      <x:c r="G44" s="977" t="str">
        <x:v>B-major</x:v>
      </x:c>
      <x:c r="H44" s="977" t="str">
        <x:v>matmul_reuseA</x:v>
      </x:c>
      <x:c r="I44" s="984" t="n">
        <x:v>128</x:v>
      </x:c>
      <x:c r="J44" s="984" t="n">
        <x:v>64</x:v>
      </x:c>
      <x:c r="K44" s="984" t="n">
        <x:v>256</x:v>
      </x:c>
      <x:c r="L44" s="1005" t="n">
        <x:v>16</x:v>
      </x:c>
      <x:c r="M44" s="1005" t="n">
        <x:v>32</x:v>
      </x:c>
      <x:c r="N44" s="1005" t="n">
        <x:v>32</x:v>
      </x:c>
      <x:c r="O44" s="984" t="n">
        <x:v>205540</x:v>
      </x:c>
      <x:c r="P44" s="1006" t="n">
        <x:v>128.4625</x:v>
      </x:c>
      <x:c r="Q44" s="984" t="n">
        <x:v>4096</x:v>
      </x:c>
      <x:c r="R44" s="984" t="n">
        <x:v>133056</x:v>
      </x:c>
      <x:c r="S44" s="1007" t="n">
        <x:v>0.6473484479906587</x:v>
      </x:c>
      <x:c r="T44" s="1005" t="n">
        <x:v>64</x:v>
      </x:c>
      <x:c r="U44" s="1005" t="n">
        <x:v>64</x:v>
      </x:c>
      <x:c r="V44" s="1007" t="n">
        <x:v>1</x:v>
      </x:c>
      <x:c r="W44" s="692" t="str">
        <x:v>PASS</x:v>
      </x:c>
      <x:c r="X44" s="944" t="str">
        <x:v>/Users/blacktraker/Programming/gitproj/DV4/SuperNPUBench/outputs/matmul_reuseA_other_shapes_20261010/sweep_fp16_m288_n7392_k256/build/FP16_M288_N7392_K256_tM128_tN64_tK256/kernel/matmul/elf/kernel_matmul_matmul_reuseA_B1_M288_N7392_K256_tM128_tN64_tK256_DType__half.elf</x:v>
      </x:c>
      <x:c r="Y44" s="944" t="str">
        <x:v>/Users/blacktraker/Programming/gitproj/DV4/SuperNPUBench/outputs/matmul_reuseA_other_shapes_20261010/sweep_fp16_m288_n7392_k256/logs/FP16_M288_N7392_K256_tM128_tN64_tK256.gfsim.log</x:v>
      </x:c>
      <x:c r="Z44" s="944" t="str">
        <x:v>PASS；matmul_reuseA；valid_row/valid_col 尾块处理；ELF=/Users/blacktraker/Programming/gitproj/DV4/SuperNPUBench/outputs/matmul_reuseA_other_shapes_20261010/sweep_fp16_m288_n7392_k256/build/FP16_M288_N7392_K256_tM128_tN64_tK256/kernel/matmul/elf/kernel_matmul_matmul_reuseA_B1_M288_N7392_K256_tM128_tN64_tK256_DType__half.elf；gfsim log=/Users/blacktraker/Programming/gitproj/DV4/SuperNPUBench/outputs/matmul_reuseA_other_shapes_20261010/sweep_fp16_m288_n7392_k256/logs/FP16_M288_N7392_K256_tM128_tN64_tK256.gfsim.log；source=/Users/blacktraker/Programming/gitproj/DV4/SuperNPUBench/benchmark/one-level-arch/kernels/basic_op/matmul/matmul_reuseA.hpp</x:v>
      </x:c>
      <x:c r="AA44" s="944"/>
      <x:c r="AB44" s="944" t="str">
        <x:v>matmul_reuseA; tM=128; tN=64; tK=256; tail=valid_row/valid_col</x:v>
      </x:c>
      <x:c r="AC44" s="692" t="str">
        <x:v>否</x:v>
      </x:c>
      <x:c r="AD44" s="1263" t="str">
        <x:v>https://github.com/PTO-ISA/SuperNPUBench/blob/main/benchmark/one-level-arch/kernels/basic_op/matmul/matmul_reuseA.hpp#L281</x:v>
      </x:c>
    </x:row>
    <x:row r="45" ht="31.5" customHeight="1">
      <x:c r="A45" s="977" t="str">
        <x:v>matmul (ubm)</x:v>
      </x:c>
      <x:c r="B45" s="977" t="str">
        <x:v>FP16</x:v>
      </x:c>
      <x:c r="C45" s="984" t="n">
        <x:v>288</x:v>
      </x:c>
      <x:c r="D45" s="984" t="n">
        <x:v>7392</x:v>
      </x:c>
      <x:c r="E45" s="984" t="n">
        <x:v>256</x:v>
      </x:c>
      <x:c r="F45" s="977" t="str">
        <x:v>[288,256,7392]</x:v>
      </x:c>
      <x:c r="G45" s="977" t="str">
        <x:v>B-major</x:v>
      </x:c>
      <x:c r="H45" s="977" t="str">
        <x:v>matmul_reuseA</x:v>
      </x:c>
      <x:c r="I45" s="984" t="n">
        <x:v>128</x:v>
      </x:c>
      <x:c r="J45" s="984" t="n">
        <x:v>128</x:v>
      </x:c>
      <x:c r="K45" s="984" t="n">
        <x:v>64</x:v>
      </x:c>
      <x:c r="L45" s="1005" t="n">
        <x:v>4</x:v>
      </x:c>
      <x:c r="M45" s="1005" t="n">
        <x:v>16</x:v>
      </x:c>
      <x:c r="N45" s="1005" t="n">
        <x:v>16</x:v>
      </x:c>
      <x:c r="O45" s="984" t="n">
        <x:v>207364</x:v>
      </x:c>
      <x:c r="P45" s="1006" t="n">
        <x:v>129.6025</x:v>
      </x:c>
      <x:c r="Q45" s="984" t="n">
        <x:v>4096</x:v>
      </x:c>
      <x:c r="R45" s="984" t="n">
        <x:v>133056</x:v>
      </x:c>
      <x:c r="S45" s="1007" t="n">
        <x:v>0.6416542890762138</x:v>
      </x:c>
      <x:c r="T45" s="1005" t="n">
        <x:v>64</x:v>
      </x:c>
      <x:c r="U45" s="1005" t="n">
        <x:v>256</x:v>
      </x:c>
      <x:c r="V45" s="1007" t="n">
        <x:v>1</x:v>
      </x:c>
      <x:c r="W45" s="692" t="str">
        <x:v>PASS</x:v>
      </x:c>
      <x:c r="X45" s="944" t="str">
        <x:v>/Users/blacktraker/Programming/gitproj/DV4/SuperNPUBench/outputs/matmul_reuseA_other_shapes_20261010/sweep_fp16_m288_n7392_k256/build/FP16_M288_N7392_K256_tM128_tN128_tK64/kernel/matmul/elf/kernel_matmul_matmul_reuseA_B1_M288_N7392_K256_tM128_tN128_tK64_DType__half.elf</x:v>
      </x:c>
      <x:c r="Y45" s="944" t="str">
        <x:v>/Users/blacktraker/Programming/gitproj/DV4/SuperNPUBench/outputs/matmul_reuseA_other_shapes_20261010/sweep_fp16_m288_n7392_k256/logs/FP16_M288_N7392_K256_tM128_tN128_tK64.gfsim.log</x:v>
      </x:c>
      <x:c r="Z45" s="944" t="str">
        <x:v>PASS；matmul_reuseA；valid_row/valid_col 尾块处理；ELF=/Users/blacktraker/Programming/gitproj/DV4/SuperNPUBench/outputs/matmul_reuseA_other_shapes_20261010/sweep_fp16_m288_n7392_k256/build/FP16_M288_N7392_K256_tM128_tN128_tK64/kernel/matmul/elf/kernel_matmul_matmul_reuseA_B1_M288_N7392_K256_tM128_tN128_tK64_DType__half.elf；gfsim log=/Users/blacktraker/Programming/gitproj/DV4/SuperNPUBench/outputs/matmul_reuseA_other_shapes_20261010/sweep_fp16_m288_n7392_k256/logs/FP16_M288_N7392_K256_tM128_tN128_tK64.gfsim.log；source=/Users/blacktraker/Programming/gitproj/DV4/SuperNPUBench/benchmark/one-level-arch/kernels/basic_op/matmul/matmul_reuseA.hpp</x:v>
      </x:c>
      <x:c r="AA45" s="944"/>
      <x:c r="AB45" s="944" t="str">
        <x:v>matmul_reuseA; tM=128; tN=128; tK=64; tail=valid_row/valid_col</x:v>
      </x:c>
      <x:c r="AC45" s="692" t="str">
        <x:v>否</x:v>
      </x:c>
      <x:c r="AD45" s="1263" t="str">
        <x:v>https://github.com/PTO-ISA/SuperNPUBench/blob/main/benchmark/one-level-arch/kernels/basic_op/matmul/matmul_reuseA.hpp#L281</x:v>
      </x:c>
    </x:row>
    <x:row r="46" ht="31.5" customHeight="1">
      <x:c r="A46" s="977" t="str">
        <x:v>matmul (ubm)</x:v>
      </x:c>
      <x:c r="B46" s="977" t="str">
        <x:v>FP16</x:v>
      </x:c>
      <x:c r="C46" s="984" t="n">
        <x:v>288</x:v>
      </x:c>
      <x:c r="D46" s="984" t="n">
        <x:v>7392</x:v>
      </x:c>
      <x:c r="E46" s="984" t="n">
        <x:v>256</x:v>
      </x:c>
      <x:c r="F46" s="977" t="str">
        <x:v>[288,256,7392]</x:v>
      </x:c>
      <x:c r="G46" s="977" t="str">
        <x:v>B-major</x:v>
      </x:c>
      <x:c r="H46" s="977" t="str">
        <x:v>matmul_reuseA</x:v>
      </x:c>
      <x:c r="I46" s="1008" t="n">
        <x:v>128</x:v>
      </x:c>
      <x:c r="J46" s="1008" t="n">
        <x:v>128</x:v>
      </x:c>
      <x:c r="K46" s="1008" t="n">
        <x:v>128</x:v>
      </x:c>
      <x:c r="L46" s="1005" t="n">
        <x:v>8</x:v>
      </x:c>
      <x:c r="M46" s="1005" t="n">
        <x:v>32</x:v>
      </x:c>
      <x:c r="N46" s="1005" t="n">
        <x:v>32</x:v>
      </x:c>
      <x:c r="O46" s="998" t="n">
        <x:v>175260</x:v>
      </x:c>
      <x:c r="P46" s="999" t="n">
        <x:v>109.5375</x:v>
      </x:c>
      <x:c r="Q46" s="998" t="n">
        <x:v>4096</x:v>
      </x:c>
      <x:c r="R46" s="998" t="n">
        <x:v>133056</x:v>
      </x:c>
      <x:c r="S46" s="1000" t="n">
        <x:v>0.7591920575145498</x:v>
      </x:c>
      <x:c r="T46" s="1005" t="n">
        <x:v>64</x:v>
      </x:c>
      <x:c r="U46" s="1005" t="n">
        <x:v>128</x:v>
      </x:c>
      <x:c r="V46" s="1007" t="n">
        <x:v>1</x:v>
      </x:c>
      <x:c r="W46" s="692" t="str">
        <x:v>PASS</x:v>
      </x:c>
      <x:c r="X46" s="944" t="str">
        <x:v>/Users/blacktraker/Programming/gitproj/DV4/SuperNPUBench/outputs/matmul_reuseA_other_shapes_20261010/sweep_fp16_m288_n7392_k256/build/FP16_M288_N7392_K256_tM128_tN128_tK128/kernel/matmul/elf/kernel_matmul_matmul_reuseA_B1_M288_N7392_K256_tM128_tN128_tK128_DType__half.elf</x:v>
      </x:c>
      <x:c r="Y46" s="944" t="str">
        <x:v>/Users/blacktraker/Programming/gitproj/DV4/SuperNPUBench/outputs/matmul_reuseA_other_shapes_20261010/sweep_fp16_m288_n7392_k256/logs/FP16_M288_N7392_K256_tM128_tN128_tK128.gfsim.log</x:v>
      </x:c>
      <x:c r="Z46" s="944" t="str">
        <x:v>PASS；matmul_reuseA；valid_row/valid_col 尾块处理；ELF=/Users/blacktraker/Programming/gitproj/DV4/SuperNPUBench/outputs/matmul_reuseA_other_shapes_20261010/sweep_fp16_m288_n7392_k256/build/FP16_M288_N7392_K256_tM128_tN128_tK128/kernel/matmul/elf/kernel_matmul_matmul_reuseA_B1_M288_N7392_K256_tM128_tN128_tK128_DType__half.elf；gfsim log=/Users/blacktraker/Programming/gitproj/DV4/SuperNPUBench/outputs/matmul_reuseA_other_shapes_20261010/sweep_fp16_m288_n7392_k256/logs/FP16_M288_N7392_K256_tM128_tN128_tK128.gfsim.log；source=/Users/blacktraker/Programming/gitproj/DV4/SuperNPUBench/benchmark/one-level-arch/kernels/basic_op/matmul/matmul_reuseA.hpp</x:v>
      </x:c>
      <x:c r="AA46" s="944"/>
      <x:c r="AB46" s="944" t="str">
        <x:v>matmul_reuseA; tM=128; tN=128; tK=128; tail=valid_row/valid_col</x:v>
      </x:c>
      <x:c r="AC46" s="692" t="str">
        <x:v>否</x:v>
      </x:c>
      <x:c r="AD46" s="1263" t="str">
        <x:v>https://github.com/PTO-ISA/SuperNPUBench/blob/main/benchmark/one-level-arch/kernels/basic_op/matmul/matmul_reuseA.hpp#L281</x:v>
      </x:c>
    </x:row>
    <x:row r="47" ht="31.5" customHeight="1">
      <x:c r="A47" s="977" t="str">
        <x:v>matmul (ubm)</x:v>
      </x:c>
      <x:c r="B47" s="977" t="str">
        <x:v>FP16</x:v>
      </x:c>
      <x:c r="C47" s="984" t="n">
        <x:v>288</x:v>
      </x:c>
      <x:c r="D47" s="984" t="n">
        <x:v>7392</x:v>
      </x:c>
      <x:c r="E47" s="984" t="n">
        <x:v>256</x:v>
      </x:c>
      <x:c r="F47" s="977" t="str">
        <x:v>[288,256,7392]</x:v>
      </x:c>
      <x:c r="G47" s="977" t="str">
        <x:v>B-major</x:v>
      </x:c>
      <x:c r="H47" s="977" t="str">
        <x:v>matmul_reuseA</x:v>
      </x:c>
      <x:c r="I47" s="984" t="n">
        <x:v>128</x:v>
      </x:c>
      <x:c r="J47" s="984" t="n">
        <x:v>128</x:v>
      </x:c>
      <x:c r="K47" s="984" t="n">
        <x:v>256</x:v>
      </x:c>
      <x:c r="L47" s="1005" t="n">
        <x:v>16</x:v>
      </x:c>
      <x:c r="M47" s="1005" t="n">
        <x:v>64</x:v>
      </x:c>
      <x:c r="N47" s="1005" t="n">
        <x:v>64</x:v>
      </x:c>
      <x:c r="O47" s="984" t="n">
        <x:v>179455</x:v>
      </x:c>
      <x:c r="P47" s="1006" t="n">
        <x:v>112.159375</x:v>
      </x:c>
      <x:c r="Q47" s="984" t="n">
        <x:v>4096</x:v>
      </x:c>
      <x:c r="R47" s="984" t="n">
        <x:v>133056</x:v>
      </x:c>
      <x:c r="S47" s="1007" t="n">
        <x:v>0.7414449304839653</x:v>
      </x:c>
      <x:c r="T47" s="1005" t="n">
        <x:v>64</x:v>
      </x:c>
      <x:c r="U47" s="1005" t="n">
        <x:v>64</x:v>
      </x:c>
      <x:c r="V47" s="1007" t="n">
        <x:v>1</x:v>
      </x:c>
      <x:c r="W47" s="692" t="str">
        <x:v>PASS</x:v>
      </x:c>
      <x:c r="X47" s="944" t="str">
        <x:v>/Users/blacktraker/Programming/gitproj/DV4/SuperNPUBench/outputs/matmul_reuseA_other_shapes_20261010/sweep_fp16_m288_n7392_k256/build/FP16_M288_N7392_K256_tM128_tN128_tK256/kernel/matmul/elf/kernel_matmul_matmul_reuseA_B1_M288_N7392_K256_tM128_tN128_tK256_DType__half.elf</x:v>
      </x:c>
      <x:c r="Y47" s="944" t="str">
        <x:v>/Users/blacktraker/Programming/gitproj/DV4/SuperNPUBench/outputs/matmul_reuseA_other_shapes_20261010/sweep_fp16_m288_n7392_k256/logs/FP16_M288_N7392_K256_tM128_tN128_tK256.gfsim.log</x:v>
      </x:c>
      <x:c r="Z47" s="944" t="str">
        <x:v>PASS；matmul_reuseA；valid_row/valid_col 尾块处理；ELF=/Users/blacktraker/Programming/gitproj/DV4/SuperNPUBench/outputs/matmul_reuseA_other_shapes_20261010/sweep_fp16_m288_n7392_k256/build/FP16_M288_N7392_K256_tM128_tN128_tK256/kernel/matmul/elf/kernel_matmul_matmul_reuseA_B1_M288_N7392_K256_tM128_tN128_tK256_DType__half.elf；gfsim log=/Users/blacktraker/Programming/gitproj/DV4/SuperNPUBench/outputs/matmul_reuseA_other_shapes_20261010/sweep_fp16_m288_n7392_k256/logs/FP16_M288_N7392_K256_tM128_tN128_tK256.gfsim.log；source=/Users/blacktraker/Programming/gitproj/DV4/SuperNPUBench/benchmark/one-level-arch/kernels/basic_op/matmul/matmul_reuseA.hpp</x:v>
      </x:c>
      <x:c r="AA47" s="944"/>
      <x:c r="AB47" s="944" t="str">
        <x:v>matmul_reuseA; tM=128; tN=128; tK=256; tail=valid_row/valid_col</x:v>
      </x:c>
      <x:c r="AC47" s="692" t="str">
        <x:v>否</x:v>
      </x:c>
      <x:c r="AD47" s="1263" t="str">
        <x:v>https://github.com/PTO-ISA/SuperNPUBench/blob/main/benchmark/one-level-arch/kernels/basic_op/matmul/matmul_reuseA.hpp#L281</x:v>
      </x:c>
    </x:row>
    <x:row r="48" ht="31.5" customHeight="1">
      <x:c r="A48" s="977" t="str">
        <x:v>matmul (ubm)</x:v>
      </x:c>
      <x:c r="B48" s="977" t="str">
        <x:v>FP16</x:v>
      </x:c>
      <x:c r="C48" s="984" t="n">
        <x:v>288</x:v>
      </x:c>
      <x:c r="D48" s="984" t="n">
        <x:v>7392</x:v>
      </x:c>
      <x:c r="E48" s="984" t="n">
        <x:v>256</x:v>
      </x:c>
      <x:c r="F48" s="977" t="str">
        <x:v>[288,256,7392]</x:v>
      </x:c>
      <x:c r="G48" s="977" t="str">
        <x:v>B-major</x:v>
      </x:c>
      <x:c r="H48" s="977" t="str">
        <x:v>matmul_reuseA</x:v>
      </x:c>
      <x:c r="I48" s="984" t="n">
        <x:v>128</x:v>
      </x:c>
      <x:c r="J48" s="984" t="n">
        <x:v>256</x:v>
      </x:c>
      <x:c r="K48" s="984" t="n">
        <x:v>64</x:v>
      </x:c>
      <x:c r="L48" s="1005" t="n">
        <x:v>4</x:v>
      </x:c>
      <x:c r="M48" s="1005" t="n">
        <x:v>32</x:v>
      </x:c>
      <x:c r="N48" s="1005" t="n">
        <x:v>32</x:v>
      </x:c>
      <x:c r="O48" s="984" t="n">
        <x:v>202381</x:v>
      </x:c>
      <x:c r="P48" s="1006" t="n">
        <x:v>126.488125</x:v>
      </x:c>
      <x:c r="Q48" s="984" t="n">
        <x:v>4096</x:v>
      </x:c>
      <x:c r="R48" s="984" t="n">
        <x:v>133056</x:v>
      </x:c>
      <x:c r="S48" s="1007" t="n">
        <x:v>0.6574530217757596</x:v>
      </x:c>
      <x:c r="T48" s="1005" t="n">
        <x:v>64</x:v>
      </x:c>
      <x:c r="U48" s="1005" t="n">
        <x:v>256</x:v>
      </x:c>
      <x:c r="V48" s="1007" t="n">
        <x:v>1</x:v>
      </x:c>
      <x:c r="W48" s="692" t="str">
        <x:v>PASS</x:v>
      </x:c>
      <x:c r="X48" s="944" t="str">
        <x:v>/Users/blacktraker/Programming/gitproj/DV4/SuperNPUBench/outputs/matmul_reuseA_other_shapes_20261010/sweep_fp16_m288_n7392_k256/build/FP16_M288_N7392_K256_tM128_tN256_tK64/kernel/matmul/elf/kernel_matmul_matmul_reuseA_B1_M288_N7392_K256_tM128_tN256_tK64_DType__half.elf</x:v>
      </x:c>
      <x:c r="Y48" s="944" t="str">
        <x:v>/Users/blacktraker/Programming/gitproj/DV4/SuperNPUBench/outputs/matmul_reuseA_other_shapes_20261010/sweep_fp16_m288_n7392_k256/logs/FP16_M288_N7392_K256_tM128_tN256_tK64.gfsim.log</x:v>
      </x:c>
      <x:c r="Z48" s="944" t="str">
        <x:v>PASS；matmul_reuseA；valid_row/valid_col 尾块处理；ELF=/Users/blacktraker/Programming/gitproj/DV4/SuperNPUBench/outputs/matmul_reuseA_other_shapes_20261010/sweep_fp16_m288_n7392_k256/build/FP16_M288_N7392_K256_tM128_tN256_tK64/kernel/matmul/elf/kernel_matmul_matmul_reuseA_B1_M288_N7392_K256_tM128_tN256_tK64_DType__half.elf；gfsim log=/Users/blacktraker/Programming/gitproj/DV4/SuperNPUBench/outputs/matmul_reuseA_other_shapes_20261010/sweep_fp16_m288_n7392_k256/logs/FP16_M288_N7392_K256_tM128_tN256_tK64.gfsim.log；source=/Users/blacktraker/Programming/gitproj/DV4/SuperNPUBench/benchmark/one-level-arch/kernels/basic_op/matmul/matmul_reuseA.hpp</x:v>
      </x:c>
      <x:c r="AA48" s="944"/>
      <x:c r="AB48" s="944" t="str">
        <x:v>matmul_reuseA; tM=128; tN=256; tK=64; tail=valid_row/valid_col</x:v>
      </x:c>
      <x:c r="AC48" s="692" t="str">
        <x:v>否</x:v>
      </x:c>
      <x:c r="AD48" s="1263" t="str">
        <x:v>https://github.com/PTO-ISA/SuperNPUBench/blob/main/benchmark/one-level-arch/kernels/basic_op/matmul/matmul_reuseA.hpp#L281</x:v>
      </x:c>
    </x:row>
    <x:row r="49" ht="31.5" customHeight="1">
      <x:c r="A49" s="977" t="str">
        <x:v>matmul (ubm)</x:v>
      </x:c>
      <x:c r="B49" s="977" t="str">
        <x:v>FP16</x:v>
      </x:c>
      <x:c r="C49" s="984" t="n">
        <x:v>288</x:v>
      </x:c>
      <x:c r="D49" s="984" t="n">
        <x:v>7392</x:v>
      </x:c>
      <x:c r="E49" s="984" t="n">
        <x:v>256</x:v>
      </x:c>
      <x:c r="F49" s="977" t="str">
        <x:v>[288,256,7392]</x:v>
      </x:c>
      <x:c r="G49" s="977" t="str">
        <x:v>B-major</x:v>
      </x:c>
      <x:c r="H49" s="977" t="str">
        <x:v>matmul_reuseA</x:v>
      </x:c>
      <x:c r="I49" s="984" t="n">
        <x:v>128</x:v>
      </x:c>
      <x:c r="J49" s="984" t="n">
        <x:v>256</x:v>
      </x:c>
      <x:c r="K49" s="984" t="n">
        <x:v>128</x:v>
      </x:c>
      <x:c r="L49" s="1005" t="n">
        <x:v>8</x:v>
      </x:c>
      <x:c r="M49" s="1005" t="n">
        <x:v>64</x:v>
      </x:c>
      <x:c r="N49" s="1005" t="n">
        <x:v>64</x:v>
      </x:c>
      <x:c r="O49" s="984" t="n">
        <x:v>175765</x:v>
      </x:c>
      <x:c r="P49" s="1006" t="n">
        <x:v>109.853125</x:v>
      </x:c>
      <x:c r="Q49" s="984" t="n">
        <x:v>4096</x:v>
      </x:c>
      <x:c r="R49" s="984" t="n">
        <x:v>133056</x:v>
      </x:c>
      <x:c r="S49" s="1007" t="n">
        <x:v>0.7570107814411288</x:v>
      </x:c>
      <x:c r="T49" s="1005" t="n">
        <x:v>64</x:v>
      </x:c>
      <x:c r="U49" s="1005" t="n">
        <x:v>128</x:v>
      </x:c>
      <x:c r="V49" s="1007" t="n">
        <x:v>1</x:v>
      </x:c>
      <x:c r="W49" s="692" t="str">
        <x:v>PASS</x:v>
      </x:c>
      <x:c r="X49" s="944" t="str">
        <x:v>/Users/blacktraker/Programming/gitproj/DV4/SuperNPUBench/outputs/matmul_reuseA_other_shapes_20261010/sweep_fp16_m288_n7392_k256/build/FP16_M288_N7392_K256_tM128_tN256_tK128/kernel/matmul/elf/kernel_matmul_matmul_reuseA_B1_M288_N7392_K256_tM128_tN256_tK128_DType__half.elf</x:v>
      </x:c>
      <x:c r="Y49" s="944" t="str">
        <x:v>/Users/blacktraker/Programming/gitproj/DV4/SuperNPUBench/outputs/matmul_reuseA_other_shapes_20261010/sweep_fp16_m288_n7392_k256/logs/FP16_M288_N7392_K256_tM128_tN256_tK128.gfsim.log</x:v>
      </x:c>
      <x:c r="Z49" s="944" t="str">
        <x:v>PASS；matmul_reuseA；valid_row/valid_col 尾块处理；ELF=/Users/blacktraker/Programming/gitproj/DV4/SuperNPUBench/outputs/matmul_reuseA_other_shapes_20261010/sweep_fp16_m288_n7392_k256/build/FP16_M288_N7392_K256_tM128_tN256_tK128/kernel/matmul/elf/kernel_matmul_matmul_reuseA_B1_M288_N7392_K256_tM128_tN256_tK128_DType__half.elf；gfsim log=/Users/blacktraker/Programming/gitproj/DV4/SuperNPUBench/outputs/matmul_reuseA_other_shapes_20261010/sweep_fp16_m288_n7392_k256/logs/FP16_M288_N7392_K256_tM128_tN256_tK128.gfsim.log；source=/Users/blacktraker/Programming/gitproj/DV4/SuperNPUBench/benchmark/one-level-arch/kernels/basic_op/matmul/matmul_reuseA.hpp</x:v>
      </x:c>
      <x:c r="AA49" s="944"/>
      <x:c r="AB49" s="944" t="str">
        <x:v>matmul_reuseA; tM=128; tN=256; tK=128; tail=valid_row/valid_col</x:v>
      </x:c>
      <x:c r="AC49" s="692" t="str">
        <x:v>否</x:v>
      </x:c>
      <x:c r="AD49" s="1263" t="str">
        <x:v>https://github.com/PTO-ISA/SuperNPUBench/blob/main/benchmark/one-level-arch/kernels/basic_op/matmul/matmul_reuseA.hpp#L281</x:v>
      </x:c>
    </x:row>
    <x:row r="50" ht="31.5" customHeight="1">
      <x:c r="A50" s="977" t="str">
        <x:v>matmul (ubm)</x:v>
      </x:c>
      <x:c r="B50" s="977" t="str">
        <x:v>FP16</x:v>
      </x:c>
      <x:c r="C50" s="984" t="n">
        <x:v>288</x:v>
      </x:c>
      <x:c r="D50" s="984" t="n">
        <x:v>7392</x:v>
      </x:c>
      <x:c r="E50" s="984" t="n">
        <x:v>256</x:v>
      </x:c>
      <x:c r="F50" s="977" t="str">
        <x:v>[288,256,7392]</x:v>
      </x:c>
      <x:c r="G50" s="977" t="str">
        <x:v>B-major</x:v>
      </x:c>
      <x:c r="H50" s="977" t="str">
        <x:v>matmul_reuseA</x:v>
      </x:c>
      <x:c r="I50" s="984" t="n">
        <x:v>128</x:v>
      </x:c>
      <x:c r="J50" s="984" t="n">
        <x:v>256</x:v>
      </x:c>
      <x:c r="K50" s="984" t="n">
        <x:v>256</x:v>
      </x:c>
      <x:c r="L50" s="1005" t="n">
        <x:v>16</x:v>
      </x:c>
      <x:c r="M50" s="1005" t="n">
        <x:v>128</x:v>
      </x:c>
      <x:c r="N50" s="1005" t="n">
        <x:v>128</x:v>
      </x:c>
      <x:c r="O50" s="984"/>
      <x:c r="P50" s="1006"/>
      <x:c r="Q50" s="984" t="n">
        <x:v>4096</x:v>
      </x:c>
      <x:c r="R50" s="984" t="n">
        <x:v>133056</x:v>
      </x:c>
      <x:c r="S50" s="1007"/>
      <x:c r="T50" s="1005"/>
      <x:c r="U50" s="1005"/>
      <x:c r="V50" s="1007"/>
      <x:c r="W50" s="969" t="str">
        <x:v>ASSERT_FAIL</x:v>
      </x:c>
      <x:c r="X50" s="944" t="str">
        <x:v>/Users/blacktraker/Programming/gitproj/DV4/SuperNPUBench/outputs/matmul_reuseA_other_shapes_20261010/sweep_fp16_m288_n7392_k256/build/FP16_M288_N7392_K256_tM128_tN256_tK256/kernel/matmul/elf/kernel_matmul_matmul_reuseA_B1_M288_N7392_K256_tM128_tN256_tK256_DType__half.elf</x:v>
      </x:c>
      <x:c r="Y50" s="944" t="str">
        <x:v>/Users/blacktraker/Programming/gitproj/DV4/SuperNPUBench/outputs/matmul_reuseA_other_shapes_20261010/sweep_fp16_m288_n7392_k256/logs/FP16_M288_N7392_K256_tM128_tN256_tK256.gfsim.log</x:v>
      </x:c>
      <x:c r="Z50" s="944" t="str">
        <x:v>ASSERT_FAIL；matmul_reuseA；valid_row/valid_col 尾块处理；                             0x0000000104ee1f1c main + 13920
9   dyld                                0x000000018a79be00 start + 6992
std::terminate called (unhandled exception or exception during unwinding)
FATAL: gfsim received signal 6
0   gfsim                               0x0000000104eecfa0 _ZN12_GLOBAL__N_125PrintFatalSignalBacktraceEi + 52
1   libsystem_platform.dylib            0x000000018ab63744 _sigtramp + 56
2   libsystem_pthread.dylib             0x000000018ab598d8 pthread_kill + 296
3   libsystem_c.dylib                   0x000000018aa60644 abort + 148
4   gfsim                               0x0000000105782c04 main.cold.1 + 0
5   libc++abi.dylib                     0x000000018ab0d75c _ZSt11__terminatePFvvE + 16
6   libc++abi.dylib                     0x000000018aafce80 _ZN10__cxxabiv1L13is_class_typeEPKNS_16__shim_type_infoE + 0
7   gfsim                               0x0000000104ee3bc4 main + 21256
8   dyld                                0x000000018a79be00 start + 6992
；ELF=/Users/blacktraker/Programming/gitproj/DV4/SuperNPUBench/outputs/matmul_reuseA_other_shapes_20261010/sweep_fp16_m288_n7392_k256/build/FP16_M288_N7392_K256_tM128_tN256_tK256/kernel/matmul/elf/kernel_matmul_matmul_reuseA_B1_M288_N7392_K256_tM128_tN256_tK256_DType__half.elf；gfsim log=/Users/blacktraker/Programming/gitproj/DV4/SuperNPUBench/outputs/matmul_reuseA_other_shapes_20261010/sweep_fp16_m288_n7392_k256/logs/FP16_M288_N7392_K256_tM128_tN256_tK256.gfsim.log；source=/Users/blacktraker/Programming/gitproj/DV4/SuperNPUBench/benchmark/one-level-arch/kernels/basic_op/matmul/matmul_reuseA.hpp</x:v>
      </x:c>
      <x:c r="AA50" s="944"/>
      <x:c r="AB50" s="944" t="str">
        <x:v>matmul_reuseA; tM=128; tN=256; tK=256; tail=valid_row/valid_col</x:v>
      </x:c>
      <x:c r="AC50" s="692" t="str">
        <x:v>否</x:v>
      </x:c>
      <x:c r="AD50" s="1263" t="str">
        <x:v>https://github.com/PTO-ISA/SuperNPUBench/blob/main/benchmark/one-level-arch/kernels/basic_op/matmul/matmul_reuseA.hpp#L281</x:v>
      </x:c>
    </x:row>
    <x:row r="51" ht="31.5" customHeight="1">
      <x:c r="A51" s="978" t="str">
        <x:v>matmul (ubm)</x:v>
      </x:c>
      <x:c r="B51" s="978" t="str">
        <x:v>HIF4</x:v>
      </x:c>
      <x:c r="C51" s="985" t="n">
        <x:v>48</x:v>
      </x:c>
      <x:c r="D51" s="985" t="n">
        <x:v>7168</x:v>
      </x:c>
      <x:c r="E51" s="985" t="n">
        <x:v>96</x:v>
      </x:c>
      <x:c r="F51" s="978" t="str">
        <x:v>[48,96,7168]</x:v>
      </x:c>
      <x:c r="G51" s="978" t="str">
        <x:v>B-major</x:v>
      </x:c>
      <x:c r="H51" s="978" t="str">
        <x:v>matmul_lowp</x:v>
      </x:c>
      <x:c r="I51" s="985" t="n">
        <x:v>128</x:v>
      </x:c>
      <x:c r="J51" s="985" t="n">
        <x:v>64</x:v>
      </x:c>
      <x:c r="K51" s="985" t="n">
        <x:v>64</x:v>
      </x:c>
      <x:c r="L51" s="1009" t="n">
        <x:v>8</x:v>
      </x:c>
      <x:c r="M51" s="1009" t="n">
        <x:v>4</x:v>
      </x:c>
      <x:c r="N51" s="1009" t="n">
        <x:v>36</x:v>
      </x:c>
      <x:c r="O51" s="985"/>
      <x:c r="P51" s="1010"/>
      <x:c r="Q51" s="985" t="n">
        <x:v>32768</x:v>
      </x:c>
      <x:c r="R51" s="985" t="n">
        <x:v>1008</x:v>
      </x:c>
      <x:c r="S51" s="1011"/>
      <x:c r="T51" s="1009"/>
      <x:c r="U51" s="1009"/>
      <x:c r="V51" s="1011"/>
      <x:c r="W51" s="969" t="str">
        <x:v>DEADLOCK</x:v>
      </x:c>
      <x:c r="X51" s="946" t="str">
        <x:v>/Users/blacktraker/Programming/gitproj/DV4/SuperNPUBench/outputs/fp4_main_table_refresh_20261012/build/HIF4_M48_N7168_K96_tM128_tN64_tK64/kernel/matmul/elf/kernel_matmul_matmul_lowp_HIF4_B1_M48_N7168_K96_tM128_tN64_tK64.elf</x:v>
      </x:c>
      <x:c r="Y51" s="946" t="str">
        <x:v>/Users/blacktraker/Programming/gitproj/DV4/SuperNPUBench/outputs/fp4_main_table_refresh_20261012/logs/HIF4_M48_N7168_K96_tM128_tN64_tK64.gfsim.log</x:v>
      </x:c>
      <x:c r="Z51" s="946" t="str">
        <x:v>DEADLOCK；更新编译器/模型重跑，无有效 cycles/MFU；model=929fb91c；compiler=e6a31efb；ELF=/Users/blacktraker/Programming/gitproj/DV4/SuperNPUBench/outputs/fp4_main_table_refresh_20261012/build/HIF4_M48_N7168_K96_tM128_tN64_tK64/kernel/matmul/elf/kernel_matmul_matmul_lowp_HIF4_B1_M48_N7168_K96_tM128_tN64_tK64.elf；反汇编=/Users/blacktraker/Programming/gitproj/DV4/SuperNPUBench/outputs/fp4_main_table_refresh_20261012/build/HIF4_M48_N7168_K96_tM128_tN64_tK64/kernel/matmul/elf/kernel_matmul_matmul_lowp_HIF4_B1_M48_N7168_K96_tM128_tN64_tK64.elf.diss；gfsim log=/Users/blacktraker/Programming/gitproj/DV4/SuperNPUBench/outputs/fp4_main_table_refresh_20261012/logs/HIF4_M48_N7168_K96_tM128_tN64_tK64.gfsim.log</x:v>
      </x:c>
      <x:c r="AA51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1" s="946" t="str">
        <x:v>matmul_lowp; tM=128; tN=64; tK=64</x:v>
      </x:c>
      <x:c r="AC51" s="701" t="str">
        <x:v>否</x:v>
      </x:c>
      <x:c r="AD51" s="1263" t="str">
        <x:v>https://github.com/PTO-ISA/SuperNPUBench/blob/main/benchmark/one-level-arch/kernels/basic_op/matmul/matmul_shared_lowp.hpp#L20</x:v>
      </x:c>
    </x:row>
    <x:row r="52" ht="31.5" customHeight="1">
      <x:c r="A52" s="978" t="str">
        <x:v>matmul (ubm)</x:v>
      </x:c>
      <x:c r="B52" s="978" t="str">
        <x:v>HIF4</x:v>
      </x:c>
      <x:c r="C52" s="985" t="n">
        <x:v>48</x:v>
      </x:c>
      <x:c r="D52" s="985" t="n">
        <x:v>7168</x:v>
      </x:c>
      <x:c r="E52" s="985" t="n">
        <x:v>96</x:v>
      </x:c>
      <x:c r="F52" s="978" t="str">
        <x:v>[48,96,7168]</x:v>
      </x:c>
      <x:c r="G52" s="978" t="str">
        <x:v>B-major</x:v>
      </x:c>
      <x:c r="H52" s="978" t="str">
        <x:v>matmul_lowp</x:v>
      </x:c>
      <x:c r="I52" s="985" t="n">
        <x:v>128</x:v>
      </x:c>
      <x:c r="J52" s="985" t="n">
        <x:v>64</x:v>
      </x:c>
      <x:c r="K52" s="985" t="n">
        <x:v>128</x:v>
      </x:c>
      <x:c r="L52" s="1009" t="n">
        <x:v>16</x:v>
      </x:c>
      <x:c r="M52" s="1009" t="n">
        <x:v>8</x:v>
      </x:c>
      <x:c r="N52" s="1009" t="n">
        <x:v>48</x:v>
      </x:c>
      <x:c r="O52" s="985"/>
      <x:c r="P52" s="1010"/>
      <x:c r="Q52" s="985" t="n">
        <x:v>32768</x:v>
      </x:c>
      <x:c r="R52" s="985" t="n">
        <x:v>1008</x:v>
      </x:c>
      <x:c r="S52" s="1011"/>
      <x:c r="T52" s="1009"/>
      <x:c r="U52" s="1009"/>
      <x:c r="V52" s="1011"/>
      <x:c r="W52" s="969" t="str">
        <x:v>DEADLOCK</x:v>
      </x:c>
      <x:c r="X52" s="946" t="str">
        <x:v>/Users/blacktraker/Programming/gitproj/DV4/SuperNPUBench/outputs/fp4_main_table_refresh_20261012/build/HIF4_M48_N7168_K96_tM128_tN64_tK128/kernel/matmul/elf/kernel_matmul_matmul_lowp_HIF4_B1_M48_N7168_K96_tM128_tN64_tK128.elf</x:v>
      </x:c>
      <x:c r="Y52" s="946" t="str">
        <x:v>/Users/blacktraker/Programming/gitproj/DV4/SuperNPUBench/outputs/fp4_main_table_refresh_20261012/logs/HIF4_M48_N7168_K96_tM128_tN64_tK128.gfsim.log</x:v>
      </x:c>
      <x:c r="Z52" s="946" t="str">
        <x:v>DEADLOCK；更新编译器/模型重跑，无有效 cycles/MFU；model=929fb91c；compiler=e6a31efb；ELF=/Users/blacktraker/Programming/gitproj/DV4/SuperNPUBench/outputs/fp4_main_table_refresh_20261012/build/HIF4_M48_N7168_K96_tM128_tN64_tK128/kernel/matmul/elf/kernel_matmul_matmul_lowp_HIF4_B1_M48_N7168_K96_tM128_tN64_tK128.elf；反汇编=/Users/blacktraker/Programming/gitproj/DV4/SuperNPUBench/outputs/fp4_main_table_refresh_20261012/build/HIF4_M48_N7168_K96_tM128_tN64_tK128/kernel/matmul/elf/kernel_matmul_matmul_lowp_HIF4_B1_M48_N7168_K96_tM128_tN64_tK128.elf.diss；gfsim log=/Users/blacktraker/Programming/gitproj/DV4/SuperNPUBench/outputs/fp4_main_table_refresh_20261012/logs/HIF4_M48_N7168_K96_tM128_tN64_tK128.gfsim.log</x:v>
      </x:c>
      <x:c r="AA52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2" s="946" t="str">
        <x:v>matmul_lowp; tM=128; tN=64; tK=128</x:v>
      </x:c>
      <x:c r="AC52" s="701" t="str">
        <x:v>否</x:v>
      </x:c>
      <x:c r="AD52" s="1263" t="str">
        <x:v>https://github.com/PTO-ISA/SuperNPUBench/blob/main/benchmark/one-level-arch/kernels/basic_op/matmul/matmul_shared_lowp.hpp#L20</x:v>
      </x:c>
    </x:row>
    <x:row r="53" ht="31.5" customHeight="1">
      <x:c r="A53" s="978" t="str">
        <x:v>matmul (ubm)</x:v>
      </x:c>
      <x:c r="B53" s="978" t="str">
        <x:v>HIF4</x:v>
      </x:c>
      <x:c r="C53" s="985" t="n">
        <x:v>48</x:v>
      </x:c>
      <x:c r="D53" s="985" t="n">
        <x:v>7168</x:v>
      </x:c>
      <x:c r="E53" s="985" t="n">
        <x:v>96</x:v>
      </x:c>
      <x:c r="F53" s="978" t="str">
        <x:v>[48,96,7168]</x:v>
      </x:c>
      <x:c r="G53" s="978" t="str">
        <x:v>B-major</x:v>
      </x:c>
      <x:c r="H53" s="978" t="str">
        <x:v>matmul_lowp</x:v>
      </x:c>
      <x:c r="I53" s="985" t="n">
        <x:v>128</x:v>
      </x:c>
      <x:c r="J53" s="985" t="n">
        <x:v>128</x:v>
      </x:c>
      <x:c r="K53" s="985" t="n">
        <x:v>64</x:v>
      </x:c>
      <x:c r="L53" s="1009" t="n">
        <x:v>8</x:v>
      </x:c>
      <x:c r="M53" s="1009" t="n">
        <x:v>8</x:v>
      </x:c>
      <x:c r="N53" s="1009" t="n">
        <x:v>48</x:v>
      </x:c>
      <x:c r="O53" s="985"/>
      <x:c r="P53" s="1010"/>
      <x:c r="Q53" s="985" t="n">
        <x:v>32768</x:v>
      </x:c>
      <x:c r="R53" s="985" t="n">
        <x:v>1008</x:v>
      </x:c>
      <x:c r="S53" s="1011"/>
      <x:c r="T53" s="1009"/>
      <x:c r="U53" s="1009"/>
      <x:c r="V53" s="1011"/>
      <x:c r="W53" s="969" t="str">
        <x:v>DEADLOCK</x:v>
      </x:c>
      <x:c r="X53" s="946" t="str">
        <x:v>/Users/blacktraker/Programming/gitproj/DV4/SuperNPUBench/outputs/fp4_main_table_refresh_20261012/build/HIF4_M48_N7168_K96_tM128_tN128_tK64/kernel/matmul/elf/kernel_matmul_matmul_lowp_HIF4_B1_M48_N7168_K96_tM128_tN128_tK64.elf</x:v>
      </x:c>
      <x:c r="Y53" s="946" t="str">
        <x:v>/Users/blacktraker/Programming/gitproj/DV4/SuperNPUBench/outputs/fp4_main_table_refresh_20261012/logs/HIF4_M48_N7168_K96_tM128_tN128_tK64.gfsim.log</x:v>
      </x:c>
      <x:c r="Z53" s="946" t="str">
        <x:v>DEADLOCK；更新编译器/模型重跑，无有效 cycles/MFU；model=929fb91c；compiler=e6a31efb；ELF=/Users/blacktraker/Programming/gitproj/DV4/SuperNPUBench/outputs/fp4_main_table_refresh_20261012/build/HIF4_M48_N7168_K96_tM128_tN128_tK64/kernel/matmul/elf/kernel_matmul_matmul_lowp_HIF4_B1_M48_N7168_K96_tM128_tN128_tK64.elf；反汇编=/Users/blacktraker/Programming/gitproj/DV4/SuperNPUBench/outputs/fp4_main_table_refresh_20261012/build/HIF4_M48_N7168_K96_tM128_tN128_tK64/kernel/matmul/elf/kernel_matmul_matmul_lowp_HIF4_B1_M48_N7168_K96_tM128_tN128_tK64.elf.diss；gfsim log=/Users/blacktraker/Programming/gitproj/DV4/SuperNPUBench/outputs/fp4_main_table_refresh_20261012/logs/HIF4_M48_N7168_K96_tM128_tN128_tK64.gfsim.log</x:v>
      </x:c>
      <x:c r="AA53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3" s="946" t="str">
        <x:v>matmul_lowp; tM=128; tN=128; tK=64</x:v>
      </x:c>
      <x:c r="AC53" s="701" t="str">
        <x:v>否</x:v>
      </x:c>
      <x:c r="AD53" s="1263" t="str">
        <x:v>https://github.com/PTO-ISA/SuperNPUBench/blob/main/benchmark/one-level-arch/kernels/basic_op/matmul/matmul_shared_lowp.hpp#L20</x:v>
      </x:c>
    </x:row>
    <x:row r="54" ht="31.5" customHeight="1">
      <x:c r="A54" s="978" t="str">
        <x:v>matmul (ubm)</x:v>
      </x:c>
      <x:c r="B54" s="978" t="str">
        <x:v>HIF4</x:v>
      </x:c>
      <x:c r="C54" s="985" t="n">
        <x:v>48</x:v>
      </x:c>
      <x:c r="D54" s="985" t="n">
        <x:v>7168</x:v>
      </x:c>
      <x:c r="E54" s="985" t="n">
        <x:v>96</x:v>
      </x:c>
      <x:c r="F54" s="978" t="str">
        <x:v>[48,96,7168]</x:v>
      </x:c>
      <x:c r="G54" s="978" t="str">
        <x:v>B-major</x:v>
      </x:c>
      <x:c r="H54" s="978" t="str">
        <x:v>matmul_lowp</x:v>
      </x:c>
      <x:c r="I54" s="985" t="n">
        <x:v>128</x:v>
      </x:c>
      <x:c r="J54" s="985" t="n">
        <x:v>128</x:v>
      </x:c>
      <x:c r="K54" s="985" t="n">
        <x:v>128</x:v>
      </x:c>
      <x:c r="L54" s="1009" t="n">
        <x:v>16</x:v>
      </x:c>
      <x:c r="M54" s="1009" t="n">
        <x:v>16</x:v>
      </x:c>
      <x:c r="N54" s="1009" t="n">
        <x:v>64</x:v>
      </x:c>
      <x:c r="O54" s="998"/>
      <x:c r="P54" s="999"/>
      <x:c r="Q54" s="998" t="n">
        <x:v>32768</x:v>
      </x:c>
      <x:c r="R54" s="998" t="n">
        <x:v>1008</x:v>
      </x:c>
      <x:c r="S54" s="1011"/>
      <x:c r="T54" s="1009"/>
      <x:c r="U54" s="1009"/>
      <x:c r="V54" s="1011"/>
      <x:c r="W54" s="701" t="str">
        <x:v>DEADLOCK</x:v>
      </x:c>
      <x:c r="X54" s="946" t="str">
        <x:v>/Users/blacktraker/Programming/gitproj/DV4/SuperNPUBench/outputs/fp4_main_table_refresh_20261012/build/HIF4_M48_N7168_K96_tM128_tN128_tK128/kernel/matmul/elf/kernel_matmul_matmul_lowp_HIF4_B1_M48_N7168_K96_tM128_tN128_tK128.elf</x:v>
      </x:c>
      <x:c r="Y54" s="946" t="str">
        <x:v>/Users/blacktraker/Programming/gitproj/DV4/SuperNPUBench/outputs/fp4_main_table_refresh_20261012/logs/HIF4_M48_N7168_K96_tM128_tN128_tK128.gfsim.log</x:v>
      </x:c>
      <x:c r="Z54" s="946" t="str">
        <x:v>DEADLOCK；更新编译器/模型重跑，无有效 cycles/MFU；model=929fb91c；compiler=e6a31efb；ELF=/Users/blacktraker/Programming/gitproj/DV4/SuperNPUBench/outputs/fp4_main_table_refresh_20261012/build/HIF4_M48_N7168_K96_tM128_tN128_tK128/kernel/matmul/elf/kernel_matmul_matmul_lowp_HIF4_B1_M48_N7168_K96_tM128_tN128_tK128.elf；反汇编=/Users/blacktraker/Programming/gitproj/DV4/SuperNPUBench/outputs/fp4_main_table_refresh_20261012/build/HIF4_M48_N7168_K96_tM128_tN128_tK128/kernel/matmul/elf/kernel_matmul_matmul_lowp_HIF4_B1_M48_N7168_K96_tM128_tN128_tK128.elf.diss；gfsim log=/Users/blacktraker/Programming/gitproj/DV4/SuperNPUBench/outputs/fp4_main_table_refresh_20261012/logs/HIF4_M48_N7168_K96_tM128_tN128_tK128.gfsim.log</x:v>
      </x:c>
      <x:c r="AA54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4" s="946" t="str">
        <x:v>matmul_lowp; tM=128; tN=128; tK=128</x:v>
      </x:c>
      <x:c r="AC54" s="971" t="str">
        <x:v>否</x:v>
      </x:c>
      <x:c r="AD54" s="1263" t="str">
        <x:v>https://github.com/PTO-ISA/SuperNPUBench/blob/main/benchmark/one-level-arch/kernels/basic_op/matmul/matmul_shared_lowp.hpp#L20</x:v>
      </x:c>
    </x:row>
    <x:row r="55" ht="31.5" customHeight="1">
      <x:c r="A55" s="978" t="str">
        <x:v>matmul (ubm)</x:v>
      </x:c>
      <x:c r="B55" s="978" t="str">
        <x:v>HIF4</x:v>
      </x:c>
      <x:c r="C55" s="985" t="n">
        <x:v>48</x:v>
      </x:c>
      <x:c r="D55" s="985" t="n">
        <x:v>7168</x:v>
      </x:c>
      <x:c r="E55" s="985" t="n">
        <x:v>96</x:v>
      </x:c>
      <x:c r="F55" s="978" t="str">
        <x:v>[48,96,7168]</x:v>
      </x:c>
      <x:c r="G55" s="978" t="str">
        <x:v>B-major</x:v>
      </x:c>
      <x:c r="H55" s="978" t="str">
        <x:v>matmul_lowp</x:v>
      </x:c>
      <x:c r="I55" s="985" t="n">
        <x:v>128</x:v>
      </x:c>
      <x:c r="J55" s="985" t="n">
        <x:v>256</x:v>
      </x:c>
      <x:c r="K55" s="985" t="n">
        <x:v>64</x:v>
      </x:c>
      <x:c r="L55" s="1009" t="n">
        <x:v>8</x:v>
      </x:c>
      <x:c r="M55" s="1009" t="n">
        <x:v>16</x:v>
      </x:c>
      <x:c r="N55" s="1009" t="n">
        <x:v>72</x:v>
      </x:c>
      <x:c r="O55" s="985"/>
      <x:c r="P55" s="1010"/>
      <x:c r="Q55" s="985" t="n">
        <x:v>32768</x:v>
      </x:c>
      <x:c r="R55" s="985" t="n">
        <x:v>1008</x:v>
      </x:c>
      <x:c r="S55" s="1011"/>
      <x:c r="T55" s="1009"/>
      <x:c r="U55" s="1009"/>
      <x:c r="V55" s="1011"/>
      <x:c r="W55" s="969" t="str">
        <x:v>ASSERT_FAIL</x:v>
      </x:c>
      <x:c r="X55" s="946" t="str">
        <x:v>/Users/blacktraker/Programming/gitproj/DV4/SuperNPUBench/outputs/fp4_main_table_refresh_20261012/build/HIF4_M48_N7168_K96_tM128_tN256_tK64/kernel/matmul/elf/kernel_matmul_matmul_lowp_HIF4_B1_M48_N7168_K96_tM128_tN256_tK64.elf</x:v>
      </x:c>
      <x:c r="Y55" s="946" t="str">
        <x:v>/Users/blacktraker/Programming/gitproj/DV4/SuperNPUBench/outputs/fp4_main_table_refresh_20261012/logs/HIF4_M48_N7168_K96_tM128_tN256_tK64.gfsim.log</x:v>
      </x:c>
      <x:c r="Z55" s="946" t="str">
        <x:v>ASSERT_FAIL；更新编译器/模型重跑，无有效 cycles/MFU；model=929fb91c；compiler=e6a31efb；ELF=/Users/blacktraker/Programming/gitproj/DV4/SuperNPUBench/outputs/fp4_main_table_refresh_20261012/build/HIF4_M48_N7168_K96_tM128_tN256_tK64/kernel/matmul/elf/kernel_matmul_matmul_lowp_HIF4_B1_M48_N7168_K96_tM128_tN256_tK64.elf；反汇编=/Users/blacktraker/Programming/gitproj/DV4/SuperNPUBench/outputs/fp4_main_table_refresh_20261012/build/HIF4_M48_N7168_K96_tM128_tN256_tK64/kernel/matmul/elf/kernel_matmul_matmul_lowp_HIF4_B1_M48_N7168_K96_tM128_tN256_tK64.elf.diss；gfsim log=/Users/blacktraker/Programming/gitproj/DV4/SuperNPUBench/outputs/fp4_main_table_refresh_20261012/logs/HIF4_M48_N7168_K96_tM128_tN256_tK64.gfsim.log</x:v>
      </x:c>
      <x:c r="AA55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5" s="946" t="str">
        <x:v>matmul_lowp; tM=128; tN=256; tK=64</x:v>
      </x:c>
      <x:c r="AC55" s="701" t="str">
        <x:v>否</x:v>
      </x:c>
      <x:c r="AD55" s="1263" t="str">
        <x:v>https://github.com/PTO-ISA/SuperNPUBench/blob/main/benchmark/one-level-arch/kernels/basic_op/matmul/matmul_shared_lowp.hpp#L20</x:v>
      </x:c>
    </x:row>
    <x:row r="56" ht="31.5" customHeight="1">
      <x:c r="A56" s="978" t="str">
        <x:v>matmul (ubm)</x:v>
      </x:c>
      <x:c r="B56" s="978" t="str">
        <x:v>HIF4</x:v>
      </x:c>
      <x:c r="C56" s="985" t="n">
        <x:v>48</x:v>
      </x:c>
      <x:c r="D56" s="985" t="n">
        <x:v>7168</x:v>
      </x:c>
      <x:c r="E56" s="985" t="n">
        <x:v>96</x:v>
      </x:c>
      <x:c r="F56" s="978" t="str">
        <x:v>[48,96,7168]</x:v>
      </x:c>
      <x:c r="G56" s="978" t="str">
        <x:v>B-major</x:v>
      </x:c>
      <x:c r="H56" s="978" t="str">
        <x:v>matmul_lowp</x:v>
      </x:c>
      <x:c r="I56" s="985" t="n">
        <x:v>128</x:v>
      </x:c>
      <x:c r="J56" s="985" t="n">
        <x:v>256</x:v>
      </x:c>
      <x:c r="K56" s="985" t="n">
        <x:v>128</x:v>
      </x:c>
      <x:c r="L56" s="1009" t="n">
        <x:v>16</x:v>
      </x:c>
      <x:c r="M56" s="1009" t="n">
        <x:v>32</x:v>
      </x:c>
      <x:c r="N56" s="1009" t="n">
        <x:v>96</x:v>
      </x:c>
      <x:c r="O56" s="985"/>
      <x:c r="P56" s="1010"/>
      <x:c r="Q56" s="985" t="n">
        <x:v>32768</x:v>
      </x:c>
      <x:c r="R56" s="985" t="n">
        <x:v>1008</x:v>
      </x:c>
      <x:c r="S56" s="1011"/>
      <x:c r="T56" s="1009"/>
      <x:c r="U56" s="1009"/>
      <x:c r="V56" s="1011"/>
      <x:c r="W56" s="969" t="str">
        <x:v>ASSERT_FAIL</x:v>
      </x:c>
      <x:c r="X56" s="946" t="str">
        <x:v>/Users/blacktraker/Programming/gitproj/DV4/SuperNPUBench/outputs/fp4_main_table_refresh_20261012/build/HIF4_M48_N7168_K96_tM128_tN256_tK128/kernel/matmul/elf/kernel_matmul_matmul_lowp_HIF4_B1_M48_N7168_K96_tM128_tN256_tK128.elf</x:v>
      </x:c>
      <x:c r="Y56" s="946" t="str">
        <x:v>/Users/blacktraker/Programming/gitproj/DV4/SuperNPUBench/outputs/fp4_main_table_refresh_20261012/logs/HIF4_M48_N7168_K96_tM128_tN256_tK128.gfsim.log</x:v>
      </x:c>
      <x:c r="Z56" s="946" t="str">
        <x:v>ASSERT_FAIL；更新编译器/模型重跑，无有效 cycles/MFU；model=929fb91c；compiler=e6a31efb；ELF=/Users/blacktraker/Programming/gitproj/DV4/SuperNPUBench/outputs/fp4_main_table_refresh_20261012/build/HIF4_M48_N7168_K96_tM128_tN256_tK128/kernel/matmul/elf/kernel_matmul_matmul_lowp_HIF4_B1_M48_N7168_K96_tM128_tN256_tK128.elf；反汇编=/Users/blacktraker/Programming/gitproj/DV4/SuperNPUBench/outputs/fp4_main_table_refresh_20261012/build/HIF4_M48_N7168_K96_tM128_tN256_tK128/kernel/matmul/elf/kernel_matmul_matmul_lowp_HIF4_B1_M48_N7168_K96_tM128_tN256_tK128.elf.diss；gfsim log=/Users/blacktraker/Programming/gitproj/DV4/SuperNPUBench/outputs/fp4_main_table_refresh_20261012/logs/HIF4_M48_N7168_K96_tM128_tN256_tK128.gfsim.log</x:v>
      </x:c>
      <x:c r="AA56" s="946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6" s="946" t="str">
        <x:v>matmul_lowp; tM=128; tN=256; tK=128</x:v>
      </x:c>
      <x:c r="AC56" s="701" t="str">
        <x:v>否</x:v>
      </x:c>
      <x:c r="AD56" s="1263" t="str">
        <x:v>https://github.com/PTO-ISA/SuperNPUBench/blob/main/benchmark/one-level-arch/kernels/basic_op/matmul/matmul_shared_lowp.hpp#L20</x:v>
      </x:c>
    </x:row>
    <x:row r="57" ht="31.5" customHeight="1">
      <x:c r="A57" s="979" t="str">
        <x:v>matmul (ubm)</x:v>
      </x:c>
      <x:c r="B57" s="979" t="str">
        <x:v>HIF4</x:v>
      </x:c>
      <x:c r="C57" s="986" t="n">
        <x:v>256</x:v>
      </x:c>
      <x:c r="D57" s="986" t="n">
        <x:v>4096</x:v>
      </x:c>
      <x:c r="E57" s="986" t="n">
        <x:v>1280</x:v>
      </x:c>
      <x:c r="F57" s="979" t="str">
        <x:v>[256,1280,4096]</x:v>
      </x:c>
      <x:c r="G57" s="979" t="str">
        <x:v>B-major</x:v>
      </x:c>
      <x:c r="H57" s="979" t="str">
        <x:v>matmul_lowp</x:v>
      </x:c>
      <x:c r="I57" s="986" t="n">
        <x:v>128</x:v>
      </x:c>
      <x:c r="J57" s="986" t="n">
        <x:v>128</x:v>
      </x:c>
      <x:c r="K57" s="986" t="n">
        <x:v>128</x:v>
      </x:c>
      <x:c r="L57" s="1013" t="n">
        <x:v>16</x:v>
      </x:c>
      <x:c r="M57" s="1013" t="n">
        <x:v>16</x:v>
      </x:c>
      <x:c r="N57" s="1013" t="n">
        <x:v>64</x:v>
      </x:c>
      <x:c r="O57" s="986" t="n">
        <x:v>374150</x:v>
      </x:c>
      <x:c r="P57" s="1014" t="n">
        <x:v>233.84375</x:v>
      </x:c>
      <x:c r="Q57" s="986" t="n">
        <x:v>32768</x:v>
      </x:c>
      <x:c r="R57" s="986" t="n">
        <x:v>40960</x:v>
      </x:c>
      <x:c r="S57" s="1015" t="n">
        <x:v>0.10947480956835494</x:v>
      </x:c>
      <x:c r="T57" s="1013" t="n">
        <x:v>1024</x:v>
      </x:c>
      <x:c r="U57" s="1013" t="n">
        <x:v>1024</x:v>
      </x:c>
      <x:c r="V57" s="1015" t="n">
        <x:v>0.125</x:v>
      </x:c>
      <x:c r="W57" s="709" t="str">
        <x:v>PASS</x:v>
      </x:c>
      <x:c r="X57" s="1024" t="str">
        <x:v>/Users/blacktraker/Programming/gitproj/DV4/SuperNPUBench/outputs/fp4_main_table_refresh_20261012/build/HIF4_M256_N4096_K1280_tM128_tN128_tK128/kernel/matmul/elf/kernel_matmul_matmul_lowp_HIF4_B1_M256_N4096_K1280_tM128_tN128_tK128.elf</x:v>
      </x:c>
      <x:c r="Y57" s="1024" t="str">
        <x:v>/Users/blacktraker/Programming/gitproj/DV4/SuperNPUBench/outputs/fp4_main_table_refresh_20261012/logs/HIF4_M256_N4096_K1280_tM128_tN128_tK128.gfsim.log</x:v>
      </x:c>
      <x:c r="Z57" s="1024" t="str">
        <x:v>PASS；更新编译器/模型实测；MFU=10.95%；model=929fb91c；compiler=e6a31efb；ELF=/Users/blacktraker/Programming/gitproj/DV4/SuperNPUBench/outputs/fp4_main_table_refresh_20261012/build/HIF4_M256_N4096_K1280_tM128_tN128_tK128/kernel/matmul/elf/kernel_matmul_matmul_lowp_HIF4_B1_M256_N4096_K1280_tM128_tN128_tK128.elf；反汇编=/Users/blacktraker/Programming/gitproj/DV4/SuperNPUBench/outputs/fp4_main_table_refresh_20261012/build/HIF4_M256_N4096_K1280_tM128_tN128_tK128/kernel/matmul/elf/kernel_matmul_matmul_lowp_HIF4_B1_M256_N4096_K1280_tM128_tN128_tK128.elf.diss；gfsim log=/Users/blacktraker/Programming/gitproj/DV4/SuperNPUBench/outputs/fp4_main_table_refresh_20261012/logs/HIF4_M256_N4096_K1280_tM128_tN128_tK128.gfsim.log</x:v>
      </x:c>
      <x:c r="AA57" s="1024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7" s="1024" t="str">
        <x:v>matmul_lowp; tM=128; tN=128; tK=128</x:v>
      </x:c>
      <x:c r="AC57" s="709" t="str">
        <x:v>否</x:v>
      </x:c>
      <x:c r="AD57" s="1263" t="str">
        <x:v>https://github.com/PTO-ISA/SuperNPUBench/blob/main/benchmark/one-level-arch/kernels/basic_op/matmul/matmul_shared_lowp.hpp#L20</x:v>
      </x:c>
    </x:row>
    <x:row r="58" ht="31.5" customHeight="1">
      <x:c r="A58" s="979" t="str">
        <x:v>matmul (ubm)</x:v>
      </x:c>
      <x:c r="B58" s="979" t="str">
        <x:v>HIF4</x:v>
      </x:c>
      <x:c r="C58" s="986" t="n">
        <x:v>256</x:v>
      </x:c>
      <x:c r="D58" s="986" t="n">
        <x:v>4096</x:v>
      </x:c>
      <x:c r="E58" s="986" t="n">
        <x:v>1280</x:v>
      </x:c>
      <x:c r="F58" s="979" t="str">
        <x:v>[256,1280,4096]</x:v>
      </x:c>
      <x:c r="G58" s="979" t="str">
        <x:v>B-major</x:v>
      </x:c>
      <x:c r="H58" s="979" t="str">
        <x:v>matmul_lowp</x:v>
      </x:c>
      <x:c r="I58" s="986" t="n">
        <x:v>128</x:v>
      </x:c>
      <x:c r="J58" s="986" t="n">
        <x:v>128</x:v>
      </x:c>
      <x:c r="K58" s="986" t="n">
        <x:v>256</x:v>
      </x:c>
      <x:c r="L58" s="1013" t="n">
        <x:v>32</x:v>
      </x:c>
      <x:c r="M58" s="1013" t="n">
        <x:v>32</x:v>
      </x:c>
      <x:c r="N58" s="1013" t="n">
        <x:v>96</x:v>
      </x:c>
      <x:c r="O58" s="998" t="n">
        <x:v>227480</x:v>
      </x:c>
      <x:c r="P58" s="999" t="n">
        <x:v>142.175</x:v>
      </x:c>
      <x:c r="Q58" s="998" t="n">
        <x:v>32768</x:v>
      </x:c>
      <x:c r="R58" s="998" t="n">
        <x:v>40960</x:v>
      </x:c>
      <x:c r="S58" s="1015" t="n">
        <x:v>0.18005978547564622</x:v>
      </x:c>
      <x:c r="T58" s="1013" t="n">
        <x:v>768</x:v>
      </x:c>
      <x:c r="U58" s="1013" t="n">
        <x:v>512</x:v>
      </x:c>
      <x:c r="V58" s="1015" t="n">
        <x:v>0.16666666666666666</x:v>
      </x:c>
      <x:c r="W58" s="709" t="str">
        <x:v>PASS</x:v>
      </x:c>
      <x:c r="X58" s="1024" t="str">
        <x:v>/Users/blacktraker/Programming/gitproj/DV4/SuperNPUBench/outputs/fp4_main_table_refresh_20261012/build/HIF4_M256_N4096_K1280_tM128_tN128_tK256/kernel/matmul/elf/kernel_matmul_matmul_lowp_HIF4_B1_M256_N4096_K1280_tM128_tN128_tK256.elf</x:v>
      </x:c>
      <x:c r="Y58" s="1024" t="str">
        <x:v>/Users/blacktraker/Programming/gitproj/DV4/SuperNPUBench/outputs/fp4_main_table_refresh_20261012/logs/HIF4_M256_N4096_K1280_tM128_tN128_tK256.gfsim.log</x:v>
      </x:c>
      <x:c r="Z58" s="1024" t="str">
        <x:v>PASS；更新编译器/模型实测；MFU=18.01%；model=929fb91c；compiler=e6a31efb；ELF=/Users/blacktraker/Programming/gitproj/DV4/SuperNPUBench/outputs/fp4_main_table_refresh_20261012/build/HIF4_M256_N4096_K1280_tM128_tN128_tK256/kernel/matmul/elf/kernel_matmul_matmul_lowp_HIF4_B1_M256_N4096_K1280_tM128_tN128_tK256.elf；反汇编=/Users/blacktraker/Programming/gitproj/DV4/SuperNPUBench/outputs/fp4_main_table_refresh_20261012/build/HIF4_M256_N4096_K1280_tM128_tN128_tK256/kernel/matmul/elf/kernel_matmul_matmul_lowp_HIF4_B1_M256_N4096_K1280_tM128_tN128_tK256.elf.diss；gfsim log=/Users/blacktraker/Programming/gitproj/DV4/SuperNPUBench/outputs/fp4_main_table_refresh_20261012/logs/HIF4_M256_N4096_K1280_tM128_tN128_tK256.gfsim.log</x:v>
      </x:c>
      <x:c r="AA58" s="1024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8" s="1024" t="str">
        <x:v>matmul_lowp; tM=128; tN=128; tK=256</x:v>
      </x:c>
      <x:c r="AC58" s="973" t="str">
        <x:v>否</x:v>
      </x:c>
      <x:c r="AD58" s="1263" t="str">
        <x:v>https://github.com/PTO-ISA/SuperNPUBench/blob/main/benchmark/one-level-arch/kernels/basic_op/matmul/matmul_shared_lowp.hpp#L20</x:v>
      </x:c>
    </x:row>
    <x:row r="59" ht="31.5" customHeight="1">
      <x:c r="A59" s="979" t="str">
        <x:v>matmul (ubm)</x:v>
      </x:c>
      <x:c r="B59" s="979" t="str">
        <x:v>HIF4</x:v>
      </x:c>
      <x:c r="C59" s="986" t="n">
        <x:v>256</x:v>
      </x:c>
      <x:c r="D59" s="986" t="n">
        <x:v>4096</x:v>
      </x:c>
      <x:c r="E59" s="986" t="n">
        <x:v>1280</x:v>
      </x:c>
      <x:c r="F59" s="979" t="str">
        <x:v>[256,1280,4096]</x:v>
      </x:c>
      <x:c r="G59" s="979" t="str">
        <x:v>B-major</x:v>
      </x:c>
      <x:c r="H59" s="979" t="str">
        <x:v>matmul_lowp</x:v>
      </x:c>
      <x:c r="I59" s="986" t="n">
        <x:v>128</x:v>
      </x:c>
      <x:c r="J59" s="986" t="n">
        <x:v>256</x:v>
      </x:c>
      <x:c r="K59" s="986" t="n">
        <x:v>128</x:v>
      </x:c>
      <x:c r="L59" s="1013" t="n">
        <x:v>16</x:v>
      </x:c>
      <x:c r="M59" s="1013" t="n">
        <x:v>32</x:v>
      </x:c>
      <x:c r="N59" s="1013" t="n">
        <x:v>96</x:v>
      </x:c>
      <x:c r="O59" s="986" t="n">
        <x:v>286131</x:v>
      </x:c>
      <x:c r="P59" s="1014" t="n">
        <x:v>178.831875</x:v>
      </x:c>
      <x:c r="Q59" s="986" t="n">
        <x:v>32768</x:v>
      </x:c>
      <x:c r="R59" s="986" t="n">
        <x:v>40960</x:v>
      </x:c>
      <x:c r="S59" s="1015" t="n">
        <x:v>0.14315121395444744</x:v>
      </x:c>
      <x:c r="T59" s="1013" t="n">
        <x:v>768</x:v>
      </x:c>
      <x:c r="U59" s="1013" t="n">
        <x:v>1024</x:v>
      </x:c>
      <x:c r="V59" s="1015" t="n">
        <x:v>0.16666666666666666</x:v>
      </x:c>
      <x:c r="W59" s="709" t="str">
        <x:v>PASS</x:v>
      </x:c>
      <x:c r="X59" s="1024" t="str">
        <x:v>/Users/blacktraker/Programming/gitproj/DV4/SuperNPUBench/outputs/fp4_main_table_refresh_20261012/build/HIF4_M256_N4096_K1280_tM128_tN256_tK128/kernel/matmul/elf/kernel_matmul_matmul_lowp_HIF4_B1_M256_N4096_K1280_tM128_tN256_tK128.elf</x:v>
      </x:c>
      <x:c r="Y59" s="1024" t="str">
        <x:v>/Users/blacktraker/Programming/gitproj/DV4/SuperNPUBench/outputs/fp4_main_table_refresh_20261012/logs/HIF4_M256_N4096_K1280_tM128_tN256_tK128.gfsim.log</x:v>
      </x:c>
      <x:c r="Z59" s="1024" t="str">
        <x:v>PASS；更新编译器/模型实测；MFU=14.32%；model=929fb91c；compiler=e6a31efb；ELF=/Users/blacktraker/Programming/gitproj/DV4/SuperNPUBench/outputs/fp4_main_table_refresh_20261012/build/HIF4_M256_N4096_K1280_tM128_tN256_tK128/kernel/matmul/elf/kernel_matmul_matmul_lowp_HIF4_B1_M256_N4096_K1280_tM128_tN256_tK128.elf；反汇编=/Users/blacktraker/Programming/gitproj/DV4/SuperNPUBench/outputs/fp4_main_table_refresh_20261012/build/HIF4_M256_N4096_K1280_tM128_tN256_tK128/kernel/matmul/elf/kernel_matmul_matmul_lowp_HIF4_B1_M256_N4096_K1280_tM128_tN256_tK128.elf.diss；gfsim log=/Users/blacktraker/Programming/gitproj/DV4/SuperNPUBench/outputs/fp4_main_table_refresh_20261012/logs/HIF4_M256_N4096_K1280_tM128_tN256_tK128.gfsim.log</x:v>
      </x:c>
      <x:c r="AA59" s="1024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59" s="1024" t="str">
        <x:v>matmul_lowp; tM=128; tN=256; tK=128</x:v>
      </x:c>
      <x:c r="AC59" s="709" t="str">
        <x:v>否</x:v>
      </x:c>
      <x:c r="AD59" s="1263" t="str">
        <x:v>https://github.com/PTO-ISA/SuperNPUBench/blob/main/benchmark/one-level-arch/kernels/basic_op/matmul/matmul_shared_lowp.hpp#L20</x:v>
      </x:c>
    </x:row>
    <x:row r="60" ht="31.5" customHeight="1">
      <x:c r="A60" s="980" t="str">
        <x:v>matmul (ubm)</x:v>
      </x:c>
      <x:c r="B60" s="980" t="str">
        <x:v>HIF4</x:v>
      </x:c>
      <x:c r="C60" s="987" t="n">
        <x:v>256</x:v>
      </x:c>
      <x:c r="D60" s="987" t="n">
        <x:v>4096</x:v>
      </x:c>
      <x:c r="E60" s="987" t="n">
        <x:v>1280</x:v>
      </x:c>
      <x:c r="F60" s="980" t="str">
        <x:v>[256,1280,4096]</x:v>
      </x:c>
      <x:c r="G60" s="980" t="str">
        <x:v>B-major</x:v>
      </x:c>
      <x:c r="H60" s="980" t="str">
        <x:v>matmul_lowp</x:v>
      </x:c>
      <x:c r="I60" s="1016" t="n">
        <x:v>128</x:v>
      </x:c>
      <x:c r="J60" s="1016" t="n">
        <x:v>256</x:v>
      </x:c>
      <x:c r="K60" s="1016" t="n">
        <x:v>256</x:v>
      </x:c>
      <x:c r="L60" s="1017" t="n">
        <x:v>32</x:v>
      </x:c>
      <x:c r="M60" s="1017" t="n">
        <x:v>64</x:v>
      </x:c>
      <x:c r="N60" s="1017" t="n">
        <x:v>144</x:v>
      </x:c>
      <x:c r="O60" s="987" t="n">
        <x:v>175602</x:v>
      </x:c>
      <x:c r="P60" s="1018" t="n">
        <x:v>109.75125</x:v>
      </x:c>
      <x:c r="Q60" s="987" t="n">
        <x:v>32768</x:v>
      </x:c>
      <x:c r="R60" s="987" t="n">
        <x:v>40960</x:v>
      </x:c>
      <x:c r="S60" s="1000" t="n">
        <x:v>0.23325474652908282</x:v>
      </x:c>
      <x:c r="T60" s="1017" t="n">
        <x:v>576</x:v>
      </x:c>
      <x:c r="U60" s="1017" t="n">
        <x:v>512</x:v>
      </x:c>
      <x:c r="V60" s="1019" t="n">
        <x:v>0.2222222222222222</x:v>
      </x:c>
      <x:c r="W60" s="727" t="str">
        <x:v>PASS</x:v>
      </x:c>
      <x:c r="X60" s="1025" t="str">
        <x:v>/Users/blacktraker/Programming/gitproj/DV4/SuperNPUBench/outputs/fp4_main_table_refresh_20261012/build/HIF4_M256_N4096_K1280_tM128_tN256_tK256/kernel/matmul/elf/kernel_matmul_matmul_lowp_HIF4_B1_M256_N4096_K1280_tM128_tN256_tK256.elf</x:v>
      </x:c>
      <x:c r="Y60" s="1025" t="str">
        <x:v>/Users/blacktraker/Programming/gitproj/DV4/SuperNPUBench/outputs/fp4_main_table_refresh_20261012/logs/HIF4_M256_N4096_K1280_tM128_tN256_tK256.gfsim.log</x:v>
      </x:c>
      <x:c r="Z60" s="1025" t="str">
        <x:v>PASS；更新编译器/模型实测；MFU=23.33%；model=929fb91c；compiler=e6a31efb；ELF=/Users/blacktraker/Programming/gitproj/DV4/SuperNPUBench/outputs/fp4_main_table_refresh_20261012/build/HIF4_M256_N4096_K1280_tM128_tN256_tK256/kernel/matmul/elf/kernel_matmul_matmul_lowp_HIF4_B1_M256_N4096_K1280_tM128_tN256_tK256.elf；反汇编=/Users/blacktraker/Programming/gitproj/DV4/SuperNPUBench/outputs/fp4_main_table_refresh_20261012/build/HIF4_M256_N4096_K1280_tM128_tN256_tK256/kernel/matmul/elf/kernel_matmul_matmul_lowp_HIF4_B1_M256_N4096_K1280_tM128_tN256_tK256.elf.diss；gfsim log=/Users/blacktraker/Programming/gitproj/DV4/SuperNPUBench/outputs/fp4_main_table_refresh_20261012/logs/HIF4_M256_N4096_K1280_tM128_tN256_tK256.gfsim.log</x:v>
      </x:c>
      <x:c r="AA60" s="1025" t="str">
        <x:v>cd /Users/blacktraker/Programming/gitproj/DV4/SuperScalarModel-main
./bin/gfsim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60" s="1025" t="str">
        <x:v>matmul_lowp; tM=128; tN=256; tK=256</x:v>
      </x:c>
      <x:c r="AC60" s="727" t="str">
        <x:v>否</x:v>
      </x:c>
      <x:c r="AD60" s="1263" t="str">
        <x:v>https://github.com/PTO-ISA/SuperNPUBench/blob/main/benchmark/one-level-arch/kernels/basic_op/matmul/matmul_shared_lowp.hpp#L20</x:v>
      </x:c>
    </x:row>
    <x:row r="61" ht="31.5" customHeight="1">
      <x:c r="A61" s="974" t="str">
        <x:v>matmul (ubm)</x:v>
      </x:c>
      <x:c r="B61" s="974" t="str">
        <x:v>BF16</x:v>
      </x:c>
      <x:c r="C61" s="981" t="n">
        <x:v>256</x:v>
      </x:c>
      <x:c r="D61" s="981" t="n">
        <x:v>7168</x:v>
      </x:c>
      <x:c r="E61" s="981" t="n">
        <x:v>512</x:v>
      </x:c>
      <x:c r="F61" s="974" t="str">
        <x:v>[256,512,7168]</x:v>
      </x:c>
      <x:c r="G61" s="974" t="str">
        <x:v>B-major</x:v>
      </x:c>
      <x:c r="H61" s="974" t="str">
        <x:v>matmul_shared</x:v>
      </x:c>
      <x:c r="I61" s="988" t="n">
        <x:v>128</x:v>
      </x:c>
      <x:c r="J61" s="988" t="n">
        <x:v>256</x:v>
      </x:c>
      <x:c r="K61" s="988" t="n">
        <x:v>256</x:v>
      </x:c>
      <x:c r="L61" s="989" t="n">
        <x:v>64</x:v>
      </x:c>
      <x:c r="M61" s="989" t="n">
        <x:v>128</x:v>
      </x:c>
      <x:c r="N61" s="989" t="n">
        <x:v>192</x:v>
      </x:c>
      <x:c r="O61" s="990" t="n">
        <x:v>510257</x:v>
      </x:c>
      <x:c r="P61" s="991" t="n">
        <x:v>318.910625</x:v>
      </x:c>
      <x:c r="Q61" s="990" t="n">
        <x:v>4096</x:v>
      </x:c>
      <x:c r="R61" s="990" t="n">
        <x:v>229376</x:v>
      </x:c>
      <x:c r="S61" s="992" t="n">
        <x:v>0.4495303347136835</x:v>
      </x:c>
      <x:c r="T61" s="989" t="n">
        <x:v>96</x:v>
      </x:c>
      <x:c r="U61" s="989" t="n">
        <x:v>64</x:v>
      </x:c>
      <x:c r="V61" s="993" t="n">
        <x:v>1</x:v>
      </x:c>
      <x:c r="W61" s="665" t="str">
        <x:v>PASS</x:v>
      </x:c>
      <x:c r="X61" s="1023" t="str">
        <x:v>/Users/blacktraker/Programming/gitproj/DV4/SuperNPUBench/outputs/matmul_sheet_refresh_20261014/BF16_M256_N7168_K512_matmul_shared_tM128_tN256_tK256/build/kernel/matmul/elf/kernel_matmul_matmul_shared_B1_M256_N7168_K512_tM128_tN256_tK256_DType__bf16.elf</x:v>
      </x:c>
      <x:c r="Y61" s="1023" t="str">
        <x:v>/Users/blacktraker/Programming/gitproj/DV4/SuperNPUBench/outputs/matmul_sheet_refresh_20261014/BF16_M256_N7168_K512_matmul_shared_tM128_tN256_tK256/gfsim.log</x:v>
      </x:c>
      <x:c r="Z61" s="1023" t="str">
        <x:v>PASS；本轮源码编译并实测；BW113 / SoC mean330；model=ee6d1432b；compiler=e6a31ef；ELF / gfsim 日志见子表 X / Y。</x:v>
      </x:c>
      <x:c r="AA61" s="1028" t="str">
        <x:v>cd /Users/blacktraker/Programming/gitproj/DV4/SuperScalarModel-main
./bin/gfsim \
  -s softcore.multiThreadNum=4 \
  -s cube.enable_internal_acc=true \
  -s bctrl.vec_cell_sched_enable=true \
  -s core.soc_random=true \
  -s core.soc_bw_limit=113 \
  -s core.soc_lat_mean=330 \
  -s core.sharetreg_size_bytes=262144 \
  -s core.sharetreg_ssb_count=64 \
  -f "$ELF"</x:v>
      </x:c>
      <x:c r="AB61" s="1023" t="str">
        <x:v>matmul_shared; tM=128; tN=256; tK=256</x:v>
      </x:c>
      <x:c r="AC61" s="959" t="str">
        <x:v>否</x:v>
      </x:c>
      <x:c r="AD61" s="1263" t="str">
        <x:v>https://github.com/PTO-ISA/SuperNPUBench/blob/main/benchmark/one-level-arch/kernels/basic_op/matmul/matmul_shared.hpp#L24</x:v>
      </x:c>
    </x:row>
    <x:row r="62" ht="31.5" customHeight="1">
      <x:c r="A62" s="975" t="str">
        <x:v>matmul (ubm)</x:v>
      </x:c>
      <x:c r="B62" s="975" t="str">
        <x:v>BF16</x:v>
      </x:c>
      <x:c r="C62" s="982" t="n">
        <x:v>256</x:v>
      </x:c>
      <x:c r="D62" s="982" t="n">
        <x:v>7168</x:v>
      </x:c>
      <x:c r="E62" s="982" t="n">
        <x:v>512</x:v>
      </x:c>
      <x:c r="F62" s="975" t="str">
        <x:v>[256,512,7168]</x:v>
      </x:c>
      <x:c r="G62" s="975" t="str">
        <x:v>B-major</x:v>
      </x:c>
      <x:c r="H62" s="975" t="str">
        <x:v>matmul_reuseA</x:v>
      </x:c>
      <x:c r="I62" s="982" t="n">
        <x:v>128</x:v>
      </x:c>
      <x:c r="J62" s="982" t="n">
        <x:v>128</x:v>
      </x:c>
      <x:c r="K62" s="982" t="n">
        <x:v>256</x:v>
      </x:c>
      <x:c r="L62" s="994" t="n">
        <x:v>16</x:v>
      </x:c>
      <x:c r="M62" s="994" t="n">
        <x:v>64</x:v>
      </x:c>
      <x:c r="N62" s="994" t="n">
        <x:v>64</x:v>
      </x:c>
      <x:c r="O62" s="982" t="n">
        <x:v>233467</x:v>
      </x:c>
      <x:c r="P62" s="995" t="n">
        <x:v>145.916875</x:v>
      </x:c>
      <x:c r="Q62" s="982" t="n">
        <x:v>4096</x:v>
      </x:c>
      <x:c r="R62" s="982" t="n">
        <x:v>229376</x:v>
      </x:c>
      <x:c r="S62" s="996" t="n">
        <x:v>0.9824771809292105</x:v>
      </x:c>
      <x:c r="T62" s="994" t="n">
        <x:v>64</x:v>
      </x:c>
      <x:c r="U62" s="994" t="n">
        <x:v>64</x:v>
      </x:c>
      <x:c r="V62" s="996" t="n">
        <x:v>1</x:v>
      </x:c>
      <x:c r="W62" s="674" t="str">
        <x:v>PASS</x:v>
      </x:c>
      <x:c r="X62" s="942" t="str">
        <x:v>/Users/blacktraker/Programming/gitproj/DV4/SuperNPUBench/outputs/matmul_sheet_refresh_20261014/BF16_M256_N7168_K512_matmul_reuseA_tM128_tN128_tK256/build/kernel/matmul/elf/kernel_matmul_matmul_reuseA_B1_M256_N7168_K512_tM128_tN128_tK256_DType__bf16.elf</x:v>
      </x:c>
      <x:c r="Y62" s="942" t="str">
        <x:v>/Users/blacktraker/Programming/gitproj/DV4/SuperNPUBench/outputs/matmul_sheet_refresh_20261014/BF16_M256_N7168_K512_matmul_reuseA_tM128_tN128_tK256/gfsim.log</x:v>
      </x:c>
      <x:c r="Z62" s="942" t="str">
        <x:v>PASS；本轮源码编译并实测；BW113 / SoC mean330；model=ee6d1432b；compiler=e6a31ef；ELF / gfsim 日志见子表 X / Y。</x:v>
      </x:c>
      <x:c r="AA62" s="1028"/>
      <x:c r="AB62" s="942" t="str">
        <x:v>matmul_reuseA; tM=128; tN=128; tK=256</x:v>
      </x:c>
      <x:c r="AC62" s="674" t="str">
        <x:v>否</x:v>
      </x:c>
      <x:c r="AD62" s="1263" t="str">
        <x:v>https://github.com/PTO-ISA/SuperNPUBench/blob/main/benchmark/one-level-arch/kernels/basic_op/matmul/matmul_reuseA.hpp#L281</x:v>
      </x:c>
    </x:row>
    <x:row r="63" ht="31.5" customHeight="1">
      <x:c r="A63" s="975" t="str">
        <x:v>matmul (ubm)</x:v>
      </x:c>
      <x:c r="B63" s="975" t="str">
        <x:v>BF16</x:v>
      </x:c>
      <x:c r="C63" s="982" t="n">
        <x:v>256</x:v>
      </x:c>
      <x:c r="D63" s="982" t="n">
        <x:v>7168</x:v>
      </x:c>
      <x:c r="E63" s="982" t="n">
        <x:v>512</x:v>
      </x:c>
      <x:c r="F63" s="975" t="str">
        <x:v>[256,512,7168]</x:v>
      </x:c>
      <x:c r="G63" s="975" t="str">
        <x:v>B-major</x:v>
      </x:c>
      <x:c r="H63" s="975" t="str">
        <x:v>matmul_reuseB</x:v>
      </x:c>
      <x:c r="I63" s="997" t="n">
        <x:v>128</x:v>
      </x:c>
      <x:c r="J63" s="997" t="n">
        <x:v>128</x:v>
      </x:c>
      <x:c r="K63" s="997" t="n">
        <x:v>256</x:v>
      </x:c>
      <x:c r="L63" s="994" t="n">
        <x:v>16</x:v>
      </x:c>
      <x:c r="M63" s="994" t="n">
        <x:v>64</x:v>
      </x:c>
      <x:c r="N63" s="994" t="n">
        <x:v>64</x:v>
      </x:c>
      <x:c r="O63" s="998" t="n">
        <x:v>232527</x:v>
      </x:c>
      <x:c r="P63" s="999" t="n">
        <x:v>145.329375</x:v>
      </x:c>
      <x:c r="Q63" s="998" t="n">
        <x:v>4096</x:v>
      </x:c>
      <x:c r="R63" s="998" t="n">
        <x:v>229376</x:v>
      </x:c>
      <x:c r="S63" s="1000" t="n">
        <x:v>0.9864488855057693</x:v>
      </x:c>
      <x:c r="T63" s="994" t="n">
        <x:v>64</x:v>
      </x:c>
      <x:c r="U63" s="994" t="n">
        <x:v>64</x:v>
      </x:c>
      <x:c r="V63" s="996" t="n">
        <x:v>1</x:v>
      </x:c>
      <x:c r="W63" s="674" t="str">
        <x:v>PASS</x:v>
      </x:c>
      <x:c r="X63" s="942" t="str">
        <x:v>/Users/blacktraker/Programming/gitproj/DV4/SuperNPUBench/outputs/matmul_sheet_refresh_20261014/BF16_M256_N7168_K512_matmul_reuseB_tM128_tN128_tK256/build/kernel/matmul/elf/kernel_matmul_matmul_reuseB_B1_M256_N7168_K512_tM128_tN128_tK256_DType__bf16.elf</x:v>
      </x:c>
      <x:c r="Y63" s="942" t="str">
        <x:v>/Users/blacktraker/Programming/gitproj/DV4/SuperNPUBench/outputs/matmul_sheet_refresh_20261014/BF16_M256_N7168_K512_matmul_reuseB_tM128_tN128_tK256/gfsim.log</x:v>
      </x:c>
      <x:c r="Z63" s="942" t="str">
        <x:v>PASS；本轮源码编译并实测；BW113 / SoC mean330；model=ee6d1432b；compiler=e6a31ef；ELF / gfsim 日志见子表 X / Y。</x:v>
      </x:c>
      <x:c r="AA63" s="1028"/>
      <x:c r="AB63" s="942" t="str">
        <x:v>matmul_reuseB; tM=128; tN=128; tK=256</x:v>
      </x:c>
      <x:c r="AC63" s="964" t="str">
        <x:v>否</x:v>
      </x:c>
      <x:c r="AD63" s="1263" t="str">
        <x:v>https://github.com/PTO-ISA/SuperNPUBench/blob/main/benchmark/one-level-arch/kernels/basic_op/matmul/matmul_reuseB.hpp#L308</x:v>
      </x:c>
    </x:row>
    <x:row r="64" ht="31.5" customHeight="1">
      <x:c r="A64" s="975" t="str">
        <x:v>matmul (ubm)</x:v>
      </x:c>
      <x:c r="B64" s="975" t="str">
        <x:v>BF16</x:v>
      </x:c>
      <x:c r="C64" s="982" t="n">
        <x:v>256</x:v>
      </x:c>
      <x:c r="D64" s="982" t="n">
        <x:v>7168</x:v>
      </x:c>
      <x:c r="E64" s="982" t="n">
        <x:v>512</x:v>
      </x:c>
      <x:c r="F64" s="975" t="str">
        <x:v>[256,512,7168]</x:v>
      </x:c>
      <x:c r="G64" s="975" t="str">
        <x:v>B-major</x:v>
      </x:c>
      <x:c r="H64" s="975" t="str">
        <x:v>matmul_reuseB</x:v>
      </x:c>
      <x:c r="I64" s="982" t="n">
        <x:v>128</x:v>
      </x:c>
      <x:c r="J64" s="982" t="n">
        <x:v>256</x:v>
      </x:c>
      <x:c r="K64" s="982" t="n">
        <x:v>128</x:v>
      </x:c>
      <x:c r="L64" s="994" t="n">
        <x:v>8</x:v>
      </x:c>
      <x:c r="M64" s="994" t="n">
        <x:v>64</x:v>
      </x:c>
      <x:c r="N64" s="994" t="n">
        <x:v>64</x:v>
      </x:c>
      <x:c r="O64" s="982" t="n">
        <x:v>233030</x:v>
      </x:c>
      <x:c r="P64" s="995" t="n">
        <x:v>145.64375</x:v>
      </x:c>
      <x:c r="Q64" s="982" t="n">
        <x:v>4096</x:v>
      </x:c>
      <x:c r="R64" s="982" t="n">
        <x:v>229376</x:v>
      </x:c>
      <x:c r="S64" s="996" t="n">
        <x:v>0.9843196155001502</x:v>
      </x:c>
      <x:c r="T64" s="994" t="n">
        <x:v>64</x:v>
      </x:c>
      <x:c r="U64" s="994" t="n">
        <x:v>128</x:v>
      </x:c>
      <x:c r="V64" s="996" t="n">
        <x:v>1</x:v>
      </x:c>
      <x:c r="W64" s="674" t="str">
        <x:v>PASS</x:v>
      </x:c>
      <x:c r="X64" s="942" t="str">
        <x:v>/Users/blacktraker/Programming/gitproj/DV4/SuperNPUBench/outputs/matmul_sheet_refresh_20261014/BF16_M256_N7168_K512_matmul_reuseB_tM128_tN256_tK128/build/kernel/matmul/elf/kernel_matmul_matmul_reuseB_B1_M256_N7168_K512_tM128_tN256_tK128_DType__bf16.elf</x:v>
      </x:c>
      <x:c r="Y64" s="942" t="str">
        <x:v>/Users/blacktraker/Programming/gitproj/DV4/SuperNPUBench/outputs/matmul_sheet_refresh_20261014/BF16_M256_N7168_K512_matmul_reuseB_tM128_tN256_tK128/gfsim.log</x:v>
      </x:c>
      <x:c r="Z64" s="942" t="str">
        <x:v>PASS；本轮源码编译并实测；BW113 / SoC mean330；model=ee6d1432b；compiler=e6a31ef；ELF / gfsim 日志见子表 X / Y。</x:v>
      </x:c>
      <x:c r="AA64" s="1028"/>
      <x:c r="AB64" s="942" t="str">
        <x:v>matmul_reuseB; tM=128; tN=256; tK=128</x:v>
      </x:c>
      <x:c r="AC64" s="674" t="str">
        <x:v>否</x:v>
      </x:c>
      <x:c r="AD64" s="1263" t="str">
        <x:v>https://github.com/PTO-ISA/SuperNPUBench/blob/main/benchmark/one-level-arch/kernels/basic_op/matmul/matmul_reuseB.hpp#L308</x:v>
      </x:c>
    </x:row>
    <x:row r="65" ht="31.5" customHeight="1">
      <x:c r="A65" s="975" t="str">
        <x:v>matmul (ubm)</x:v>
      </x:c>
      <x:c r="B65" s="975" t="str">
        <x:v>BF16</x:v>
      </x:c>
      <x:c r="C65" s="982" t="n">
        <x:v>256</x:v>
      </x:c>
      <x:c r="D65" s="982" t="n">
        <x:v>7168</x:v>
      </x:c>
      <x:c r="E65" s="982" t="n">
        <x:v>512</x:v>
      </x:c>
      <x:c r="F65" s="975" t="str">
        <x:v>[256,512,7168]</x:v>
      </x:c>
      <x:c r="G65" s="975" t="str">
        <x:v>B-major</x:v>
      </x:c>
      <x:c r="H65" s="975" t="str">
        <x:v>matmul_reuseB</x:v>
      </x:c>
      <x:c r="I65" s="982" t="n">
        <x:v>128</x:v>
      </x:c>
      <x:c r="J65" s="982" t="n">
        <x:v>256</x:v>
      </x:c>
      <x:c r="K65" s="982" t="n">
        <x:v>256</x:v>
      </x:c>
      <x:c r="L65" s="994" t="n">
        <x:v>16</x:v>
      </x:c>
      <x:c r="M65" s="994" t="n">
        <x:v>128</x:v>
      </x:c>
      <x:c r="N65" s="994" t="n">
        <x:v>128</x:v>
      </x:c>
      <x:c r="O65" s="982" t="n">
        <x:v>233665</x:v>
      </x:c>
      <x:c r="P65" s="995" t="n">
        <x:v>146.040625</x:v>
      </x:c>
      <x:c r="Q65" s="982" t="n">
        <x:v>4096</x:v>
      </x:c>
      <x:c r="R65" s="982" t="n">
        <x:v>229376</x:v>
      </x:c>
      <x:c r="S65" s="996" t="n">
        <x:v>0.9816446622301158</x:v>
      </x:c>
      <x:c r="T65" s="994" t="n">
        <x:v>64</x:v>
      </x:c>
      <x:c r="U65" s="994" t="n">
        <x:v>64</x:v>
      </x:c>
      <x:c r="V65" s="996" t="n">
        <x:v>1</x:v>
      </x:c>
      <x:c r="W65" s="674" t="str">
        <x:v>PASS</x:v>
      </x:c>
      <x:c r="X65" s="942" t="str">
        <x:v>/Users/blacktraker/Programming/gitproj/DV4/SuperNPUBench/outputs/matmul_sheet_refresh_20261014/BF16_M256_N7168_K512_matmul_reuseB_tM128_tN256_tK256/build/kernel/matmul/elf/kernel_matmul_matmul_reuseB_B1_M256_N7168_K512_tM128_tN256_tK256_DType__bf16.elf</x:v>
      </x:c>
      <x:c r="Y65" s="942" t="str">
        <x:v>/Users/blacktraker/Programming/gitproj/DV4/SuperNPUBench/outputs/matmul_sheet_refresh_20261014/BF16_M256_N7168_K512_matmul_reuseB_tM128_tN256_tK256/gfsim.log</x:v>
      </x:c>
      <x:c r="Z65" s="942" t="str">
        <x:v>PASS；本轮源码编译并实测；BW113 / SoC mean330；model=ee6d1432b；compiler=e6a31ef；ELF / gfsim 日志见子表 X / Y。</x:v>
      </x:c>
      <x:c r="AA65" s="1028"/>
      <x:c r="AB65" s="942" t="str">
        <x:v>matmul_reuseB; tM=128; tN=256; tK=256</x:v>
      </x:c>
      <x:c r="AC65" s="674" t="str">
        <x:v>否</x:v>
      </x:c>
      <x:c r="AD65" s="1263" t="str">
        <x:v>https://github.com/PTO-ISA/SuperNPUBench/blob/main/benchmark/one-level-arch/kernels/basic_op/matmul/matmul_reuseB.hpp#L308</x:v>
      </x:c>
    </x:row>
    <x:row r="66" ht="31.5" customHeight="1">
      <x:c r="A66" s="976" t="str">
        <x:v>matmul (ubm)</x:v>
      </x:c>
      <x:c r="B66" s="976" t="str">
        <x:v>BF16</x:v>
      </x:c>
      <x:c r="C66" s="983" t="n">
        <x:v>256</x:v>
      </x:c>
      <x:c r="D66" s="983" t="n">
        <x:v>32767</x:v>
      </x:c>
      <x:c r="E66" s="983" t="n">
        <x:v>128</x:v>
      </x:c>
      <x:c r="F66" s="976" t="str">
        <x:v>[256,128,32767]</x:v>
      </x:c>
      <x:c r="G66" s="976" t="str">
        <x:v>B-major</x:v>
      </x:c>
      <x:c r="H66" s="976" t="str">
        <x:v>matmul_shared</x:v>
      </x:c>
      <x:c r="I66" s="1004" t="n">
        <x:v>128</x:v>
      </x:c>
      <x:c r="J66" s="1004" t="n">
        <x:v>256</x:v>
      </x:c>
      <x:c r="K66" s="1004" t="n">
        <x:v>128</x:v>
      </x:c>
      <x:c r="L66" s="1001" t="n">
        <x:v>32</x:v>
      </x:c>
      <x:c r="M66" s="1001" t="n">
        <x:v>64</x:v>
      </x:c>
      <x:c r="N66" s="1001" t="n">
        <x:v>96</x:v>
      </x:c>
      <x:c r="O66" s="998" t="n">
        <x:v>508075</x:v>
      </x:c>
      <x:c r="P66" s="999" t="n">
        <x:v>317.546875</x:v>
      </x:c>
      <x:c r="Q66" s="998" t="n">
        <x:v>4096</x:v>
      </x:c>
      <x:c r="R66" s="998" t="n">
        <x:v>262136</x:v>
      </x:c>
      <x:c r="S66" s="1000" t="n">
        <x:v>0.5159395758500221</x:v>
      </x:c>
      <x:c r="T66" s="1001" t="n">
        <x:v>96</x:v>
      </x:c>
      <x:c r="U66" s="1001" t="n">
        <x:v>128</x:v>
      </x:c>
      <x:c r="V66" s="1003" t="n">
        <x:v>1</x:v>
      </x:c>
      <x:c r="W66" s="685" t="str">
        <x:v>PASS</x:v>
      </x:c>
      <x:c r="X66" s="940" t="str">
        <x:v>/Users/blacktraker/Programming/gitproj/DV4/SuperNPUBench/outputs/matmul_sheet_refresh_20261014/BF16_M256_N32767_K128_matmul_shared_tM128_tN256_tK128/build/kernel/matmul/elf/kernel_matmul_matmul_shared_B1_M256_N32767_K128_tM128_tN256_tK128_DType__bf16.elf</x:v>
      </x:c>
      <x:c r="Y66" s="940" t="str">
        <x:v>/Users/blacktraker/Programming/gitproj/DV4/SuperNPUBench/outputs/matmul_sheet_refresh_20261014/BF16_M256_N32767_K128_matmul_shared_tM128_tN256_tK128/gfsim.log</x:v>
      </x:c>
      <x:c r="Z66" s="940" t="str">
        <x:v>PASS；本轮源码编译并实测；BW113 / SoC mean330；model=ee6d1432b；compiler=e6a31ef；valid_row/valid_col 尾块；ELF / gfsim 日志见子表 X / Y。</x:v>
      </x:c>
      <x:c r="AA66" s="1028"/>
      <x:c r="AB66" s="940" t="str">
        <x:v>matmul_shared; tM=128; tN=256; tK=128; tail=valid_row/valid_col</x:v>
      </x:c>
      <x:c r="AC66" s="966" t="str">
        <x:v>否</x:v>
      </x:c>
      <x:c r="AD66" s="1263" t="str">
        <x:v>https://github.com/PTO-ISA/SuperNPUBench/blob/main/benchmark/one-level-arch/kernels/basic_op/matmul/matmul_shared.hpp#L24</x:v>
      </x:c>
    </x:row>
    <x:row r="67" ht="31.5" customHeight="1">
      <x:c r="A67" s="976" t="str">
        <x:v>matmul (ubm)</x:v>
      </x:c>
      <x:c r="B67" s="976" t="str">
        <x:v>BF16</x:v>
      </x:c>
      <x:c r="C67" s="983" t="n">
        <x:v>256</x:v>
      </x:c>
      <x:c r="D67" s="983" t="n">
        <x:v>32767</x:v>
      </x:c>
      <x:c r="E67" s="983" t="n">
        <x:v>128</x:v>
      </x:c>
      <x:c r="F67" s="976" t="str">
        <x:v>[256,128,32767]</x:v>
      </x:c>
      <x:c r="G67" s="976" t="str">
        <x:v>B-major</x:v>
      </x:c>
      <x:c r="H67" s="976" t="str">
        <x:v>matmul_reuseA</x:v>
      </x:c>
      <x:c r="I67" s="983" t="n">
        <x:v>128</x:v>
      </x:c>
      <x:c r="J67" s="983" t="n">
        <x:v>128</x:v>
      </x:c>
      <x:c r="K67" s="983" t="n">
        <x:v>64</x:v>
      </x:c>
      <x:c r="L67" s="1001" t="n">
        <x:v>4</x:v>
      </x:c>
      <x:c r="M67" s="1001" t="n">
        <x:v>16</x:v>
      </x:c>
      <x:c r="N67" s="1001" t="n">
        <x:v>16</x:v>
      </x:c>
      <x:c r="O67" s="983"/>
      <x:c r="P67" s="1002"/>
      <x:c r="Q67" s="983" t="n">
        <x:v>4096</x:v>
      </x:c>
      <x:c r="R67" s="983" t="n">
        <x:v>262136</x:v>
      </x:c>
      <x:c r="S67" s="1003"/>
      <x:c r="T67" s="1001" t="n">
        <x:v>64</x:v>
      </x:c>
      <x:c r="U67" s="1001" t="n">
        <x:v>256</x:v>
      </x:c>
      <x:c r="V67" s="1003" t="n">
        <x:v>1</x:v>
      </x:c>
      <x:c r="W67" s="685" t="str">
        <x:v>COMPILE_FAIL</x:v>
      </x:c>
      <x:c r="X67" s="940" t="str"/>
      <x:c r="Y67" s="940" t="str">
        <x:v>/Users/blacktraker/Programming/gitproj/DV4/SuperNPUBench/outputs/matmul_sheet_refresh_20261014/BF16_M256_N32767_K128_matmul_reuseA_tM128_tN128_tK64/build.log</x:v>
      </x:c>
      <x:c r="Z67" s="940" t="str">
        <x:v>COMPILE_FAIL；本轮源码；编译器 LinxV5TRegToOffset 断言；详情见日志；无有效 cycles/MFU。</x:v>
      </x:c>
      <x:c r="AA67" s="1028"/>
      <x:c r="AB67" s="940" t="str">
        <x:v>matmul_reuseA; tM=128; tN=128; tK=64; tail=valid_row/valid_col</x:v>
      </x:c>
      <x:c r="AC67" s="685" t="str">
        <x:v>否</x:v>
      </x:c>
      <x:c r="AD67" s="1263" t="str">
        <x:v>https://github.com/PTO-ISA/SuperNPUBench/blob/main/benchmark/one-level-arch/kernels/basic_op/matmul/matmul_reuseA.hpp#L281</x:v>
      </x:c>
    </x:row>
    <x:row r="68" ht="31.5" customHeight="1">
      <x:c r="A68" s="976" t="str">
        <x:v>matmul (ubm)</x:v>
      </x:c>
      <x:c r="B68" s="976" t="str">
        <x:v>BF16</x:v>
      </x:c>
      <x:c r="C68" s="983" t="n">
        <x:v>256</x:v>
      </x:c>
      <x:c r="D68" s="983" t="n">
        <x:v>32767</x:v>
      </x:c>
      <x:c r="E68" s="983" t="n">
        <x:v>128</x:v>
      </x:c>
      <x:c r="F68" s="976" t="str">
        <x:v>[256,128,32767]</x:v>
      </x:c>
      <x:c r="G68" s="976" t="str">
        <x:v>B-major</x:v>
      </x:c>
      <x:c r="H68" s="976" t="str">
        <x:v>matmul_reuseB</x:v>
      </x:c>
      <x:c r="I68" s="983" t="n">
        <x:v>128</x:v>
      </x:c>
      <x:c r="J68" s="983" t="n">
        <x:v>128</x:v>
      </x:c>
      <x:c r="K68" s="983" t="n">
        <x:v>64</x:v>
      </x:c>
      <x:c r="L68" s="1001" t="n">
        <x:v>4</x:v>
      </x:c>
      <x:c r="M68" s="1001" t="n">
        <x:v>16</x:v>
      </x:c>
      <x:c r="N68" s="1001" t="n">
        <x:v>16</x:v>
      </x:c>
      <x:c r="O68" s="983"/>
      <x:c r="P68" s="1002"/>
      <x:c r="Q68" s="983" t="n">
        <x:v>4096</x:v>
      </x:c>
      <x:c r="R68" s="983" t="n">
        <x:v>262136</x:v>
      </x:c>
      <x:c r="S68" s="1003"/>
      <x:c r="T68" s="1001" t="n">
        <x:v>64</x:v>
      </x:c>
      <x:c r="U68" s="1001" t="n">
        <x:v>256</x:v>
      </x:c>
      <x:c r="V68" s="1003" t="n">
        <x:v>1</x:v>
      </x:c>
      <x:c r="W68" s="685" t="str">
        <x:v>COMPILE_FAIL</x:v>
      </x:c>
      <x:c r="X68" s="940" t="str"/>
      <x:c r="Y68" s="940" t="str">
        <x:v>/Users/blacktraker/Programming/gitproj/DV4/SuperNPUBench/outputs/matmul_sheet_refresh_20261014/BF16_M256_N32767_K128_matmul_reuseB_tM128_tN128_tK64/build.log</x:v>
      </x:c>
      <x:c r="Z68" s="940" t="str">
        <x:v>COMPILE_FAIL；本轮源码；编译器 LinxV5TRegToOffset 断言；详情见日志；无有效 cycles/MFU。</x:v>
      </x:c>
      <x:c r="AA68" s="1028"/>
      <x:c r="AB68" s="940" t="str">
        <x:v>matmul_reuseB; tM=128; tN=128; tK=64; tail=valid_row/valid_col</x:v>
      </x:c>
      <x:c r="AC68" s="685" t="str">
        <x:v>否</x:v>
      </x:c>
      <x:c r="AD68" s="1263" t="str">
        <x:v>https://github.com/PTO-ISA/SuperNPUBench/blob/main/benchmark/one-level-arch/kernels/basic_op/matmul/matmul_reuseB.hpp#L308</x:v>
      </x:c>
    </x:row>
    <x:row r="69" ht="31.5" customHeight="1">
      <x:c r="A69" s="976" t="str">
        <x:v>matmul (ubm)</x:v>
      </x:c>
      <x:c r="B69" s="976" t="str">
        <x:v>BF16</x:v>
      </x:c>
      <x:c r="C69" s="983" t="n">
        <x:v>256</x:v>
      </x:c>
      <x:c r="D69" s="983" t="n">
        <x:v>32767</x:v>
      </x:c>
      <x:c r="E69" s="983" t="n">
        <x:v>128</x:v>
      </x:c>
      <x:c r="F69" s="976" t="str">
        <x:v>[256,128,32767]</x:v>
      </x:c>
      <x:c r="G69" s="976" t="str">
        <x:v>B-major</x:v>
      </x:c>
      <x:c r="H69" s="976" t="str">
        <x:v>matmul_reuseB</x:v>
      </x:c>
      <x:c r="I69" s="983" t="n">
        <x:v>128</x:v>
      </x:c>
      <x:c r="J69" s="983" t="n">
        <x:v>256</x:v>
      </x:c>
      <x:c r="K69" s="983" t="n">
        <x:v>64</x:v>
      </x:c>
      <x:c r="L69" s="1001" t="n">
        <x:v>4</x:v>
      </x:c>
      <x:c r="M69" s="1001" t="n">
        <x:v>32</x:v>
      </x:c>
      <x:c r="N69" s="1001" t="n">
        <x:v>32</x:v>
      </x:c>
      <x:c r="O69" s="983"/>
      <x:c r="P69" s="1002"/>
      <x:c r="Q69" s="983" t="n">
        <x:v>4096</x:v>
      </x:c>
      <x:c r="R69" s="983" t="n">
        <x:v>262136</x:v>
      </x:c>
      <x:c r="S69" s="1003"/>
      <x:c r="T69" s="1001" t="n">
        <x:v>64</x:v>
      </x:c>
      <x:c r="U69" s="1001" t="n">
        <x:v>256</x:v>
      </x:c>
      <x:c r="V69" s="1003" t="n">
        <x:v>1</x:v>
      </x:c>
      <x:c r="W69" s="685" t="str">
        <x:v>COMPILE_FAIL</x:v>
      </x:c>
      <x:c r="X69" s="940" t="str"/>
      <x:c r="Y69" s="940" t="str">
        <x:v>/Users/blacktraker/Programming/gitproj/DV4/SuperNPUBench/outputs/matmul_sheet_refresh_20261014/BF16_M256_N32767_K128_matmul_reuseB_tM128_tN256_tK64/build.log</x:v>
      </x:c>
      <x:c r="Z69" s="940" t="str">
        <x:v>COMPILE_FAIL；本轮源码；编译器 LinxV5TRegToOffset 断言；详情见日志；无有效 cycles/MFU。</x:v>
      </x:c>
      <x:c r="AA69" s="1028"/>
      <x:c r="AB69" s="940" t="str">
        <x:v>matmul_reuseB; tM=128; tN=256; tK=64; tail=valid_row/valid_col</x:v>
      </x:c>
      <x:c r="AC69" s="685" t="str">
        <x:v>否</x:v>
      </x:c>
      <x:c r="AD69" s="1263" t="str">
        <x:v>https://github.com/PTO-ISA/SuperNPUBench/blob/main/benchmark/one-level-arch/kernels/basic_op/matmul/matmul_reuseB.hpp#L308</x:v>
      </x:c>
    </x:row>
    <x:row r="70" ht="31.5" customHeight="1">
      <x:c r="A70" s="976" t="str">
        <x:v>matmul (ubm)</x:v>
      </x:c>
      <x:c r="B70" s="976" t="str">
        <x:v>BF16</x:v>
      </x:c>
      <x:c r="C70" s="983" t="n">
        <x:v>256</x:v>
      </x:c>
      <x:c r="D70" s="983" t="n">
        <x:v>32767</x:v>
      </x:c>
      <x:c r="E70" s="983" t="n">
        <x:v>128</x:v>
      </x:c>
      <x:c r="F70" s="976" t="str">
        <x:v>[256,128,32767]</x:v>
      </x:c>
      <x:c r="G70" s="976" t="str">
        <x:v>B-major</x:v>
      </x:c>
      <x:c r="H70" s="976" t="str">
        <x:v>matmul_reuseB</x:v>
      </x:c>
      <x:c r="I70" s="1004" t="n">
        <x:v>128</x:v>
      </x:c>
      <x:c r="J70" s="1004" t="n">
        <x:v>256</x:v>
      </x:c>
      <x:c r="K70" s="1004" t="n">
        <x:v>128</x:v>
      </x:c>
      <x:c r="L70" s="1001" t="n">
        <x:v>8</x:v>
      </x:c>
      <x:c r="M70" s="1001" t="n">
        <x:v>64</x:v>
      </x:c>
      <x:c r="N70" s="1001" t="n">
        <x:v>64</x:v>
      </x:c>
      <x:c r="O70" s="998" t="n">
        <x:v>373241</x:v>
      </x:c>
      <x:c r="P70" s="999" t="n">
        <x:v>233.275625</x:v>
      </x:c>
      <x:c r="Q70" s="998" t="n">
        <x:v>4096</x:v>
      </x:c>
      <x:c r="R70" s="998" t="n">
        <x:v>262136</x:v>
      </x:c>
      <x:c r="S70" s="1000" t="n">
        <x:v>0.7023236997007296</x:v>
      </x:c>
      <x:c r="T70" s="1001" t="n">
        <x:v>64</x:v>
      </x:c>
      <x:c r="U70" s="1001" t="n">
        <x:v>128</x:v>
      </x:c>
      <x:c r="V70" s="1003" t="n">
        <x:v>1</x:v>
      </x:c>
      <x:c r="W70" s="685" t="str">
        <x:v>PASS</x:v>
      </x:c>
      <x:c r="X70" s="940" t="str">
        <x:v>/Users/blacktraker/Programming/gitproj/DV4/SuperNPUBench/outputs/matmul_sheet_refresh_20261014/BF16_M256_N32767_K128_matmul_reuseB_tM128_tN256_tK128/build/kernel/matmul/elf/kernel_matmul_matmul_reuseB_B1_M256_N32767_K128_tM128_tN256_tK128_DType__bf16.elf</x:v>
      </x:c>
      <x:c r="Y70" s="940" t="str">
        <x:v>/Users/blacktraker/Programming/gitproj/DV4/SuperNPUBench/outputs/matmul_sheet_refresh_20261014/BF16_M256_N32767_K128_matmul_reuseB_tM128_tN256_tK128/gfsim.log</x:v>
      </x:c>
      <x:c r="Z70" s="940" t="str">
        <x:v>PASS；本轮源码编译并实测；BW113 / SoC mean330；model=ee6d1432b；compiler=e6a31ef；valid_row/valid_col 尾块；ELF / gfsim 日志见子表 X / Y。</x:v>
      </x:c>
      <x:c r="AA70" s="1028"/>
      <x:c r="AB70" s="940" t="str">
        <x:v>matmul_reuseB; tM=128; tN=256; tK=128; tail=valid_row/valid_col</x:v>
      </x:c>
      <x:c r="AC70" s="966" t="str">
        <x:v>否</x:v>
      </x:c>
      <x:c r="AD70" s="1263" t="str">
        <x:v>https://github.com/PTO-ISA/SuperNPUBench/blob/main/benchmark/one-level-arch/kernels/basic_op/matmul/matmul_reuseB.hpp#L308</x:v>
      </x:c>
    </x:row>
    <x:row r="71" ht="31.5" customHeight="1">
      <x:c r="A71" s="976" t="str">
        <x:v>matmul (ubm)</x:v>
      </x:c>
      <x:c r="B71" s="976" t="str">
        <x:v>BF16</x:v>
      </x:c>
      <x:c r="C71" s="983" t="n">
        <x:v>256</x:v>
      </x:c>
      <x:c r="D71" s="983" t="n">
        <x:v>32767</x:v>
      </x:c>
      <x:c r="E71" s="983" t="n">
        <x:v>128</x:v>
      </x:c>
      <x:c r="F71" s="976" t="str">
        <x:v>[256,128,32767]</x:v>
      </x:c>
      <x:c r="G71" s="976" t="str">
        <x:v>B-major</x:v>
      </x:c>
      <x:c r="H71" s="976" t="str">
        <x:v>matmul_reuseA</x:v>
      </x:c>
      <x:c r="I71" s="983" t="n">
        <x:v>128</x:v>
      </x:c>
      <x:c r="J71" s="983" t="n">
        <x:v>128</x:v>
      </x:c>
      <x:c r="K71" s="983" t="n">
        <x:v>128</x:v>
      </x:c>
      <x:c r="L71" s="1001" t="n">
        <x:v>8</x:v>
      </x:c>
      <x:c r="M71" s="1001" t="n">
        <x:v>32</x:v>
      </x:c>
      <x:c r="N71" s="1001" t="n">
        <x:v>32</x:v>
      </x:c>
      <x:c r="O71" s="983" t="n">
        <x:v>430247</x:v>
      </x:c>
      <x:c r="P71" s="1002" t="n">
        <x:v>268.904375</x:v>
      </x:c>
      <x:c r="Q71" s="983" t="n">
        <x:v>4096</x:v>
      </x:c>
      <x:c r="R71" s="983" t="n">
        <x:v>262136</x:v>
      </x:c>
      <x:c r="S71" s="1003" t="n">
        <x:v>0.6092686294151964</x:v>
      </x:c>
      <x:c r="T71" s="1001" t="n">
        <x:v>64</x:v>
      </x:c>
      <x:c r="U71" s="1001" t="n">
        <x:v>128</x:v>
      </x:c>
      <x:c r="V71" s="1003" t="n">
        <x:v>1</x:v>
      </x:c>
      <x:c r="W71" s="685" t="str">
        <x:v>PASS</x:v>
      </x:c>
      <x:c r="X71" s="940" t="str">
        <x:v>/Users/blacktraker/Programming/gitproj/DV4/SuperNPUBench/outputs/matmul_sheet_refresh_20261014/BF16_M256_N32767_K128_matmul_reuseA_tM128_tN128_tK128/build/kernel/matmul/elf/kernel_matmul_matmul_reuseA_B1_M256_N32767_K128_tM128_tN128_tK128_DType__bf16.elf</x:v>
      </x:c>
      <x:c r="Y71" s="940" t="str">
        <x:v>/Users/blacktraker/Programming/gitproj/DV4/SuperNPUBench/outputs/matmul_sheet_refresh_20261014/BF16_M256_N32767_K128_matmul_reuseA_tM128_tN128_tK128/gfsim.log</x:v>
      </x:c>
      <x:c r="Z71" s="940" t="str">
        <x:v>PASS；本轮源码编译并实测；BW113 / SoC mean330；model=ee6d1432b；compiler=e6a31ef；valid_row/valid_col 尾块；ELF / gfsim 日志见子表 X / Y。</x:v>
      </x:c>
      <x:c r="AA71" s="1028"/>
      <x:c r="AB71" s="940" t="str">
        <x:v>matmul_reuseA; tM=128; tN=128; tK=128; tail=valid_row/valid_col</x:v>
      </x:c>
      <x:c r="AC71" s="685" t="str">
        <x:v>否</x:v>
      </x:c>
      <x:c r="AD71" s="1263" t="str">
        <x:v>https://github.com/PTO-ISA/SuperNPUBench/blob/main/benchmark/one-level-arch/kernels/basic_op/matmul/matmul_reuseA.hpp#L281</x:v>
      </x:c>
    </x:row>
    <x:row r="72" ht="31.5" customHeight="1">
      <x:c r="A72" s="976" t="str">
        <x:v>matmul (ubm)</x:v>
      </x:c>
      <x:c r="B72" s="976" t="str">
        <x:v>BF16</x:v>
      </x:c>
      <x:c r="C72" s="983" t="n">
        <x:v>256</x:v>
      </x:c>
      <x:c r="D72" s="983" t="n">
        <x:v>32767</x:v>
      </x:c>
      <x:c r="E72" s="983" t="n">
        <x:v>128</x:v>
      </x:c>
      <x:c r="F72" s="976" t="str">
        <x:v>[256,128,32767]</x:v>
      </x:c>
      <x:c r="G72" s="976" t="str">
        <x:v>B-major</x:v>
      </x:c>
      <x:c r="H72" s="976" t="str">
        <x:v>matmul_reuseB</x:v>
      </x:c>
      <x:c r="I72" s="983" t="n">
        <x:v>128</x:v>
      </x:c>
      <x:c r="J72" s="983" t="n">
        <x:v>128</x:v>
      </x:c>
      <x:c r="K72" s="983" t="n">
        <x:v>128</x:v>
      </x:c>
      <x:c r="L72" s="1001" t="n">
        <x:v>8</x:v>
      </x:c>
      <x:c r="M72" s="1001" t="n">
        <x:v>32</x:v>
      </x:c>
      <x:c r="N72" s="1001" t="n">
        <x:v>32</x:v>
      </x:c>
      <x:c r="O72" s="983" t="n">
        <x:v>397685</x:v>
      </x:c>
      <x:c r="P72" s="1002" t="n">
        <x:v>248.553125</x:v>
      </x:c>
      <x:c r="Q72" s="983" t="n">
        <x:v>4096</x:v>
      </x:c>
      <x:c r="R72" s="983" t="n">
        <x:v>262136</x:v>
      </x:c>
      <x:c r="S72" s="1003" t="n">
        <x:v>0.6591548587449866</x:v>
      </x:c>
      <x:c r="T72" s="1001" t="n">
        <x:v>64</x:v>
      </x:c>
      <x:c r="U72" s="1001" t="n">
        <x:v>128</x:v>
      </x:c>
      <x:c r="V72" s="1003" t="n">
        <x:v>1</x:v>
      </x:c>
      <x:c r="W72" s="685" t="str">
        <x:v>PASS</x:v>
      </x:c>
      <x:c r="X72" s="940" t="str">
        <x:v>/Users/blacktraker/Programming/gitproj/DV4/SuperNPUBench/outputs/matmul_sheet_refresh_20261014/BF16_M256_N32767_K128_matmul_reuseB_tM128_tN128_tK128/build/kernel/matmul/elf/kernel_matmul_matmul_reuseB_B1_M256_N32767_K128_tM128_tN128_tK128_DType__bf16.elf</x:v>
      </x:c>
      <x:c r="Y72" s="940" t="str">
        <x:v>/Users/blacktraker/Programming/gitproj/DV4/SuperNPUBench/outputs/matmul_sheet_refresh_20261014/BF16_M256_N32767_K128_matmul_reuseB_tM128_tN128_tK128/gfsim.log</x:v>
      </x:c>
      <x:c r="Z72" s="940" t="str">
        <x:v>PASS；本轮源码编译并实测；BW113 / SoC mean330；model=ee6d1432b；compiler=e6a31ef；valid_row/valid_col 尾块；ELF / gfsim 日志见子表 X / Y。</x:v>
      </x:c>
      <x:c r="AA72" s="1028"/>
      <x:c r="AB72" s="940" t="str">
        <x:v>matmul_reuseB; tM=128; tN=128; tK=128; tail=valid_row/valid_col</x:v>
      </x:c>
      <x:c r="AC72" s="685" t="str">
        <x:v>否</x:v>
      </x:c>
      <x:c r="AD72" s="1263" t="str">
        <x:v>https://github.com/PTO-ISA/SuperNPUBench/blob/main/benchmark/one-level-arch/kernels/basic_op/matmul/matmul_reuseB.hpp#L308</x:v>
      </x:c>
    </x:row>
    <x:row r="73" ht="31.5" customHeight="1">
      <x:c r="A73" s="977" t="str">
        <x:v>matmul (ubm)</x:v>
      </x:c>
      <x:c r="B73" s="977" t="str">
        <x:v>FP16</x:v>
      </x:c>
      <x:c r="C73" s="984" t="n">
        <x:v>288</x:v>
      </x:c>
      <x:c r="D73" s="984" t="n">
        <x:v>7392</x:v>
      </x:c>
      <x:c r="E73" s="984" t="n">
        <x:v>256</x:v>
      </x:c>
      <x:c r="F73" s="977" t="str">
        <x:v>[288,256,7392]</x:v>
      </x:c>
      <x:c r="G73" s="977" t="str">
        <x:v>B-major</x:v>
      </x:c>
      <x:c r="H73" s="977" t="str">
        <x:v>matmul_shared</x:v>
      </x:c>
      <x:c r="I73" s="1008" t="n">
        <x:v>128</x:v>
      </x:c>
      <x:c r="J73" s="1008" t="n">
        <x:v>256</x:v>
      </x:c>
      <x:c r="K73" s="1008" t="n">
        <x:v>64</x:v>
      </x:c>
      <x:c r="L73" s="1005" t="n">
        <x:v>16</x:v>
      </x:c>
      <x:c r="M73" s="1005" t="n">
        <x:v>32</x:v>
      </x:c>
      <x:c r="N73" s="1005" t="n">
        <x:v>48</x:v>
      </x:c>
      <x:c r="O73" s="998" t="n">
        <x:v>217628</x:v>
      </x:c>
      <x:c r="P73" s="999" t="n">
        <x:v>136.0175</x:v>
      </x:c>
      <x:c r="Q73" s="998" t="n">
        <x:v>4096</x:v>
      </x:c>
      <x:c r="R73" s="998" t="n">
        <x:v>133056</x:v>
      </x:c>
      <x:c r="S73" s="1000" t="n">
        <x:v>0.6113919164813352</x:v>
      </x:c>
      <x:c r="T73" s="1005" t="n">
        <x:v>96</x:v>
      </x:c>
      <x:c r="U73" s="1005" t="n">
        <x:v>256</x:v>
      </x:c>
      <x:c r="V73" s="1007" t="n">
        <x:v>1</x:v>
      </x:c>
      <x:c r="W73" s="692" t="str">
        <x:v>PASS</x:v>
      </x:c>
      <x:c r="X73" s="944" t="str">
        <x:v>/Users/blacktraker/Programming/gitproj/DV4/SuperNPUBench/outputs/matmul_sheet_refresh_20261014/FP16_M288_N7392_K256_matmul_shared_tM128_tN256_tK64/build/kernel/matmul/elf/kernel_matmul_matmul_shared_B1_M288_N7392_K256_tM128_tN256_tK64_DType__half.elf</x:v>
      </x:c>
      <x:c r="Y73" s="944" t="str">
        <x:v>/Users/blacktraker/Programming/gitproj/DV4/SuperNPUBench/outputs/matmul_sheet_refresh_20261014/FP16_M288_N7392_K256_matmul_shared_tM128_tN256_tK64/gfsim.log</x:v>
      </x:c>
      <x:c r="Z73" s="944" t="str">
        <x:v>PASS；本轮源码编译并实测；BW113 / SoC mean330；model=ee6d1432b；compiler=e6a31ef；valid_row/valid_col 尾块；ELF / gfsim 日志见子表 X / Y。</x:v>
      </x:c>
      <x:c r="AA73" s="1028"/>
      <x:c r="AB73" s="944" t="str">
        <x:v>matmul_shared; tM=128; tN=256; tK=64; tail=valid_row/valid_col</x:v>
      </x:c>
      <x:c r="AC73" s="968" t="str">
        <x:v>否</x:v>
      </x:c>
      <x:c r="AD73" s="1263" t="str">
        <x:v>https://github.com/PTO-ISA/SuperNPUBench/blob/main/benchmark/one-level-arch/kernels/basic_op/matmul/matmul_shared.hpp#L24</x:v>
      </x:c>
    </x:row>
    <x:row r="74" ht="31.5" customHeight="1">
      <x:c r="A74" s="977" t="str">
        <x:v>matmul (ubm)</x:v>
      </x:c>
      <x:c r="B74" s="977" t="str">
        <x:v>FP16</x:v>
      </x:c>
      <x:c r="C74" s="984" t="n">
        <x:v>288</x:v>
      </x:c>
      <x:c r="D74" s="984" t="n">
        <x:v>7392</x:v>
      </x:c>
      <x:c r="E74" s="984" t="n">
        <x:v>256</x:v>
      </x:c>
      <x:c r="F74" s="977" t="str">
        <x:v>[288,256,7392]</x:v>
      </x:c>
      <x:c r="G74" s="977" t="str">
        <x:v>B-major</x:v>
      </x:c>
      <x:c r="H74" s="977" t="str">
        <x:v>matmul_reuseA</x:v>
      </x:c>
      <x:c r="I74" s="984" t="n">
        <x:v>128</x:v>
      </x:c>
      <x:c r="J74" s="984" t="n">
        <x:v>128</x:v>
      </x:c>
      <x:c r="K74" s="984" t="n">
        <x:v>128</x:v>
      </x:c>
      <x:c r="L74" s="1005" t="n">
        <x:v>8</x:v>
      </x:c>
      <x:c r="M74" s="1005" t="n">
        <x:v>32</x:v>
      </x:c>
      <x:c r="N74" s="1005" t="n">
        <x:v>32</x:v>
      </x:c>
      <x:c r="O74" s="984"/>
      <x:c r="P74" s="1006"/>
      <x:c r="Q74" s="984" t="n">
        <x:v>4096</x:v>
      </x:c>
      <x:c r="R74" s="984" t="n">
        <x:v>133056</x:v>
      </x:c>
      <x:c r="S74" s="1007"/>
      <x:c r="T74" s="1005" t="n">
        <x:v>64</x:v>
      </x:c>
      <x:c r="U74" s="1005" t="n">
        <x:v>128</x:v>
      </x:c>
      <x:c r="V74" s="1007" t="n">
        <x:v>1</x:v>
      </x:c>
      <x:c r="W74" s="692" t="str">
        <x:v>COMPILE_FAIL</x:v>
      </x:c>
      <x:c r="X74" s="944" t="str"/>
      <x:c r="Y74" s="944" t="str">
        <x:v>/Users/blacktraker/Programming/gitproj/DV4/SuperNPUBench/outputs/matmul_sheet_refresh_20261014/FP16_M288_N7392_K256_matmul_reuseA_tM128_tN128_tK128/build.log</x:v>
      </x:c>
      <x:c r="Z74" s="944" t="str">
        <x:v>COMPILE_FAIL；本轮源码；编译器 LinxV5TRegToOffset 断言；详情见日志；无有效 cycles/MFU。</x:v>
      </x:c>
      <x:c r="AA74" s="1028"/>
      <x:c r="AB74" s="944" t="str">
        <x:v>matmul_reuseA; tM=128; tN=128; tK=128; tail=valid_row/valid_col</x:v>
      </x:c>
      <x:c r="AC74" s="692" t="str">
        <x:v>否</x:v>
      </x:c>
      <x:c r="AD74" s="1263" t="str">
        <x:v>https://github.com/PTO-ISA/SuperNPUBench/blob/main/benchmark/one-level-arch/kernels/basic_op/matmul/matmul_reuseA.hpp#L281</x:v>
      </x:c>
    </x:row>
    <x:row r="75" ht="31.5" customHeight="1">
      <x:c r="A75" s="977" t="str">
        <x:v>matmul (ubm)</x:v>
      </x:c>
      <x:c r="B75" s="977" t="str">
        <x:v>FP16</x:v>
      </x:c>
      <x:c r="C75" s="984" t="n">
        <x:v>288</x:v>
      </x:c>
      <x:c r="D75" s="984" t="n">
        <x:v>7392</x:v>
      </x:c>
      <x:c r="E75" s="984" t="n">
        <x:v>256</x:v>
      </x:c>
      <x:c r="F75" s="977" t="str">
        <x:v>[288,256,7392]</x:v>
      </x:c>
      <x:c r="G75" s="977" t="str">
        <x:v>B-major</x:v>
      </x:c>
      <x:c r="H75" s="977" t="str">
        <x:v>matmul_reuseB</x:v>
      </x:c>
      <x:c r="I75" s="984" t="n">
        <x:v>128</x:v>
      </x:c>
      <x:c r="J75" s="984" t="n">
        <x:v>128</x:v>
      </x:c>
      <x:c r="K75" s="984" t="n">
        <x:v>128</x:v>
      </x:c>
      <x:c r="L75" s="1005" t="n">
        <x:v>8</x:v>
      </x:c>
      <x:c r="M75" s="1005" t="n">
        <x:v>32</x:v>
      </x:c>
      <x:c r="N75" s="1005" t="n">
        <x:v>32</x:v>
      </x:c>
      <x:c r="O75" s="984"/>
      <x:c r="P75" s="1006"/>
      <x:c r="Q75" s="984" t="n">
        <x:v>4096</x:v>
      </x:c>
      <x:c r="R75" s="984" t="n">
        <x:v>133056</x:v>
      </x:c>
      <x:c r="S75" s="1007"/>
      <x:c r="T75" s="1005" t="n">
        <x:v>64</x:v>
      </x:c>
      <x:c r="U75" s="1005" t="n">
        <x:v>128</x:v>
      </x:c>
      <x:c r="V75" s="1007" t="n">
        <x:v>1</x:v>
      </x:c>
      <x:c r="W75" s="692" t="str">
        <x:v>SIM_FAIL</x:v>
      </x:c>
      <x:c r="X75" s="944" t="str">
        <x:v>/Users/blacktraker/Programming/gitproj/DV4/SuperNPUBench/outputs/matmul_sheet_refresh_20261014/FP16_M288_N7392_K256_matmul_reuseB_tM128_tN128_tK128/build/kernel/matmul/elf/kernel_matmul_matmul_reuseB_B1_M288_N7392_K256_tM128_tN128_tK128_DType__half.elf</x:v>
      </x:c>
      <x:c r="Y75" s="944" t="str">
        <x:v>/Users/blacktraker/Programming/gitproj/DV4/SuperNPUBench/outputs/matmul_sheet_refresh_20261014/FP16_M288_N7392_K256_matmul_reuseB_tM128_tN128_tK128/gfsim.log</x:v>
      </x:c>
      <x:c r="Z75" s="944" t="str">
        <x:v>SIM_FAIL；本轮源码；gfsim 尾块形状校验断言；详情见日志；无有效 cycles/MFU。</x:v>
      </x:c>
      <x:c r="AA75" s="1028"/>
      <x:c r="AB75" s="944" t="str">
        <x:v>matmul_reuseB; tM=128; tN=128; tK=128; tail=valid_row/valid_col</x:v>
      </x:c>
      <x:c r="AC75" s="692" t="str">
        <x:v>否</x:v>
      </x:c>
      <x:c r="AD75" s="1263" t="str">
        <x:v>https://github.com/PTO-ISA/SuperNPUBench/blob/main/benchmark/one-level-arch/kernels/basic_op/matmul/matmul_reuseB.hpp#L308</x:v>
      </x:c>
    </x:row>
    <x:row r="76" ht="31.5" customHeight="1">
      <x:c r="A76" s="977" t="str">
        <x:v>matmul (ubm)</x:v>
      </x:c>
      <x:c r="B76" s="977" t="str">
        <x:v>FP16</x:v>
      </x:c>
      <x:c r="C76" s="984" t="n">
        <x:v>288</x:v>
      </x:c>
      <x:c r="D76" s="984" t="n">
        <x:v>7392</x:v>
      </x:c>
      <x:c r="E76" s="984" t="n">
        <x:v>256</x:v>
      </x:c>
      <x:c r="F76" s="977" t="str">
        <x:v>[288,256,7392]</x:v>
      </x:c>
      <x:c r="G76" s="977" t="str">
        <x:v>B-major</x:v>
      </x:c>
      <x:c r="H76" s="977" t="str">
        <x:v>matmul_reuseB</x:v>
      </x:c>
      <x:c r="I76" s="984" t="n">
        <x:v>128</x:v>
      </x:c>
      <x:c r="J76" s="984" t="n">
        <x:v>256</x:v>
      </x:c>
      <x:c r="K76" s="984" t="n">
        <x:v>128</x:v>
      </x:c>
      <x:c r="L76" s="1005" t="n">
        <x:v>8</x:v>
      </x:c>
      <x:c r="M76" s="1005" t="n">
        <x:v>64</x:v>
      </x:c>
      <x:c r="N76" s="1005" t="n">
        <x:v>64</x:v>
      </x:c>
      <x:c r="O76" s="984"/>
      <x:c r="P76" s="1006"/>
      <x:c r="Q76" s="984" t="n">
        <x:v>4096</x:v>
      </x:c>
      <x:c r="R76" s="984" t="n">
        <x:v>133056</x:v>
      </x:c>
      <x:c r="S76" s="1007"/>
      <x:c r="T76" s="1005" t="n">
        <x:v>64</x:v>
      </x:c>
      <x:c r="U76" s="1005" t="n">
        <x:v>128</x:v>
      </x:c>
      <x:c r="V76" s="1007" t="n">
        <x:v>1</x:v>
      </x:c>
      <x:c r="W76" s="692" t="str">
        <x:v>SIM_FAIL</x:v>
      </x:c>
      <x:c r="X76" s="944" t="str">
        <x:v>/Users/blacktraker/Programming/gitproj/DV4/SuperNPUBench/outputs/matmul_sheet_refresh_20261014/FP16_M288_N7392_K256_matmul_reuseB_tM128_tN256_tK128/build/kernel/matmul/elf/kernel_matmul_matmul_reuseB_B1_M288_N7392_K256_tM128_tN256_tK128_DType__half.elf</x:v>
      </x:c>
      <x:c r="Y76" s="944" t="str">
        <x:v>/Users/blacktraker/Programming/gitproj/DV4/SuperNPUBench/outputs/matmul_sheet_refresh_20261014/FP16_M288_N7392_K256_matmul_reuseB_tM128_tN256_tK128/gfsim.log</x:v>
      </x:c>
      <x:c r="Z76" s="944" t="str">
        <x:v>SIM_FAIL；本轮源码；gfsim 尾块形状校验断言；详情见日志；无有效 cycles/MFU。</x:v>
      </x:c>
      <x:c r="AA76" s="1028"/>
      <x:c r="AB76" s="944" t="str">
        <x:v>matmul_reuseB; tM=128; tN=256; tK=128; tail=valid_row/valid_col</x:v>
      </x:c>
      <x:c r="AC76" s="692" t="str">
        <x:v>否</x:v>
      </x:c>
      <x:c r="AD76" s="1263" t="str">
        <x:v>https://github.com/PTO-ISA/SuperNPUBench/blob/main/benchmark/one-level-arch/kernels/basic_op/matmul/matmul_reuseB.hpp#L308</x:v>
      </x:c>
    </x:row>
    <x:row r="77" ht="31.5" customHeight="1">
      <x:c r="A77" s="977" t="str">
        <x:v>matmul (ubm)</x:v>
      </x:c>
      <x:c r="B77" s="977" t="str">
        <x:v>FP16</x:v>
      </x:c>
      <x:c r="C77" s="984" t="n">
        <x:v>288</x:v>
      </x:c>
      <x:c r="D77" s="984" t="n">
        <x:v>7392</x:v>
      </x:c>
      <x:c r="E77" s="984" t="n">
        <x:v>256</x:v>
      </x:c>
      <x:c r="F77" s="977" t="str">
        <x:v>[288,256,7392]</x:v>
      </x:c>
      <x:c r="G77" s="977" t="str">
        <x:v>B-major</x:v>
      </x:c>
      <x:c r="H77" s="977" t="str">
        <x:v>matmul_reuseB</x:v>
      </x:c>
      <x:c r="I77" s="984" t="n">
        <x:v>128</x:v>
      </x:c>
      <x:c r="J77" s="984" t="n">
        <x:v>256</x:v>
      </x:c>
      <x:c r="K77" s="984" t="n">
        <x:v>256</x:v>
      </x:c>
      <x:c r="L77" s="1005" t="n">
        <x:v>16</x:v>
      </x:c>
      <x:c r="M77" s="1005" t="n">
        <x:v>128</x:v>
      </x:c>
      <x:c r="N77" s="1005" t="n">
        <x:v>128</x:v>
      </x:c>
      <x:c r="O77" s="984"/>
      <x:c r="P77" s="1006"/>
      <x:c r="Q77" s="984" t="n">
        <x:v>4096</x:v>
      </x:c>
      <x:c r="R77" s="984" t="n">
        <x:v>133056</x:v>
      </x:c>
      <x:c r="S77" s="1007"/>
      <x:c r="T77" s="1005" t="n">
        <x:v>64</x:v>
      </x:c>
      <x:c r="U77" s="1005" t="n">
        <x:v>64</x:v>
      </x:c>
      <x:c r="V77" s="1007" t="n">
        <x:v>1</x:v>
      </x:c>
      <x:c r="W77" s="692" t="str">
        <x:v>SIM_FAIL</x:v>
      </x:c>
      <x:c r="X77" s="944" t="str">
        <x:v>/Users/blacktraker/Programming/gitproj/DV4/SuperNPUBench/outputs/matmul_sheet_refresh_20261014/FP16_M288_N7392_K256_matmul_reuseB_tM128_tN256_tK256/build/kernel/matmul/elf/kernel_matmul_matmul_reuseB_B1_M288_N7392_K256_tM128_tN256_tK256_DType__half.elf</x:v>
      </x:c>
      <x:c r="Y77" s="944" t="str">
        <x:v>/Users/blacktraker/Programming/gitproj/DV4/SuperNPUBench/outputs/matmul_sheet_refresh_20261014/FP16_M288_N7392_K256_matmul_reuseB_tM128_tN256_tK256/gfsim.log</x:v>
      </x:c>
      <x:c r="Z77" s="944" t="str">
        <x:v>SIM_FAIL；本轮源码；gfsim 尾块形状校验断言；详情见日志；无有效 cycles/MFU。</x:v>
      </x:c>
      <x:c r="AA77" s="1028"/>
      <x:c r="AB77" s="944" t="str">
        <x:v>matmul_reuseB; tM=128; tN=256; tK=256; tail=valid_row/valid_col</x:v>
      </x:c>
      <x:c r="AC77" s="692" t="str">
        <x:v>否</x:v>
      </x:c>
      <x:c r="AD77" s="1263" t="str">
        <x:v>https://github.com/PTO-ISA/SuperNPUBench/blob/main/benchmark/one-level-arch/kernels/basic_op/matmul/matmul_reuseB.hpp#L308</x:v>
      </x:c>
    </x:row>
    <x:row r="78" ht="31.5" customHeight="1">
      <x:c r="A78" s="977" t="str">
        <x:v>matmul (ubm)</x:v>
      </x:c>
      <x:c r="B78" s="977" t="str">
        <x:v>FP16</x:v>
      </x:c>
      <x:c r="C78" s="984" t="n">
        <x:v>288</x:v>
      </x:c>
      <x:c r="D78" s="984" t="n">
        <x:v>7392</x:v>
      </x:c>
      <x:c r="E78" s="984" t="n">
        <x:v>256</x:v>
      </x:c>
      <x:c r="F78" s="977" t="str">
        <x:v>[288,256,7392]</x:v>
      </x:c>
      <x:c r="G78" s="977" t="str">
        <x:v>B-major</x:v>
      </x:c>
      <x:c r="H78" s="977" t="str">
        <x:v>matmul_reuseA</x:v>
      </x:c>
      <x:c r="I78" s="984" t="n">
        <x:v>128</x:v>
      </x:c>
      <x:c r="J78" s="984" t="n">
        <x:v>256</x:v>
      </x:c>
      <x:c r="K78" s="984" t="n">
        <x:v>64</x:v>
      </x:c>
      <x:c r="L78" s="1005" t="n">
        <x:v>4</x:v>
      </x:c>
      <x:c r="M78" s="1005" t="n">
        <x:v>32</x:v>
      </x:c>
      <x:c r="N78" s="1005" t="n">
        <x:v>32</x:v>
      </x:c>
      <x:c r="O78" s="984"/>
      <x:c r="P78" s="1006"/>
      <x:c r="Q78" s="984" t="n">
        <x:v>4096</x:v>
      </x:c>
      <x:c r="R78" s="984" t="n">
        <x:v>133056</x:v>
      </x:c>
      <x:c r="S78" s="1007"/>
      <x:c r="T78" s="1005" t="n">
        <x:v>64</x:v>
      </x:c>
      <x:c r="U78" s="1005" t="n">
        <x:v>256</x:v>
      </x:c>
      <x:c r="V78" s="1007" t="n">
        <x:v>1</x:v>
      </x:c>
      <x:c r="W78" s="692" t="str">
        <x:v>SIM_FAIL</x:v>
      </x:c>
      <x:c r="X78" s="944" t="str">
        <x:v>/Users/blacktraker/Programming/gitproj/DV4/SuperNPUBench/outputs/matmul_sheet_refresh_20261014/FP16_M288_N7392_K256_matmul_reuseA_tM128_tN256_tK64/build/kernel/matmul/elf/kernel_matmul_matmul_reuseA_B1_M288_N7392_K256_tM128_tN256_tK64_DType__half.elf</x:v>
      </x:c>
      <x:c r="Y78" s="944" t="str">
        <x:v>/Users/blacktraker/Programming/gitproj/DV4/SuperNPUBench/outputs/matmul_sheet_refresh_20261014/FP16_M288_N7392_K256_matmul_reuseA_tM128_tN256_tK64/gfsim.log</x:v>
      </x:c>
      <x:c r="Z78" s="944" t="str">
        <x:v>SIM_FAIL；本轮源码；gfsim 尾块形状校验断言；详情见日志；无有效 cycles/MFU。</x:v>
      </x:c>
      <x:c r="AA78" s="1028"/>
      <x:c r="AB78" s="944" t="str">
        <x:v>matmul_reuseA; tM=128; tN=256; tK=64; tail=valid_row/valid_col</x:v>
      </x:c>
      <x:c r="AC78" s="692" t="str">
        <x:v>否</x:v>
      </x:c>
      <x:c r="AD78" s="1263" t="str">
        <x:v>https://github.com/PTO-ISA/SuperNPUBench/blob/main/benchmark/one-level-arch/kernels/basic_op/matmul/matmul_reuseA.hpp#L281</x:v>
      </x:c>
    </x:row>
    <x:row r="79" ht="31.5" customHeight="1">
      <x:c r="A79" s="977" t="str">
        <x:v>matmul (ubm)</x:v>
      </x:c>
      <x:c r="B79" s="977" t="str">
        <x:v>FP16</x:v>
      </x:c>
      <x:c r="C79" s="984" t="n">
        <x:v>288</x:v>
      </x:c>
      <x:c r="D79" s="984" t="n">
        <x:v>7392</x:v>
      </x:c>
      <x:c r="E79" s="984" t="n">
        <x:v>256</x:v>
      </x:c>
      <x:c r="F79" s="977" t="str">
        <x:v>[288,256,7392]</x:v>
      </x:c>
      <x:c r="G79" s="977" t="str">
        <x:v>B-major</x:v>
      </x:c>
      <x:c r="H79" s="977" t="str">
        <x:v>matmul_reuseA</x:v>
      </x:c>
      <x:c r="I79" s="984" t="n">
        <x:v>128</x:v>
      </x:c>
      <x:c r="J79" s="984" t="n">
        <x:v>128</x:v>
      </x:c>
      <x:c r="K79" s="984" t="n">
        <x:v>64</x:v>
      </x:c>
      <x:c r="L79" s="1005" t="n">
        <x:v>4</x:v>
      </x:c>
      <x:c r="M79" s="1005" t="n">
        <x:v>16</x:v>
      </x:c>
      <x:c r="N79" s="1005" t="n">
        <x:v>16</x:v>
      </x:c>
      <x:c r="O79" s="984"/>
      <x:c r="P79" s="1006"/>
      <x:c r="Q79" s="984" t="n">
        <x:v>4096</x:v>
      </x:c>
      <x:c r="R79" s="984" t="n">
        <x:v>133056</x:v>
      </x:c>
      <x:c r="S79" s="1007"/>
      <x:c r="T79" s="1005" t="n">
        <x:v>64</x:v>
      </x:c>
      <x:c r="U79" s="1005" t="n">
        <x:v>256</x:v>
      </x:c>
      <x:c r="V79" s="1007" t="n">
        <x:v>1</x:v>
      </x:c>
      <x:c r="W79" s="692" t="str">
        <x:v>COMPILE_FAIL</x:v>
      </x:c>
      <x:c r="X79" s="944" t="str"/>
      <x:c r="Y79" s="944" t="str">
        <x:v>/Users/blacktraker/Programming/gitproj/DV4/SuperNPUBench/outputs/matmul_sheet_refresh_20261014/FP16_M288_N7392_K256_matmul_reuseA_tM128_tN128_tK64/build.log</x:v>
      </x:c>
      <x:c r="Z79" s="944" t="str">
        <x:v>COMPILE_FAIL；本轮源码；编译器 LinxV5TRegToOffset 断言；详情见日志；无有效 cycles/MFU。</x:v>
      </x:c>
      <x:c r="AA79" s="1028"/>
      <x:c r="AB79" s="944" t="str">
        <x:v>matmul_reuseA; tM=128; tN=128; tK=64; tail=valid_row/valid_col</x:v>
      </x:c>
      <x:c r="AC79" s="692" t="str">
        <x:v>否</x:v>
      </x:c>
      <x:c r="AD79" s="1263" t="str">
        <x:v>https://github.com/PTO-ISA/SuperNPUBench/blob/main/benchmark/one-level-arch/kernels/basic_op/matmul/matmul_reuseA.hpp#L281</x:v>
      </x:c>
    </x:row>
    <x:row r="80" ht="31.5" customHeight="1">
      <x:c r="A80" s="977" t="str">
        <x:v>matmul (ubm)</x:v>
      </x:c>
      <x:c r="B80" s="977" t="str">
        <x:v>FP16</x:v>
      </x:c>
      <x:c r="C80" s="984" t="n">
        <x:v>288</x:v>
      </x:c>
      <x:c r="D80" s="984" t="n">
        <x:v>7392</x:v>
      </x:c>
      <x:c r="E80" s="984" t="n">
        <x:v>256</x:v>
      </x:c>
      <x:c r="F80" s="977" t="str">
        <x:v>[288,256,7392]</x:v>
      </x:c>
      <x:c r="G80" s="977" t="str">
        <x:v>B-major</x:v>
      </x:c>
      <x:c r="H80" s="977" t="str">
        <x:v>matmul_reuseA</x:v>
      </x:c>
      <x:c r="I80" s="984" t="n">
        <x:v>128</x:v>
      </x:c>
      <x:c r="J80" s="984" t="n">
        <x:v>64</x:v>
      </x:c>
      <x:c r="K80" s="984" t="n">
        <x:v>128</x:v>
      </x:c>
      <x:c r="L80" s="1005" t="n">
        <x:v>8</x:v>
      </x:c>
      <x:c r="M80" s="1005" t="n">
        <x:v>16</x:v>
      </x:c>
      <x:c r="N80" s="1005" t="n">
        <x:v>16</x:v>
      </x:c>
      <x:c r="O80" s="984"/>
      <x:c r="P80" s="1006"/>
      <x:c r="Q80" s="984" t="n">
        <x:v>4096</x:v>
      </x:c>
      <x:c r="R80" s="984" t="n">
        <x:v>133056</x:v>
      </x:c>
      <x:c r="S80" s="1007"/>
      <x:c r="T80" s="1005" t="n">
        <x:v>64</x:v>
      </x:c>
      <x:c r="U80" s="1005" t="n">
        <x:v>128</x:v>
      </x:c>
      <x:c r="V80" s="1007" t="n">
        <x:v>1</x:v>
      </x:c>
      <x:c r="W80" s="692" t="str">
        <x:v>COMPILE_FAIL</x:v>
      </x:c>
      <x:c r="X80" s="944" t="str"/>
      <x:c r="Y80" s="944" t="str">
        <x:v>/Users/blacktraker/Programming/gitproj/DV4/SuperNPUBench/outputs/matmul_sheet_refresh_20261014/FP16_M288_N7392_K256_matmul_reuseA_tM128_tN64_tK128/build.log</x:v>
      </x:c>
      <x:c r="Z80" s="944" t="str">
        <x:v>COMPILE_FAIL；本轮源码；编译器 LinxV5TRegToOffset 断言；详情见日志；无有效 cycles/MFU。</x:v>
      </x:c>
      <x:c r="AA80" s="1028"/>
      <x:c r="AB80" s="944" t="str">
        <x:v>matmul_reuseA; tM=128; tN=64; tK=128; tail=valid_row/valid_col</x:v>
      </x:c>
      <x:c r="AC80" s="692" t="str">
        <x:v>否</x:v>
      </x:c>
      <x:c r="AD80" s="1263" t="str">
        <x:v>https://github.com/PTO-ISA/SuperNPUBench/blob/main/benchmark/one-level-arch/kernels/basic_op/matmul/matmul_reuseA.hpp#L281</x:v>
      </x:c>
    </x:row>
    <x:row r="81" ht="31.5" customHeight="1">
      <x:c r="A81" s="977" t="str">
        <x:v>matmul (ubm)</x:v>
      </x:c>
      <x:c r="B81" s="977" t="str">
        <x:v>FP16</x:v>
      </x:c>
      <x:c r="C81" s="984" t="n">
        <x:v>288</x:v>
      </x:c>
      <x:c r="D81" s="984" t="n">
        <x:v>7392</x:v>
      </x:c>
      <x:c r="E81" s="984" t="n">
        <x:v>256</x:v>
      </x:c>
      <x:c r="F81" s="977" t="str">
        <x:v>[288,256,7392]</x:v>
      </x:c>
      <x:c r="G81" s="977" t="str">
        <x:v>B-major</x:v>
      </x:c>
      <x:c r="H81" s="977" t="str">
        <x:v>matmul_reuseA</x:v>
      </x:c>
      <x:c r="I81" s="984" t="n">
        <x:v>128</x:v>
      </x:c>
      <x:c r="J81" s="984" t="n">
        <x:v>256</x:v>
      </x:c>
      <x:c r="K81" s="984" t="n">
        <x:v>128</x:v>
      </x:c>
      <x:c r="L81" s="1005" t="n">
        <x:v>8</x:v>
      </x:c>
      <x:c r="M81" s="1005" t="n">
        <x:v>64</x:v>
      </x:c>
      <x:c r="N81" s="1005" t="n">
        <x:v>64</x:v>
      </x:c>
      <x:c r="O81" s="984"/>
      <x:c r="P81" s="1006"/>
      <x:c r="Q81" s="984" t="n">
        <x:v>4096</x:v>
      </x:c>
      <x:c r="R81" s="984" t="n">
        <x:v>133056</x:v>
      </x:c>
      <x:c r="S81" s="1007"/>
      <x:c r="T81" s="1005" t="n">
        <x:v>64</x:v>
      </x:c>
      <x:c r="U81" s="1005" t="n">
        <x:v>128</x:v>
      </x:c>
      <x:c r="V81" s="1007" t="n">
        <x:v>1</x:v>
      </x:c>
      <x:c r="W81" s="692" t="str">
        <x:v>SIM_FAIL</x:v>
      </x:c>
      <x:c r="X81" s="944" t="str">
        <x:v>/Users/blacktraker/Programming/gitproj/DV4/SuperNPUBench/outputs/matmul_sheet_refresh_20261014/FP16_M288_N7392_K256_matmul_reuseA_tM128_tN256_tK128/build/kernel/matmul/elf/kernel_matmul_matmul_reuseA_B1_M288_N7392_K256_tM128_tN256_tK128_DType__half.elf</x:v>
      </x:c>
      <x:c r="Y81" s="944" t="str">
        <x:v>/Users/blacktraker/Programming/gitproj/DV4/SuperNPUBench/outputs/matmul_sheet_refresh_20261014/FP16_M288_N7392_K256_matmul_reuseA_tM128_tN256_tK128/gfsim.log</x:v>
      </x:c>
      <x:c r="Z81" s="944" t="str">
        <x:v>SIM_FAIL；本轮源码；gfsim 尾块形状校验断言；详情见日志；无有效 cycles/MFU。</x:v>
      </x:c>
      <x:c r="AA81" s="1028"/>
      <x:c r="AB81" s="944" t="str">
        <x:v>matmul_reuseA; tM=128; tN=256; tK=128; tail=valid_row/valid_col</x:v>
      </x:c>
      <x:c r="AC81" s="692" t="str">
        <x:v>否</x:v>
      </x:c>
      <x:c r="AD81" s="1263" t="str">
        <x:v>https://github.com/PTO-ISA/SuperNPUBench/blob/main/benchmark/one-level-arch/kernels/basic_op/matmul/matmul_reuseA.hpp#L281</x:v>
      </x:c>
    </x:row>
    <x:row r="82" ht="31.5" customHeight="1">
      <x:c r="A82" s="977" t="str">
        <x:v>matmul (ubm)</x:v>
      </x:c>
      <x:c r="B82" s="977" t="str">
        <x:v>FP16</x:v>
      </x:c>
      <x:c r="C82" s="984" t="n">
        <x:v>288</x:v>
      </x:c>
      <x:c r="D82" s="984" t="n">
        <x:v>7392</x:v>
      </x:c>
      <x:c r="E82" s="984" t="n">
        <x:v>256</x:v>
      </x:c>
      <x:c r="F82" s="977" t="str">
        <x:v>[288,256,7392]</x:v>
      </x:c>
      <x:c r="G82" s="977" t="str">
        <x:v>B-major</x:v>
      </x:c>
      <x:c r="H82" s="977" t="str">
        <x:v>matmul_reuseA</x:v>
      </x:c>
      <x:c r="I82" s="1008" t="n">
        <x:v>128</x:v>
      </x:c>
      <x:c r="J82" s="1008" t="n">
        <x:v>128</x:v>
      </x:c>
      <x:c r="K82" s="1008" t="n">
        <x:v>128</x:v>
      </x:c>
      <x:c r="L82" s="1005" t="n">
        <x:v>8</x:v>
      </x:c>
      <x:c r="M82" s="1005" t="n">
        <x:v>32</x:v>
      </x:c>
      <x:c r="N82" s="1005" t="n">
        <x:v>32</x:v>
      </x:c>
      <x:c r="O82" s="998" t="n">
        <x:v>171783</x:v>
      </x:c>
      <x:c r="P82" s="999" t="n">
        <x:v>107.364375</x:v>
      </x:c>
      <x:c r="Q82" s="998" t="n">
        <x:v>4096</x:v>
      </x:c>
      <x:c r="R82" s="998" t="n">
        <x:v>133056</x:v>
      </x:c>
      <x:c r="S82" s="1000" t="n">
        <x:v>0.774558600094305</x:v>
      </x:c>
      <x:c r="T82" s="1005" t="n">
        <x:v>64</x:v>
      </x:c>
      <x:c r="U82" s="1005" t="n">
        <x:v>128</x:v>
      </x:c>
      <x:c r="V82" s="1007" t="n">
        <x:v>1</x:v>
      </x:c>
      <x:c r="W82" s="692" t="str">
        <x:v>PASS</x:v>
      </x:c>
      <x:c r="X82" s="944" t="str">
        <x:v>/Users/blacktraker/Programming/gitproj/DV4/SuperNPUBench/outputs/matmul_reuseA_other_shapes_20261010/sweep_fp16_m288_n7392_k256/build/FP16_M288_N7392_K256_tM128_tN128_tK128/kernel/matmul/elf/kernel_matmul_matmul_reuseA_B1_M288_N7392_K256_tM128_tN128_tK128_DType__half.elf</x:v>
      </x:c>
      <x:c r="Y82" s="944" t="str">
        <x:v>/Users/blacktraker/Programming/gitproj/DV4/SuperNPUBench/outputs/matmul_sheet_refresh_20261014/FP16_old_reuseA_elf_new_model.log</x:v>
      </x:c>
      <x:c r="Z82" s="944" t="str">
        <x:v>PASS；历史 reuseA ELF 在本轮 BW113 / SoC mean330 重测；当前源码无法编出同一 tile；功能检查因旧 ELF 未启用 RES_CHECK 而无输出；仅复现性能，不声称当前源码验证通过。</x:v>
      </x:c>
      <x:c r="AA82" s="1028"/>
      <x:c r="AB82" s="944" t="str">
        <x:v>matmul_reuseA; tM=128; tN=128; tK=128; tail=valid_row/valid_col; 历史ELF</x:v>
      </x:c>
      <x:c r="AC82" s="968" t="str">
        <x:v>否</x:v>
      </x:c>
      <x:c r="AD82" s="1263" t="str">
        <x:v>https://github.com/PTO-ISA/SuperNPUBench/blob/main/benchmark/one-level-arch/kernels/basic_op/matmul/matmul_reuseA.hpp#L281</x:v>
      </x:c>
    </x:row>
    <x:row r="83" ht="31.5" customHeight="1">
      <x:c r="A83" s="974" t="str">
        <x:v>matmul (ubm)</x:v>
      </x:c>
      <x:c r="B83" s="974" t="str">
        <x:v>BF16</x:v>
      </x:c>
      <x:c r="C83" s="981" t="n">
        <x:v>256</x:v>
      </x:c>
      <x:c r="D83" s="981" t="n">
        <x:v>512</x:v>
      </x:c>
      <x:c r="E83" s="981" t="n">
        <x:v>7168</x:v>
      </x:c>
      <x:c r="F83" s="974" t="str">
        <x:v>[256,7168,512]</x:v>
      </x:c>
      <x:c r="G83" s="974" t="str">
        <x:v>B-major</x:v>
      </x:c>
      <x:c r="H83" s="974" t="str">
        <x:v>matmul_shared</x:v>
      </x:c>
      <x:c r="I83" s="988" t="n">
        <x:v>128</x:v>
      </x:c>
      <x:c r="J83" s="988" t="n">
        <x:v>256</x:v>
      </x:c>
      <x:c r="K83" s="988" t="n">
        <x:v>128</x:v>
      </x:c>
      <x:c r="L83" s="989" t="n">
        <x:v>32</x:v>
      </x:c>
      <x:c r="M83" s="989" t="n">
        <x:v>64</x:v>
      </x:c>
      <x:c r="N83" s="989" t="n">
        <x:v>96</x:v>
      </x:c>
      <x:c r="O83" s="990" t="n">
        <x:v>284095</x:v>
      </x:c>
      <x:c r="P83" s="991" t="n">
        <x:v>177.559375</x:v>
      </x:c>
      <x:c r="Q83" s="990" t="n">
        <x:v>4096</x:v>
      </x:c>
      <x:c r="R83" s="990" t="n">
        <x:v>229376</x:v>
      </x:c>
      <x:c r="S83" s="992" t="n">
        <x:v>0.8073918935567328</x:v>
      </x:c>
      <x:c r="T83" s="989" t="n">
        <x:v>96</x:v>
      </x:c>
      <x:c r="U83" s="989" t="n">
        <x:v>128</x:v>
      </x:c>
      <x:c r="V83" s="993" t="n">
        <x:v>1</x:v>
      </x:c>
      <x:c r="W83" s="665" t="str">
        <x:v>PASS</x:v>
      </x:c>
      <x:c r="X83" s="1023" t="str">
        <x:v>/Users/blacktraker/Programming/gitproj/DV4/SuperNPUBench/outputs/matmul_sheet_refresh_20261014/BF16_M256_N512_K7168_matmul_shared_tM128_tN256_tK128/build/kernel/matmul/elf/kernel_matmul_matmul_shared_B1_M256_N512_K7168_tM128_tN256_tK128_DType__bf16.elf</x:v>
      </x:c>
      <x:c r="Y83" s="1023" t="str">
        <x:v>/Users/blacktraker/Programming/gitproj/DV4/SuperNPUBench/outputs/matmul_sheet_refresh_20261014/BF16_M256_N512_K7168_matmul_shared_tM128_tN256_tK128/gfsim.log</x:v>
      </x:c>
      <x:c r="Z83" s="1023" t="str">
        <x:v>PASS（仅 timing）；目标 shape=M/K/N；实际编译 M=256, N=512, K=7168；BW113 / SoC mean330；ELF 和日志见 X/Y 列。</x:v>
      </x:c>
      <x:c r="AA83" s="1029" t="str">
        <x:v>cd /Users/blacktraker/Programming/gitproj/DV4/SuperScalarModel-main
./bin/gfsim \
  -s softcore.multiThreadNum=4 \
  -s cube.enable_internal_acc=true \
  -s bctrl.vec_cell_sched_enable=true \
  -s core.soc_random=true \
  -s core.soc_bw_limit=113 \
  -s core.soc_lat_mean=330 \
  -s core.sharetreg_size_bytes=262144 \
  -s core.sharetreg_ssb_count=64 \
  -f "$ELF"</x:v>
      </x:c>
      <x:c r="AB83" s="1023" t="str">
        <x:v>matmul_shared; tM=128; tN=256; tK=128</x:v>
      </x:c>
      <x:c r="AC83" s="959" t="str">
        <x:v>是</x:v>
      </x:c>
      <x:c r="AD83" s="1263" t="str">
        <x:v>https://github.com/PTO-ISA/SuperNPUBench/blob/main/benchmark/one-level-arch/kernels/basic_op/matmul/matmul_shared.hpp#L24</x:v>
      </x:c>
    </x:row>
    <x:row r="84" ht="31.5" customHeight="1">
      <x:c r="A84" s="975" t="str">
        <x:v>matmul (ubm)</x:v>
      </x:c>
      <x:c r="B84" s="975" t="str">
        <x:v>BF16</x:v>
      </x:c>
      <x:c r="C84" s="982" t="n">
        <x:v>256</x:v>
      </x:c>
      <x:c r="D84" s="982" t="n">
        <x:v>512</x:v>
      </x:c>
      <x:c r="E84" s="982" t="n">
        <x:v>7168</x:v>
      </x:c>
      <x:c r="F84" s="975" t="str">
        <x:v>[256,7168,512]</x:v>
      </x:c>
      <x:c r="G84" s="975" t="str">
        <x:v>B-major</x:v>
      </x:c>
      <x:c r="H84" s="975" t="str">
        <x:v>matmul_reuseA</x:v>
      </x:c>
      <x:c r="I84" s="982" t="n">
        <x:v>128</x:v>
      </x:c>
      <x:c r="J84" s="982" t="n">
        <x:v>128</x:v>
      </x:c>
      <x:c r="K84" s="982" t="n">
        <x:v>128</x:v>
      </x:c>
      <x:c r="L84" s="994" t="n">
        <x:v>32</x:v>
      </x:c>
      <x:c r="M84" s="994" t="n">
        <x:v>32</x:v>
      </x:c>
      <x:c r="N84" s="994" t="n">
        <x:v>32</x:v>
      </x:c>
      <x:c r="O84" s="982" t="n">
        <x:v>233944</x:v>
      </x:c>
      <x:c r="P84" s="995" t="n">
        <x:v>146.215</x:v>
      </x:c>
      <x:c r="Q84" s="982" t="n">
        <x:v>4096</x:v>
      </x:c>
      <x:c r="R84" s="982" t="n">
        <x:v>229376</x:v>
      </x:c>
      <x:c r="S84" s="996" t="n">
        <x:v>0.9804739595800704</x:v>
      </x:c>
      <x:c r="T84" s="994" t="n">
        <x:v>64</x:v>
      </x:c>
      <x:c r="U84" s="994" t="n">
        <x:v>128</x:v>
      </x:c>
      <x:c r="V84" s="996" t="n">
        <x:v>1</x:v>
      </x:c>
      <x:c r="W84" s="674" t="str">
        <x:v>PASS</x:v>
      </x:c>
      <x:c r="X84" s="942" t="str">
        <x:v>/Users/blacktraker/Programming/gitproj/DV4/SuperNPUBench/outputs/matmul_sheet_refresh_20261014/BF16_M256_N512_K7168_matmul_reuseA_tM128_tN128_tK128/build/kernel/matmul/elf/kernel_matmul_matmul_reuseA_B1_M256_N512_K7168_tM128_tN128_tK128_DType__bf16.elf</x:v>
      </x:c>
      <x:c r="Y84" s="942" t="str">
        <x:v>/Users/blacktraker/Programming/gitproj/DV4/SuperNPUBench/outputs/matmul_sheet_refresh_20261014/BF16_M256_N512_K7168_matmul_reuseA_tM128_tN128_tK128/gfsim.log</x:v>
      </x:c>
      <x:c r="Z84" s="942" t="str">
        <x:v>PASS（仅 timing）；目标 shape=M/K/N；实际编译 M=256, N=512, K=7168；BW113 / SoC mean330；ELF 和日志见 X/Y 列。</x:v>
      </x:c>
      <x:c r="AA84" s="1029"/>
      <x:c r="AB84" s="942" t="str">
        <x:v>matmul_reuseA; tM=128; tN=128; tK=128</x:v>
      </x:c>
      <x:c r="AC84" s="674" t="str">
        <x:v>否</x:v>
      </x:c>
      <x:c r="AD84" s="1263" t="str">
        <x:v>https://github.com/PTO-ISA/SuperNPUBench/blob/main/benchmark/one-level-arch/kernels/basic_op/matmul/matmul_reuseA.hpp#L281</x:v>
      </x:c>
    </x:row>
    <x:row r="85" ht="31.5" customHeight="1">
      <x:c r="A85" s="975" t="str">
        <x:v>matmul (ubm)</x:v>
      </x:c>
      <x:c r="B85" s="975" t="str">
        <x:v>BF16</x:v>
      </x:c>
      <x:c r="C85" s="982" t="n">
        <x:v>256</x:v>
      </x:c>
      <x:c r="D85" s="982" t="n">
        <x:v>512</x:v>
      </x:c>
      <x:c r="E85" s="982" t="n">
        <x:v>7168</x:v>
      </x:c>
      <x:c r="F85" s="975" t="str">
        <x:v>[256,7168,512]</x:v>
      </x:c>
      <x:c r="G85" s="975" t="str">
        <x:v>B-major</x:v>
      </x:c>
      <x:c r="H85" s="975" t="str">
        <x:v>matmul_reuseB</x:v>
      </x:c>
      <x:c r="I85" s="997" t="n">
        <x:v>128</x:v>
      </x:c>
      <x:c r="J85" s="997" t="n">
        <x:v>128</x:v>
      </x:c>
      <x:c r="K85" s="997" t="n">
        <x:v>128</x:v>
      </x:c>
      <x:c r="L85" s="994" t="n">
        <x:v>32</x:v>
      </x:c>
      <x:c r="M85" s="994" t="n">
        <x:v>32</x:v>
      </x:c>
      <x:c r="N85" s="994" t="n">
        <x:v>32</x:v>
      </x:c>
      <x:c r="O85" s="998" t="n">
        <x:v>232156</x:v>
      </x:c>
      <x:c r="P85" s="999" t="n">
        <x:v>145.0975</x:v>
      </x:c>
      <x:c r="Q85" s="998" t="n">
        <x:v>4096</x:v>
      </x:c>
      <x:c r="R85" s="998" t="n">
        <x:v>229376</x:v>
      </x:c>
      <x:c r="S85" s="1000" t="n">
        <x:v>0.9880252933372388</x:v>
      </x:c>
      <x:c r="T85" s="994" t="n">
        <x:v>64</x:v>
      </x:c>
      <x:c r="U85" s="994" t="n">
        <x:v>128</x:v>
      </x:c>
      <x:c r="V85" s="996" t="n">
        <x:v>1</x:v>
      </x:c>
      <x:c r="W85" s="674" t="str">
        <x:v>PASS</x:v>
      </x:c>
      <x:c r="X85" s="942" t="str">
        <x:v>/Users/blacktraker/Programming/gitproj/DV4/SuperNPUBench/outputs/matmul_sheet_refresh_20261014/BF16_M256_N512_K7168_matmul_reuseB_tM128_tN128_tK128/build/kernel/matmul/elf/kernel_matmul_matmul_reuseB_B1_M256_N512_K7168_tM128_tN128_tK128_DType__bf16.elf</x:v>
      </x:c>
      <x:c r="Y85" s="942" t="str">
        <x:v>/Users/blacktraker/Programming/gitproj/DV4/SuperNPUBench/outputs/matmul_sheet_refresh_20261014/BF16_M256_N512_K7168_matmul_reuseB_tM128_tN128_tK128/gfsim.log</x:v>
      </x:c>
      <x:c r="Z85" s="942" t="str">
        <x:v>PASS（仅 timing）；目标 shape=M/K/N；实际编译 M=256, N=512, K=7168；BW113 / SoC mean330；ELF 和日志见 X/Y 列。</x:v>
      </x:c>
      <x:c r="AA85" s="1029"/>
      <x:c r="AB85" s="942" t="str">
        <x:v>matmul_reuseB; tM=128; tN=128; tK=128</x:v>
      </x:c>
      <x:c r="AC85" s="964" t="str">
        <x:v>是</x:v>
      </x:c>
      <x:c r="AD85" s="1263" t="str">
        <x:v>https://github.com/PTO-ISA/SuperNPUBench/blob/main/benchmark/one-level-arch/kernels/basic_op/matmul/matmul_reuseB.hpp#L308</x:v>
      </x:c>
    </x:row>
    <x:row r="86" ht="31.5" customHeight="1">
      <x:c r="A86" s="975" t="str">
        <x:v>matmul (ubm)</x:v>
      </x:c>
      <x:c r="B86" s="975" t="str">
        <x:v>BF16</x:v>
      </x:c>
      <x:c r="C86" s="982" t="n">
        <x:v>256</x:v>
      </x:c>
      <x:c r="D86" s="982" t="n">
        <x:v>512</x:v>
      </x:c>
      <x:c r="E86" s="982" t="n">
        <x:v>7168</x:v>
      </x:c>
      <x:c r="F86" s="975" t="str">
        <x:v>[256,7168,512]</x:v>
      </x:c>
      <x:c r="G86" s="975" t="str">
        <x:v>B-major</x:v>
      </x:c>
      <x:c r="H86" s="975" t="str">
        <x:v>matmul_reuseA</x:v>
      </x:c>
      <x:c r="I86" s="982" t="n">
        <x:v>128</x:v>
      </x:c>
      <x:c r="J86" s="982" t="n">
        <x:v>128</x:v>
      </x:c>
      <x:c r="K86" s="982" t="n">
        <x:v>256</x:v>
      </x:c>
      <x:c r="L86" s="994" t="n">
        <x:v>64</x:v>
      </x:c>
      <x:c r="M86" s="994" t="n">
        <x:v>64</x:v>
      </x:c>
      <x:c r="N86" s="994" t="n">
        <x:v>64</x:v>
      </x:c>
      <x:c r="O86" s="982" t="n">
        <x:v>233511</x:v>
      </x:c>
      <x:c r="P86" s="995" t="n">
        <x:v>145.944375</x:v>
      </x:c>
      <x:c r="Q86" s="982" t="n">
        <x:v>4096</x:v>
      </x:c>
      <x:c r="R86" s="982" t="n">
        <x:v>229376</x:v>
      </x:c>
      <x:c r="S86" s="996" t="n">
        <x:v>0.9822920547640154</x:v>
      </x:c>
      <x:c r="T86" s="994" t="n">
        <x:v>64</x:v>
      </x:c>
      <x:c r="U86" s="994" t="n">
        <x:v>64</x:v>
      </x:c>
      <x:c r="V86" s="996" t="n">
        <x:v>1</x:v>
      </x:c>
      <x:c r="W86" s="674" t="str">
        <x:v>PASS</x:v>
      </x:c>
      <x:c r="X86" s="942" t="str">
        <x:v>/Users/blacktraker/Programming/gitproj/DV4/SuperNPUBench/outputs/matmul_sheet_refresh_20261014/BF16_M256_N512_K7168_matmul_reuseA_tM128_tN128_tK256/build/kernel/matmul/elf/kernel_matmul_matmul_reuseA_B1_M256_N512_K7168_tM128_tN128_tK256_DType__bf16.elf</x:v>
      </x:c>
      <x:c r="Y86" s="942" t="str">
        <x:v>/Users/blacktraker/Programming/gitproj/DV4/SuperNPUBench/outputs/matmul_sheet_refresh_20261014/BF16_M256_N512_K7168_matmul_reuseA_tM128_tN128_tK256/gfsim.log</x:v>
      </x:c>
      <x:c r="Z86" s="942" t="str">
        <x:v>PASS（仅 timing）；目标 shape=M/K/N；实际编译 M=256, N=512, K=7168；BW113 / SoC mean330；ELF 和日志见 X/Y 列。</x:v>
      </x:c>
      <x:c r="AA86" s="1029"/>
      <x:c r="AB86" s="942" t="str">
        <x:v>matmul_reuseA; tM=128; tN=128; tK=256</x:v>
      </x:c>
      <x:c r="AC86" s="674" t="str">
        <x:v>否</x:v>
      </x:c>
      <x:c r="AD86" s="1263" t="str">
        <x:v>https://github.com/PTO-ISA/SuperNPUBench/blob/main/benchmark/one-level-arch/kernels/basic_op/matmul/matmul_reuseA.hpp#L281</x:v>
      </x:c>
    </x:row>
    <x:row r="87" ht="31.5" customHeight="1">
      <x:c r="A87" s="975" t="str">
        <x:v>matmul (ubm)</x:v>
      </x:c>
      <x:c r="B87" s="975" t="str">
        <x:v>BF16</x:v>
      </x:c>
      <x:c r="C87" s="982" t="n">
        <x:v>256</x:v>
      </x:c>
      <x:c r="D87" s="982" t="n">
        <x:v>512</x:v>
      </x:c>
      <x:c r="E87" s="982" t="n">
        <x:v>7168</x:v>
      </x:c>
      <x:c r="F87" s="975" t="str">
        <x:v>[256,7168,512]</x:v>
      </x:c>
      <x:c r="G87" s="975" t="str">
        <x:v>B-major</x:v>
      </x:c>
      <x:c r="H87" s="975" t="str">
        <x:v>matmul_reuseB</x:v>
      </x:c>
      <x:c r="I87" s="982" t="n">
        <x:v>128</x:v>
      </x:c>
      <x:c r="J87" s="982" t="n">
        <x:v>128</x:v>
      </x:c>
      <x:c r="K87" s="982" t="n">
        <x:v>256</x:v>
      </x:c>
      <x:c r="L87" s="994" t="n">
        <x:v>64</x:v>
      </x:c>
      <x:c r="M87" s="994" t="n">
        <x:v>64</x:v>
      </x:c>
      <x:c r="N87" s="994" t="n">
        <x:v>64</x:v>
      </x:c>
      <x:c r="O87" s="982" t="n">
        <x:v>232562</x:v>
      </x:c>
      <x:c r="P87" s="995" t="n">
        <x:v>145.35125</x:v>
      </x:c>
      <x:c r="Q87" s="982" t="n">
        <x:v>4096</x:v>
      </x:c>
      <x:c r="R87" s="982" t="n">
        <x:v>229376</x:v>
      </x:c>
      <x:c r="S87" s="996" t="n">
        <x:v>0.9863004274129049</x:v>
      </x:c>
      <x:c r="T87" s="994" t="n">
        <x:v>64</x:v>
      </x:c>
      <x:c r="U87" s="994" t="n">
        <x:v>64</x:v>
      </x:c>
      <x:c r="V87" s="996" t="n">
        <x:v>1</x:v>
      </x:c>
      <x:c r="W87" s="674" t="str">
        <x:v>PASS</x:v>
      </x:c>
      <x:c r="X87" s="942" t="str">
        <x:v>/Users/blacktraker/Programming/gitproj/DV4/SuperNPUBench/outputs/matmul_sheet_refresh_20261014/BF16_M256_N512_K7168_matmul_reuseB_tM128_tN128_tK256/build/kernel/matmul/elf/kernel_matmul_matmul_reuseB_B1_M256_N512_K7168_tM128_tN128_tK256_DType__bf16.elf</x:v>
      </x:c>
      <x:c r="Y87" s="942" t="str">
        <x:v>/Users/blacktraker/Programming/gitproj/DV4/SuperNPUBench/outputs/matmul_sheet_refresh_20261014/BF16_M256_N512_K7168_matmul_reuseB_tM128_tN128_tK256/gfsim.log</x:v>
      </x:c>
      <x:c r="Z87" s="942" t="str">
        <x:v>PASS（仅 timing）；目标 shape=M/K/N；实际编译 M=256, N=512, K=7168；BW113 / SoC mean330；ELF 和日志见 X/Y 列。</x:v>
      </x:c>
      <x:c r="AA87" s="1029"/>
      <x:c r="AB87" s="942" t="str">
        <x:v>matmul_reuseB; tM=128; tN=128; tK=256</x:v>
      </x:c>
      <x:c r="AC87" s="674" t="str">
        <x:v>否</x:v>
      </x:c>
      <x:c r="AD87" s="1263" t="str">
        <x:v>https://github.com/PTO-ISA/SuperNPUBench/blob/main/benchmark/one-level-arch/kernels/basic_op/matmul/matmul_reuseB.hpp#L308</x:v>
      </x:c>
    </x:row>
    <x:row r="88" ht="31.5" customHeight="1">
      <x:c r="A88" s="975" t="str">
        <x:v>matmul (ubm)</x:v>
      </x:c>
      <x:c r="B88" s="975" t="str">
        <x:v>BF16</x:v>
      </x:c>
      <x:c r="C88" s="982" t="n">
        <x:v>256</x:v>
      </x:c>
      <x:c r="D88" s="982" t="n">
        <x:v>512</x:v>
      </x:c>
      <x:c r="E88" s="982" t="n">
        <x:v>7168</x:v>
      </x:c>
      <x:c r="F88" s="975" t="str">
        <x:v>[256,7168,512]</x:v>
      </x:c>
      <x:c r="G88" s="975" t="str">
        <x:v>B-major</x:v>
      </x:c>
      <x:c r="H88" s="975" t="str">
        <x:v>matmul_reuseA</x:v>
      </x:c>
      <x:c r="I88" s="982" t="n">
        <x:v>128</x:v>
      </x:c>
      <x:c r="J88" s="982" t="n">
        <x:v>256</x:v>
      </x:c>
      <x:c r="K88" s="982" t="n">
        <x:v>128</x:v>
      </x:c>
      <x:c r="L88" s="994" t="n">
        <x:v>32</x:v>
      </x:c>
      <x:c r="M88" s="994" t="n">
        <x:v>64</x:v>
      </x:c>
      <x:c r="N88" s="994" t="n">
        <x:v>64</x:v>
      </x:c>
      <x:c r="O88" s="982" t="n">
        <x:v>233133</x:v>
      </x:c>
      <x:c r="P88" s="995" t="n">
        <x:v>145.708125</x:v>
      </x:c>
      <x:c r="Q88" s="982" t="n">
        <x:v>4096</x:v>
      </x:c>
      <x:c r="R88" s="982" t="n">
        <x:v>229376</x:v>
      </x:c>
      <x:c r="S88" s="996" t="n">
        <x:v>0.9838847353227557</x:v>
      </x:c>
      <x:c r="T88" s="994" t="n">
        <x:v>64</x:v>
      </x:c>
      <x:c r="U88" s="994" t="n">
        <x:v>128</x:v>
      </x:c>
      <x:c r="V88" s="996" t="n">
        <x:v>1</x:v>
      </x:c>
      <x:c r="W88" s="674" t="str">
        <x:v>PASS</x:v>
      </x:c>
      <x:c r="X88" s="942" t="str">
        <x:v>/Users/blacktraker/Programming/gitproj/DV4/SuperNPUBench/outputs/matmul_sheet_refresh_20261014/BF16_M256_N512_K7168_matmul_reuseA_tM128_tN256_tK128/build/kernel/matmul/elf/kernel_matmul_matmul_reuseA_B1_M256_N512_K7168_tM128_tN256_tK128_DType__bf16.elf</x:v>
      </x:c>
      <x:c r="Y88" s="942" t="str">
        <x:v>/Users/blacktraker/Programming/gitproj/DV4/SuperNPUBench/outputs/matmul_sheet_refresh_20261014/BF16_M256_N512_K7168_matmul_reuseA_tM128_tN256_tK128/gfsim.log</x:v>
      </x:c>
      <x:c r="Z88" s="942" t="str">
        <x:v>PASS（仅 timing）；目标 shape=M/K/N；实际编译 M=256, N=512, K=7168；BW113 / SoC mean330；ELF 和日志见 X/Y 列。</x:v>
      </x:c>
      <x:c r="AA88" s="1029"/>
      <x:c r="AB88" s="942" t="str">
        <x:v>matmul_reuseA; tM=128; tN=256; tK=128</x:v>
      </x:c>
      <x:c r="AC88" s="674" t="str">
        <x:v>否</x:v>
      </x:c>
      <x:c r="AD88" s="1263" t="str">
        <x:v>https://github.com/PTO-ISA/SuperNPUBench/blob/main/benchmark/one-level-arch/kernels/basic_op/matmul/matmul_reuseA.hpp#L281</x:v>
      </x:c>
    </x:row>
    <x:row r="89" ht="31.5" customHeight="1">
      <x:c r="A89" s="975" t="str">
        <x:v>matmul (ubm)</x:v>
      </x:c>
      <x:c r="B89" s="975" t="str">
        <x:v>BF16</x:v>
      </x:c>
      <x:c r="C89" s="982" t="n">
        <x:v>256</x:v>
      </x:c>
      <x:c r="D89" s="982" t="n">
        <x:v>512</x:v>
      </x:c>
      <x:c r="E89" s="982" t="n">
        <x:v>7168</x:v>
      </x:c>
      <x:c r="F89" s="975" t="str">
        <x:v>[256,7168,512]</x:v>
      </x:c>
      <x:c r="G89" s="975" t="str">
        <x:v>B-major</x:v>
      </x:c>
      <x:c r="H89" s="975" t="str">
        <x:v>matmul_reuseB</x:v>
      </x:c>
      <x:c r="I89" s="982" t="n">
        <x:v>128</x:v>
      </x:c>
      <x:c r="J89" s="982" t="n">
        <x:v>256</x:v>
      </x:c>
      <x:c r="K89" s="982" t="n">
        <x:v>128</x:v>
      </x:c>
      <x:c r="L89" s="994" t="n">
        <x:v>32</x:v>
      </x:c>
      <x:c r="M89" s="994" t="n">
        <x:v>64</x:v>
      </x:c>
      <x:c r="N89" s="994" t="n">
        <x:v>64</x:v>
      </x:c>
      <x:c r="O89" s="982"/>
      <x:c r="P89" s="995"/>
      <x:c r="Q89" s="982" t="n">
        <x:v>4096</x:v>
      </x:c>
      <x:c r="R89" s="982" t="n">
        <x:v>229376</x:v>
      </x:c>
      <x:c r="S89" s="996"/>
      <x:c r="T89" s="994" t="n">
        <x:v>64</x:v>
      </x:c>
      <x:c r="U89" s="994" t="n">
        <x:v>128</x:v>
      </x:c>
      <x:c r="V89" s="996" t="n">
        <x:v>1</x:v>
      </x:c>
      <x:c r="W89" s="674" t="str">
        <x:v>SIM_FAIL</x:v>
      </x:c>
      <x:c r="X89" s="942" t="str"/>
      <x:c r="Y89" s="942" t="str">
        <x:v>/Users/blacktraker/Programming/gitproj/DV4/SuperNPUBench/outputs/matmul_sheet_refresh_20261014/BF16_M256_N512_K7168_matmul_reuseB_tM128_tN256_tK128/gfsim.log</x:v>
      </x:c>
      <x:c r="Z89" s="942" t="str">
        <x:v>SIM_FAIL；目标 shape=M/K/N；实际编译 M=256, N=512, K=7168；日志见 Y 列；无有效 cycles/MFU。</x:v>
      </x:c>
      <x:c r="AA89" s="1029"/>
      <x:c r="AB89" s="942" t="str">
        <x:v>matmul_reuseB; tM=128; tN=256; tK=128</x:v>
      </x:c>
      <x:c r="AC89" s="674" t="str">
        <x:v>否</x:v>
      </x:c>
      <x:c r="AD89" s="1263" t="str">
        <x:v>https://github.com/PTO-ISA/SuperNPUBench/blob/main/benchmark/one-level-arch/kernels/basic_op/matmul/matmul_reuseB.hpp#L308</x:v>
      </x:c>
    </x:row>
    <x:row r="90" ht="31.5" customHeight="1">
      <x:c r="A90" s="976" t="str">
        <x:v>matmul (ubm)</x:v>
      </x:c>
      <x:c r="B90" s="976" t="str">
        <x:v>BF16</x:v>
      </x:c>
      <x:c r="C90" s="983" t="n">
        <x:v>256</x:v>
      </x:c>
      <x:c r="D90" s="983" t="n">
        <x:v>128</x:v>
      </x:c>
      <x:c r="E90" s="983" t="n">
        <x:v>32768</x:v>
      </x:c>
      <x:c r="F90" s="976" t="str">
        <x:v>[256,32768,128]</x:v>
      </x:c>
      <x:c r="G90" s="976" t="str">
        <x:v>B-major</x:v>
      </x:c>
      <x:c r="H90" s="976" t="str">
        <x:v>matmul_shared</x:v>
      </x:c>
      <x:c r="I90" s="1004" t="n">
        <x:v>128</x:v>
      </x:c>
      <x:c r="J90" s="1004" t="n">
        <x:v>128</x:v>
      </x:c>
      <x:c r="K90" s="1004" t="n">
        <x:v>128</x:v>
      </x:c>
      <x:c r="L90" s="1001" t="n">
        <x:v>32</x:v>
      </x:c>
      <x:c r="M90" s="1001" t="n">
        <x:v>32</x:v>
      </x:c>
      <x:c r="N90" s="1001" t="n">
        <x:v>64</x:v>
      </x:c>
      <x:c r="O90" s="998" t="n">
        <x:v>448020</x:v>
      </x:c>
      <x:c r="P90" s="999" t="n">
        <x:v>280.0125</x:v>
      </x:c>
      <x:c r="Q90" s="998" t="n">
        <x:v>4096</x:v>
      </x:c>
      <x:c r="R90" s="998" t="n">
        <x:v>262144</x:v>
      </x:c>
      <x:c r="S90" s="1000" t="n">
        <x:v>0.5851167358600062</x:v>
      </x:c>
      <x:c r="T90" s="1001" t="n">
        <x:v>128</x:v>
      </x:c>
      <x:c r="U90" s="1001" t="n">
        <x:v>128</x:v>
      </x:c>
      <x:c r="V90" s="1003" t="n">
        <x:v>1</x:v>
      </x:c>
      <x:c r="W90" s="685" t="str">
        <x:v>PASS</x:v>
      </x:c>
      <x:c r="X90" s="940" t="str">
        <x:v>/Users/blacktraker/Programming/gitproj/DV4/SuperNPUBench/outputs/matmul_sheet_refresh_20261014/BF16_M256_N128_K32768_matmul_shared_tM128_tN128_tK128/build/kernel/matmul/elf/kernel_matmul_matmul_shared_B1_M256_N128_K32768_tM128_tN128_tK128_DType__bf16.elf</x:v>
      </x:c>
      <x:c r="Y90" s="940" t="str">
        <x:v>/Users/blacktraker/Programming/gitproj/DV4/SuperNPUBench/outputs/matmul_sheet_refresh_20261014/BF16_M256_N128_K32768_matmul_shared_tM128_tN128_tK128/gfsim.log</x:v>
      </x:c>
      <x:c r="Z90" s="940" t="str">
        <x:v>PASS（仅 timing）；目标 shape=M/K/N；实际编译 M=256, N=128, K=32768；BW113 / SoC mean330；ELF 和日志见 X/Y 列。</x:v>
      </x:c>
      <x:c r="AA90" s="1029"/>
      <x:c r="AB90" s="940" t="str">
        <x:v>matmul_shared; tM=128; tN=128; tK=128</x:v>
      </x:c>
      <x:c r="AC90" s="966" t="str">
        <x:v>是</x:v>
      </x:c>
      <x:c r="AD90" s="1263" t="str">
        <x:v>https://github.com/PTO-ISA/SuperNPUBench/blob/main/benchmark/one-level-arch/kernels/basic_op/matmul/matmul_shared.hpp#L24</x:v>
      </x:c>
    </x:row>
    <x:row r="91" ht="31.5" customHeight="1">
      <x:c r="A91" s="976" t="str">
        <x:v>matmul (ubm)</x:v>
      </x:c>
      <x:c r="B91" s="976" t="str">
        <x:v>BF16</x:v>
      </x:c>
      <x:c r="C91" s="983" t="n">
        <x:v>256</x:v>
      </x:c>
      <x:c r="D91" s="983" t="n">
        <x:v>128</x:v>
      </x:c>
      <x:c r="E91" s="983" t="n">
        <x:v>32768</x:v>
      </x:c>
      <x:c r="F91" s="976" t="str">
        <x:v>[256,32768,128]</x:v>
      </x:c>
      <x:c r="G91" s="976" t="str">
        <x:v>B-major</x:v>
      </x:c>
      <x:c r="H91" s="976" t="str">
        <x:v>matmul_reuseA</x:v>
      </x:c>
      <x:c r="I91" s="983" t="n">
        <x:v>128</x:v>
      </x:c>
      <x:c r="J91" s="983" t="n">
        <x:v>128</x:v>
      </x:c>
      <x:c r="K91" s="983" t="n">
        <x:v>128</x:v>
      </x:c>
      <x:c r="L91" s="1001" t="n">
        <x:v>32</x:v>
      </x:c>
      <x:c r="M91" s="1001" t="n">
        <x:v>32</x:v>
      </x:c>
      <x:c r="N91" s="1001" t="n">
        <x:v>32</x:v>
      </x:c>
      <x:c r="O91" s="983" t="n">
        <x:v>330326</x:v>
      </x:c>
      <x:c r="P91" s="1002" t="n">
        <x:v>206.45375</x:v>
      </x:c>
      <x:c r="Q91" s="983" t="n">
        <x:v>4096</x:v>
      </x:c>
      <x:c r="R91" s="983" t="n">
        <x:v>262144</x:v>
      </x:c>
      <x:c r="S91" s="1003" t="n">
        <x:v>0.7935917850850372</x:v>
      </x:c>
      <x:c r="T91" s="1001" t="n">
        <x:v>64</x:v>
      </x:c>
      <x:c r="U91" s="1001" t="n">
        <x:v>128</x:v>
      </x:c>
      <x:c r="V91" s="1003" t="n">
        <x:v>1</x:v>
      </x:c>
      <x:c r="W91" s="685" t="str">
        <x:v>PASS</x:v>
      </x:c>
      <x:c r="X91" s="940" t="str">
        <x:v>/Users/blacktraker/Programming/gitproj/DV4/SuperNPUBench/outputs/matmul_sheet_refresh_20261014/BF16_M256_N128_K32768_matmul_reuseA_tM128_tN128_tK128/build/kernel/matmul/elf/kernel_matmul_matmul_reuseA_B1_M256_N128_K32768_tM128_tN128_tK128_DType__bf16.elf</x:v>
      </x:c>
      <x:c r="Y91" s="940" t="str">
        <x:v>/Users/blacktraker/Programming/gitproj/DV4/SuperNPUBench/outputs/matmul_sheet_refresh_20261014/BF16_M256_N128_K32768_matmul_reuseA_tM128_tN128_tK128/gfsim.log</x:v>
      </x:c>
      <x:c r="Z91" s="940" t="str">
        <x:v>PASS（仅 timing）；目标 shape=M/K/N；实际编译 M=256, N=128, K=32768；BW113 / SoC mean330；ELF 和日志见 X/Y 列。</x:v>
      </x:c>
      <x:c r="AA91" s="1029"/>
      <x:c r="AB91" s="940" t="str">
        <x:v>matmul_reuseA; tM=128; tN=128; tK=128</x:v>
      </x:c>
      <x:c r="AC91" s="685" t="str">
        <x:v>否</x:v>
      </x:c>
      <x:c r="AD91" s="1263" t="str">
        <x:v>https://github.com/PTO-ISA/SuperNPUBench/blob/main/benchmark/one-level-arch/kernels/basic_op/matmul/matmul_reuseA.hpp#L281</x:v>
      </x:c>
    </x:row>
    <x:row r="92" ht="31.5" customHeight="1">
      <x:c r="A92" s="976" t="str">
        <x:v>matmul (ubm)</x:v>
      </x:c>
      <x:c r="B92" s="976" t="str">
        <x:v>BF16</x:v>
      </x:c>
      <x:c r="C92" s="983" t="n">
        <x:v>256</x:v>
      </x:c>
      <x:c r="D92" s="983" t="n">
        <x:v>128</x:v>
      </x:c>
      <x:c r="E92" s="983" t="n">
        <x:v>32768</x:v>
      </x:c>
      <x:c r="F92" s="976" t="str">
        <x:v>[256,32768,128]</x:v>
      </x:c>
      <x:c r="G92" s="976" t="str">
        <x:v>B-major</x:v>
      </x:c>
      <x:c r="H92" s="976" t="str">
        <x:v>matmul_reuseB</x:v>
      </x:c>
      <x:c r="I92" s="1004" t="n">
        <x:v>128</x:v>
      </x:c>
      <x:c r="J92" s="1004" t="n">
        <x:v>128</x:v>
      </x:c>
      <x:c r="K92" s="1004" t="n">
        <x:v>128</x:v>
      </x:c>
      <x:c r="L92" s="1001" t="n">
        <x:v>32</x:v>
      </x:c>
      <x:c r="M92" s="1001" t="n">
        <x:v>32</x:v>
      </x:c>
      <x:c r="N92" s="1001" t="n">
        <x:v>32</x:v>
      </x:c>
      <x:c r="O92" s="998" t="n">
        <x:v>264886</x:v>
      </x:c>
      <x:c r="P92" s="999" t="n">
        <x:v>165.55375</x:v>
      </x:c>
      <x:c r="Q92" s="998" t="n">
        <x:v>4096</x:v>
      </x:c>
      <x:c r="R92" s="998" t="n">
        <x:v>262144</x:v>
      </x:c>
      <x:c r="S92" s="1000" t="n">
        <x:v>0.9896483770376691</x:v>
      </x:c>
      <x:c r="T92" s="1001" t="n">
        <x:v>64</x:v>
      </x:c>
      <x:c r="U92" s="1001" t="n">
        <x:v>128</x:v>
      </x:c>
      <x:c r="V92" s="1003" t="n">
        <x:v>1</x:v>
      </x:c>
      <x:c r="W92" s="685" t="str">
        <x:v>PASS</x:v>
      </x:c>
      <x:c r="X92" s="940" t="str">
        <x:v>/Users/blacktraker/Programming/gitproj/DV4/SuperNPUBench/outputs/matmul_sheet_refresh_20261014/BF16_M256_N128_K32768_matmul_reuseB_tM128_tN128_tK128/build/kernel/matmul/elf/kernel_matmul_matmul_reuseB_B1_M256_N128_K32768_tM128_tN128_tK128_DType__bf16.elf</x:v>
      </x:c>
      <x:c r="Y92" s="940" t="str">
        <x:v>/Users/blacktraker/Programming/gitproj/DV4/SuperNPUBench/outputs/matmul_sheet_refresh_20261014/BF16_M256_N128_K32768_matmul_reuseB_tM128_tN128_tK128/gfsim.log</x:v>
      </x:c>
      <x:c r="Z92" s="940" t="str">
        <x:v>PASS（仅 timing）；目标 shape=M/K/N；实际编译 M=256, N=128, K=32768；BW113 / SoC mean330；ELF 和日志见 X/Y 列。</x:v>
      </x:c>
      <x:c r="AA92" s="1029"/>
      <x:c r="AB92" s="940" t="str">
        <x:v>matmul_reuseB; tM=128; tN=128; tK=128</x:v>
      </x:c>
      <x:c r="AC92" s="966" t="str">
        <x:v>是</x:v>
      </x:c>
      <x:c r="AD92" s="1263" t="str">
        <x:v>https://github.com/PTO-ISA/SuperNPUBench/blob/main/benchmark/one-level-arch/kernels/basic_op/matmul/matmul_reuseB.hpp#L308</x:v>
      </x:c>
    </x:row>
    <x:row r="93" ht="31.5" customHeight="1">
      <x:c r="A93" s="976" t="str">
        <x:v>matmul (ubm)</x:v>
      </x:c>
      <x:c r="B93" s="976" t="str">
        <x:v>BF16</x:v>
      </x:c>
      <x:c r="C93" s="983" t="n">
        <x:v>256</x:v>
      </x:c>
      <x:c r="D93" s="983" t="n">
        <x:v>128</x:v>
      </x:c>
      <x:c r="E93" s="983" t="n">
        <x:v>32768</x:v>
      </x:c>
      <x:c r="F93" s="976" t="str">
        <x:v>[256,32768,128]</x:v>
      </x:c>
      <x:c r="G93" s="976" t="str">
        <x:v>B-major</x:v>
      </x:c>
      <x:c r="H93" s="976" t="str">
        <x:v>matmul_reuseA</x:v>
      </x:c>
      <x:c r="I93" s="983" t="n">
        <x:v>128</x:v>
      </x:c>
      <x:c r="J93" s="983" t="n">
        <x:v>128</x:v>
      </x:c>
      <x:c r="K93" s="983" t="n">
        <x:v>256</x:v>
      </x:c>
      <x:c r="L93" s="1001" t="n">
        <x:v>64</x:v>
      </x:c>
      <x:c r="M93" s="1001" t="n">
        <x:v>64</x:v>
      </x:c>
      <x:c r="N93" s="1001" t="n">
        <x:v>64</x:v>
      </x:c>
      <x:c r="O93" s="983" t="n">
        <x:v>324658</x:v>
      </x:c>
      <x:c r="P93" s="1002" t="n">
        <x:v>202.91125</x:v>
      </x:c>
      <x:c r="Q93" s="983" t="n">
        <x:v>4096</x:v>
      </x:c>
      <x:c r="R93" s="983" t="n">
        <x:v>262144</x:v>
      </x:c>
      <x:c r="S93" s="1003" t="n">
        <x:v>0.8074466053508615</x:v>
      </x:c>
      <x:c r="T93" s="1001" t="n">
        <x:v>64</x:v>
      </x:c>
      <x:c r="U93" s="1001" t="n">
        <x:v>64</x:v>
      </x:c>
      <x:c r="V93" s="1003" t="n">
        <x:v>1</x:v>
      </x:c>
      <x:c r="W93" s="685" t="str">
        <x:v>PASS</x:v>
      </x:c>
      <x:c r="X93" s="940" t="str">
        <x:v>/Users/blacktraker/Programming/gitproj/DV4/SuperNPUBench/outputs/matmul_sheet_refresh_20261014/BF16_M256_N128_K32768_matmul_reuseA_tM128_tN128_tK256/build/kernel/matmul/elf/kernel_matmul_matmul_reuseA_B1_M256_N128_K32768_tM128_tN128_tK256_DType__bf16.elf</x:v>
      </x:c>
      <x:c r="Y93" s="940" t="str">
        <x:v>/Users/blacktraker/Programming/gitproj/DV4/SuperNPUBench/outputs/matmul_sheet_refresh_20261014/BF16_M256_N128_K32768_matmul_reuseA_tM128_tN128_tK256/gfsim.log</x:v>
      </x:c>
      <x:c r="Z93" s="940" t="str">
        <x:v>PASS（仅 timing）；目标 shape=M/K/N；实际编译 M=256, N=128, K=32768；BW113 / SoC mean330；ELF 和日志见 X/Y 列。</x:v>
      </x:c>
      <x:c r="AA93" s="1029"/>
      <x:c r="AB93" s="940" t="str">
        <x:v>matmul_reuseA; tM=128; tN=128; tK=256</x:v>
      </x:c>
      <x:c r="AC93" s="685" t="str">
        <x:v>否</x:v>
      </x:c>
      <x:c r="AD93" s="1263" t="str">
        <x:v>https://github.com/PTO-ISA/SuperNPUBench/blob/main/benchmark/one-level-arch/kernels/basic_op/matmul/matmul_reuseA.hpp#L281</x:v>
      </x:c>
    </x:row>
    <x:row r="94" ht="31.5" customHeight="1">
      <x:c r="A94" s="976" t="str">
        <x:v>matmul (ubm)</x:v>
      </x:c>
      <x:c r="B94" s="976" t="str">
        <x:v>BF16</x:v>
      </x:c>
      <x:c r="C94" s="983" t="n">
        <x:v>256</x:v>
      </x:c>
      <x:c r="D94" s="983" t="n">
        <x:v>128</x:v>
      </x:c>
      <x:c r="E94" s="983" t="n">
        <x:v>32768</x:v>
      </x:c>
      <x:c r="F94" s="976" t="str">
        <x:v>[256,32768,128]</x:v>
      </x:c>
      <x:c r="G94" s="976" t="str">
        <x:v>B-major</x:v>
      </x:c>
      <x:c r="H94" s="976" t="str">
        <x:v>matmul_reuseB</x:v>
      </x:c>
      <x:c r="I94" s="983" t="n">
        <x:v>128</x:v>
      </x:c>
      <x:c r="J94" s="983" t="n">
        <x:v>128</x:v>
      </x:c>
      <x:c r="K94" s="983" t="n">
        <x:v>256</x:v>
      </x:c>
      <x:c r="L94" s="1001" t="n">
        <x:v>64</x:v>
      </x:c>
      <x:c r="M94" s="1001" t="n">
        <x:v>64</x:v>
      </x:c>
      <x:c r="N94" s="1001" t="n">
        <x:v>64</x:v>
      </x:c>
      <x:c r="O94" s="983" t="n">
        <x:v>265346</x:v>
      </x:c>
      <x:c r="P94" s="1002" t="n">
        <x:v>165.84125</x:v>
      </x:c>
      <x:c r="Q94" s="983" t="n">
        <x:v>4096</x:v>
      </x:c>
      <x:c r="R94" s="983" t="n">
        <x:v>262144</x:v>
      </x:c>
      <x:c r="S94" s="1003" t="n">
        <x:v>0.9879327368793952</x:v>
      </x:c>
      <x:c r="T94" s="1001" t="n">
        <x:v>64</x:v>
      </x:c>
      <x:c r="U94" s="1001" t="n">
        <x:v>64</x:v>
      </x:c>
      <x:c r="V94" s="1003" t="n">
        <x:v>1</x:v>
      </x:c>
      <x:c r="W94" s="685" t="str">
        <x:v>PASS</x:v>
      </x:c>
      <x:c r="X94" s="940" t="str">
        <x:v>/Users/blacktraker/Programming/gitproj/DV4/SuperNPUBench/outputs/matmul_sheet_refresh_20261014/BF16_M256_N128_K32768_matmul_reuseB_tM128_tN128_tK256/build/kernel/matmul/elf/kernel_matmul_matmul_reuseB_B1_M256_N128_K32768_tM128_tN128_tK256_DType__bf16.elf</x:v>
      </x:c>
      <x:c r="Y94" s="940" t="str">
        <x:v>/Users/blacktraker/Programming/gitproj/DV4/SuperNPUBench/outputs/matmul_sheet_refresh_20261014/BF16_M256_N128_K32768_matmul_reuseB_tM128_tN128_tK256/gfsim.log</x:v>
      </x:c>
      <x:c r="Z94" s="940" t="str">
        <x:v>PASS（仅 timing）；目标 shape=M/K/N；实际编译 M=256, N=128, K=32768；BW113 / SoC mean330；ELF 和日志见 X/Y 列。</x:v>
      </x:c>
      <x:c r="AA94" s="1029"/>
      <x:c r="AB94" s="940" t="str">
        <x:v>matmul_reuseB; tM=128; tN=128; tK=256</x:v>
      </x:c>
      <x:c r="AC94" s="685" t="str">
        <x:v>否</x:v>
      </x:c>
      <x:c r="AD94" s="1263" t="str">
        <x:v>https://github.com/PTO-ISA/SuperNPUBench/blob/main/benchmark/one-level-arch/kernels/basic_op/matmul/matmul_reuseB.hpp#L308</x:v>
      </x:c>
    </x:row>
    <x:row r="95" ht="31.5" customHeight="1">
      <x:c r="A95" s="977" t="str">
        <x:v>matmul (ubm)</x:v>
      </x:c>
      <x:c r="B95" s="977" t="str">
        <x:v>FP16</x:v>
      </x:c>
      <x:c r="C95" s="984" t="n">
        <x:v>288</x:v>
      </x:c>
      <x:c r="D95" s="984" t="n">
        <x:v>256</x:v>
      </x:c>
      <x:c r="E95" s="984" t="n">
        <x:v>7392</x:v>
      </x:c>
      <x:c r="F95" s="977" t="str">
        <x:v>[288,7392,256]</x:v>
      </x:c>
      <x:c r="G95" s="977" t="str">
        <x:v>B-major</x:v>
      </x:c>
      <x:c r="H95" s="977" t="str">
        <x:v>matmul_shared</x:v>
      </x:c>
      <x:c r="I95" s="1008" t="n">
        <x:v>128</x:v>
      </x:c>
      <x:c r="J95" s="1008" t="n">
        <x:v>256</x:v>
      </x:c>
      <x:c r="K95" s="1008" t="n">
        <x:v>32</x:v>
      </x:c>
      <x:c r="L95" s="1005" t="n">
        <x:v>8</x:v>
      </x:c>
      <x:c r="M95" s="1005" t="n">
        <x:v>16</x:v>
      </x:c>
      <x:c r="N95" s="1005" t="n">
        <x:v>24</x:v>
      </x:c>
      <x:c r="O95" s="998" t="n">
        <x:v>295720</x:v>
      </x:c>
      <x:c r="P95" s="999" t="n">
        <x:v>184.825</x:v>
      </x:c>
      <x:c r="Q95" s="998" t="n">
        <x:v>4096</x:v>
      </x:c>
      <x:c r="R95" s="998" t="n">
        <x:v>133056</x:v>
      </x:c>
      <x:c r="S95" s="1000" t="n">
        <x:v>0.44993913161098337</x:v>
      </x:c>
      <x:c r="T95" s="1005" t="n">
        <x:v>96</x:v>
      </x:c>
      <x:c r="U95" s="1005" t="n">
        <x:v>512</x:v>
      </x:c>
      <x:c r="V95" s="1007" t="n">
        <x:v>1</x:v>
      </x:c>
      <x:c r="W95" s="692" t="str">
        <x:v>PASS</x:v>
      </x:c>
      <x:c r="X95" s="944" t="str">
        <x:v>/Users/blacktraker/Programming/gitproj/DV4/SuperNPUBench/outputs/matmul_sheet_refresh_20261014/FP16_M288_N256_K7392_matmul_shared_tM128_tN256_tK32/build/kernel/matmul/elf/kernel_matmul_matmul_shared_B1_M288_N256_K7392_tM128_tN256_tK32_DType__half.elf</x:v>
      </x:c>
      <x:c r="Y95" s="944" t="str">
        <x:v>/Users/blacktraker/Programming/gitproj/DV4/SuperNPUBench/outputs/matmul_sheet_refresh_20261014/FP16_M288_N256_K7392_matmul_shared_tM128_tN256_tK32/gfsim.log</x:v>
      </x:c>
      <x:c r="Z95" s="944" t="str">
        <x:v>PASS（仅 timing）；目标 shape=M/K/N；实际编译 M=288, N=256, K=7392；BW113 / SoC mean330；ELF 和日志见 X/Y 列。</x:v>
      </x:c>
      <x:c r="AA95" s="1029"/>
      <x:c r="AB95" s="944" t="str">
        <x:v>matmul_shared; tM=128; tN=256; tK=32; tail=valid_row/valid_col</x:v>
      </x:c>
      <x:c r="AC95" s="968" t="str">
        <x:v>是</x:v>
      </x:c>
      <x:c r="AD95" s="1263" t="str">
        <x:v>https://github.com/PTO-ISA/SuperNPUBench/blob/main/benchmark/one-level-arch/kernels/basic_op/matmul/matmul_shared.hpp#L24</x:v>
      </x:c>
    </x:row>
    <x:row r="96" ht="31.5" customHeight="1">
      <x:c r="A96" s="977" t="str">
        <x:v>matmul (ubm)</x:v>
      </x:c>
      <x:c r="B96" s="977" t="str">
        <x:v>FP16</x:v>
      </x:c>
      <x:c r="C96" s="984" t="n">
        <x:v>288</x:v>
      </x:c>
      <x:c r="D96" s="984" t="n">
        <x:v>256</x:v>
      </x:c>
      <x:c r="E96" s="984" t="n">
        <x:v>7392</x:v>
      </x:c>
      <x:c r="F96" s="977" t="str">
        <x:v>[288,7392,256]</x:v>
      </x:c>
      <x:c r="G96" s="977" t="str">
        <x:v>B-major</x:v>
      </x:c>
      <x:c r="H96" s="977" t="str">
        <x:v>matmul_reuseA</x:v>
      </x:c>
      <x:c r="I96" s="984" t="n">
        <x:v>128</x:v>
      </x:c>
      <x:c r="J96" s="984" t="n">
        <x:v>128</x:v>
      </x:c>
      <x:c r="K96" s="984" t="n">
        <x:v>32</x:v>
      </x:c>
      <x:c r="L96" s="1005" t="n">
        <x:v>8</x:v>
      </x:c>
      <x:c r="M96" s="1005" t="n">
        <x:v>8</x:v>
      </x:c>
      <x:c r="N96" s="1005" t="n">
        <x:v>8</x:v>
      </x:c>
      <x:c r="O96" s="984" t="n">
        <x:v>319355</x:v>
      </x:c>
      <x:c r="P96" s="1006" t="n">
        <x:v>199.596875</x:v>
      </x:c>
      <x:c r="Q96" s="984" t="n">
        <x:v>4096</x:v>
      </x:c>
      <x:c r="R96" s="984" t="n">
        <x:v>133056</x:v>
      </x:c>
      <x:c r="S96" s="1007" t="n">
        <x:v>0.41663978957586384</x:v>
      </x:c>
      <x:c r="T96" s="1005" t="n">
        <x:v>64</x:v>
      </x:c>
      <x:c r="U96" s="1005" t="n">
        <x:v>512</x:v>
      </x:c>
      <x:c r="V96" s="1007" t="n">
        <x:v>1</x:v>
      </x:c>
      <x:c r="W96" s="692" t="str">
        <x:v>PASS</x:v>
      </x:c>
      <x:c r="X96" s="944" t="str">
        <x:v>/Users/blacktraker/Programming/gitproj/DV4/SuperNPUBench/outputs/matmul_sheet_refresh_20261014/FP16_M288_N256_K7392_matmul_reuseA_tM128_tN128_tK32/build/kernel/matmul/elf/kernel_matmul_matmul_reuseA_B1_M288_N256_K7392_tM128_tN128_tK32_DType__half.elf</x:v>
      </x:c>
      <x:c r="Y96" s="944" t="str">
        <x:v>/Users/blacktraker/Programming/gitproj/DV4/SuperNPUBench/outputs/matmul_sheet_refresh_20261014/FP16_M288_N256_K7392_matmul_reuseA_tM128_tN128_tK32/gfsim.log</x:v>
      </x:c>
      <x:c r="Z96" s="944" t="str">
        <x:v>PASS（仅 timing）；目标 shape=M/K/N；实际编译 M=288, N=256, K=7392；BW113 / SoC mean330；ELF 和日志见 X/Y 列。</x:v>
      </x:c>
      <x:c r="AA96" s="1029"/>
      <x:c r="AB96" s="944" t="str">
        <x:v>matmul_reuseA; tM=128; tN=128; tK=32; tail=valid_row/valid_col</x:v>
      </x:c>
      <x:c r="AC96" s="692" t="str">
        <x:v>否</x:v>
      </x:c>
      <x:c r="AD96" s="1263" t="str">
        <x:v>https://github.com/PTO-ISA/SuperNPUBench/blob/main/benchmark/one-level-arch/kernels/basic_op/matmul/matmul_reuseA.hpp#L281</x:v>
      </x:c>
    </x:row>
    <x:row r="97" ht="31.5" customHeight="1">
      <x:c r="A97" s="977" t="str">
        <x:v>matmul (ubm)</x:v>
      </x:c>
      <x:c r="B97" s="977" t="str">
        <x:v>FP16</x:v>
      </x:c>
      <x:c r="C97" s="984" t="n">
        <x:v>288</x:v>
      </x:c>
      <x:c r="D97" s="984" t="n">
        <x:v>256</x:v>
      </x:c>
      <x:c r="E97" s="984" t="n">
        <x:v>7392</x:v>
      </x:c>
      <x:c r="F97" s="977" t="str">
        <x:v>[288,7392,256]</x:v>
      </x:c>
      <x:c r="G97" s="977" t="str">
        <x:v>B-major</x:v>
      </x:c>
      <x:c r="H97" s="977" t="str">
        <x:v>matmul_reuseB</x:v>
      </x:c>
      <x:c r="I97" s="984" t="n">
        <x:v>128</x:v>
      </x:c>
      <x:c r="J97" s="984" t="n">
        <x:v>128</x:v>
      </x:c>
      <x:c r="K97" s="984" t="n">
        <x:v>32</x:v>
      </x:c>
      <x:c r="L97" s="1005" t="n">
        <x:v>8</x:v>
      </x:c>
      <x:c r="M97" s="1005" t="n">
        <x:v>8</x:v>
      </x:c>
      <x:c r="N97" s="1005" t="n">
        <x:v>8</x:v>
      </x:c>
      <x:c r="O97" s="984" t="n">
        <x:v>319876</x:v>
      </x:c>
      <x:c r="P97" s="1006" t="n">
        <x:v>199.9225</x:v>
      </x:c>
      <x:c r="Q97" s="984" t="n">
        <x:v>4096</x:v>
      </x:c>
      <x:c r="R97" s="984" t="n">
        <x:v>133056</x:v>
      </x:c>
      <x:c r="S97" s="1007" t="n">
        <x:v>0.41596118495917167</x:v>
      </x:c>
      <x:c r="T97" s="1005" t="n">
        <x:v>64</x:v>
      </x:c>
      <x:c r="U97" s="1005" t="n">
        <x:v>512</x:v>
      </x:c>
      <x:c r="V97" s="1007" t="n">
        <x:v>1</x:v>
      </x:c>
      <x:c r="W97" s="692" t="str">
        <x:v>PASS</x:v>
      </x:c>
      <x:c r="X97" s="944" t="str">
        <x:v>/Users/blacktraker/Programming/gitproj/DV4/SuperNPUBench/outputs/matmul_sheet_refresh_20261014/FP16_M288_N256_K7392_matmul_reuseB_tM128_tN128_tK32/build/kernel/matmul/elf/kernel_matmul_matmul_reuseB_B1_M288_N256_K7392_tM128_tN128_tK32_DType__half.elf</x:v>
      </x:c>
      <x:c r="Y97" s="944" t="str">
        <x:v>/Users/blacktraker/Programming/gitproj/DV4/SuperNPUBench/outputs/matmul_sheet_refresh_20261014/FP16_M288_N256_K7392_matmul_reuseB_tM128_tN128_tK32/gfsim.log</x:v>
      </x:c>
      <x:c r="Z97" s="944" t="str">
        <x:v>PASS（仅 timing）；目标 shape=M/K/N；实际编译 M=288, N=256, K=7392；BW113 / SoC mean330；ELF 和日志见 X/Y 列。</x:v>
      </x:c>
      <x:c r="AA97" s="1029"/>
      <x:c r="AB97" s="944" t="str">
        <x:v>matmul_reuseB; tM=128; tN=128; tK=32; tail=valid_row/valid_col</x:v>
      </x:c>
      <x:c r="AC97" s="692" t="str">
        <x:v>否</x:v>
      </x:c>
      <x:c r="AD97" s="1263" t="str">
        <x:v>https://github.com/PTO-ISA/SuperNPUBench/blob/main/benchmark/one-level-arch/kernels/basic_op/matmul/matmul_reuseB.hpp#L308</x:v>
      </x:c>
    </x:row>
    <x:row r="98" ht="31.5" customHeight="1">
      <x:c r="A98" s="977" t="str">
        <x:v>matmul (ubm)</x:v>
      </x:c>
      <x:c r="B98" s="977" t="str">
        <x:v>FP16</x:v>
      </x:c>
      <x:c r="C98" s="984" t="n">
        <x:v>288</x:v>
      </x:c>
      <x:c r="D98" s="984" t="n">
        <x:v>256</x:v>
      </x:c>
      <x:c r="E98" s="984" t="n">
        <x:v>7392</x:v>
      </x:c>
      <x:c r="F98" s="977" t="str">
        <x:v>[288,7392,256]</x:v>
      </x:c>
      <x:c r="G98" s="977" t="str">
        <x:v>B-major</x:v>
      </x:c>
      <x:c r="H98" s="977" t="str">
        <x:v>matmul_reuseA</x:v>
      </x:c>
      <x:c r="I98" s="984" t="n">
        <x:v>128</x:v>
      </x:c>
      <x:c r="J98" s="984" t="n">
        <x:v>256</x:v>
      </x:c>
      <x:c r="K98" s="984" t="n">
        <x:v>32</x:v>
      </x:c>
      <x:c r="L98" s="1005" t="n">
        <x:v>8</x:v>
      </x:c>
      <x:c r="M98" s="1005" t="n">
        <x:v>16</x:v>
      </x:c>
      <x:c r="N98" s="1005" t="n">
        <x:v>16</x:v>
      </x:c>
      <x:c r="O98" s="984" t="n">
        <x:v>298680</x:v>
      </x:c>
      <x:c r="P98" s="1006" t="n">
        <x:v>186.675</x:v>
      </x:c>
      <x:c r="Q98" s="984" t="n">
        <x:v>4096</x:v>
      </x:c>
      <x:c r="R98" s="984" t="n">
        <x:v>133056</x:v>
      </x:c>
      <x:c r="S98" s="1007" t="n">
        <x:v>0.4454801124949779</x:v>
      </x:c>
      <x:c r="T98" s="1005" t="n">
        <x:v>64</x:v>
      </x:c>
      <x:c r="U98" s="1005" t="n">
        <x:v>512</x:v>
      </x:c>
      <x:c r="V98" s="1007" t="n">
        <x:v>1</x:v>
      </x:c>
      <x:c r="W98" s="692" t="str">
        <x:v>PASS</x:v>
      </x:c>
      <x:c r="X98" s="944" t="str">
        <x:v>/Users/blacktraker/Programming/gitproj/DV4/SuperNPUBench/outputs/matmul_sheet_refresh_20261014/FP16_M288_N256_K7392_matmul_reuseA_tM128_tN256_tK32/build/kernel/matmul/elf/kernel_matmul_matmul_reuseA_B1_M288_N256_K7392_tM128_tN256_tK32_DType__half.elf</x:v>
      </x:c>
      <x:c r="Y98" s="944" t="str">
        <x:v>/Users/blacktraker/Programming/gitproj/DV4/SuperNPUBench/outputs/matmul_sheet_refresh_20261014/FP16_M288_N256_K7392_matmul_reuseA_tM128_tN256_tK32/gfsim.log</x:v>
      </x:c>
      <x:c r="Z98" s="944" t="str">
        <x:v>PASS（仅 timing）；目标 shape=M/K/N；实际编译 M=288, N=256, K=7392；BW113 / SoC mean330；ELF 和日志见 X/Y 列。</x:v>
      </x:c>
      <x:c r="AA98" s="1029"/>
      <x:c r="AB98" s="944" t="str">
        <x:v>matmul_reuseA; tM=128; tN=256; tK=32; tail=valid_row/valid_col</x:v>
      </x:c>
      <x:c r="AC98" s="692" t="str">
        <x:v>否</x:v>
      </x:c>
      <x:c r="AD98" s="1263" t="str">
        <x:v>https://github.com/PTO-ISA/SuperNPUBench/blob/main/benchmark/one-level-arch/kernels/basic_op/matmul/matmul_reuseA.hpp#L281</x:v>
      </x:c>
    </x:row>
    <x:row r="99" ht="31.5" customHeight="1">
      <x:c r="A99" s="977" t="str">
        <x:v>matmul (ubm)</x:v>
      </x:c>
      <x:c r="B99" s="977" t="str">
        <x:v>FP16</x:v>
      </x:c>
      <x:c r="C99" s="984" t="n">
        <x:v>288</x:v>
      </x:c>
      <x:c r="D99" s="984" t="n">
        <x:v>256</x:v>
      </x:c>
      <x:c r="E99" s="984" t="n">
        <x:v>7392</x:v>
      </x:c>
      <x:c r="F99" s="977" t="str">
        <x:v>[288,7392,256]</x:v>
      </x:c>
      <x:c r="G99" s="977" t="str">
        <x:v>B-major</x:v>
      </x:c>
      <x:c r="H99" s="977" t="str">
        <x:v>matmul_reuseB</x:v>
      </x:c>
      <x:c r="I99" s="1008" t="n">
        <x:v>128</x:v>
      </x:c>
      <x:c r="J99" s="1008" t="n">
        <x:v>256</x:v>
      </x:c>
      <x:c r="K99" s="1008" t="n">
        <x:v>32</x:v>
      </x:c>
      <x:c r="L99" s="1005" t="n">
        <x:v>8</x:v>
      </x:c>
      <x:c r="M99" s="1005" t="n">
        <x:v>16</x:v>
      </x:c>
      <x:c r="N99" s="1005" t="n">
        <x:v>16</x:v>
      </x:c>
      <x:c r="O99" s="998" t="n">
        <x:v>227427</x:v>
      </x:c>
      <x:c r="P99" s="999" t="n">
        <x:v>142.141875</x:v>
      </x:c>
      <x:c r="Q99" s="998" t="n">
        <x:v>4096</x:v>
      </x:c>
      <x:c r="R99" s="998" t="n">
        <x:v>133056</x:v>
      </x:c>
      <x:c r="S99" s="1000" t="n">
        <x:v>0.5850492685565039</x:v>
      </x:c>
      <x:c r="T99" s="1005" t="n">
        <x:v>64</x:v>
      </x:c>
      <x:c r="U99" s="1005" t="n">
        <x:v>512</x:v>
      </x:c>
      <x:c r="V99" s="1007" t="n">
        <x:v>1</x:v>
      </x:c>
      <x:c r="W99" s="692" t="str">
        <x:v>PASS</x:v>
      </x:c>
      <x:c r="X99" s="944" t="str">
        <x:v>/Users/blacktraker/Programming/gitproj/DV4/SuperNPUBench/outputs/matmul_sheet_refresh_20261014/FP16_M288_N256_K7392_matmul_reuseB_tM128_tN256_tK32/build/kernel/matmul/elf/kernel_matmul_matmul_reuseB_B1_M288_N256_K7392_tM128_tN256_tK32_DType__half.elf</x:v>
      </x:c>
      <x:c r="Y99" s="944" t="str">
        <x:v>/Users/blacktraker/Programming/gitproj/DV4/SuperNPUBench/outputs/matmul_sheet_refresh_20261014/FP16_M288_N256_K7392_matmul_reuseB_tM128_tN256_tK32/gfsim.log</x:v>
      </x:c>
      <x:c r="Z99" s="944" t="str">
        <x:v>PASS（仅 timing）；目标 shape=M/K/N；实际编译 M=288, N=256, K=7392；BW113 / SoC mean330；ELF 和日志见 X/Y 列。</x:v>
      </x:c>
      <x:c r="AA99" s="1029"/>
      <x:c r="AB99" s="944" t="str">
        <x:v>matmul_reuseB; tM=128; tN=256; tK=32; tail=valid_row/valid_col</x:v>
      </x:c>
      <x:c r="AC99" s="968" t="str">
        <x:v>否</x:v>
      </x:c>
      <x:c r="AD99" s="1263" t="str">
        <x:v>https://github.com/PTO-ISA/SuperNPUBench/blob/main/benchmark/one-level-arch/kernels/basic_op/matmul/matmul_reuseB.hpp#L308</x:v>
      </x:c>
    </x:row>
    <x:row r="100" ht="31.5" customHeight="1">
      <x:c r="A100" s="979" t="str">
        <x:v>matmul (ubm)</x:v>
      </x:c>
      <x:c r="B100" s="979" t="str">
        <x:v>HIF4</x:v>
      </x:c>
      <x:c r="C100" s="986" t="n">
        <x:v>48</x:v>
      </x:c>
      <x:c r="D100" s="986" t="n">
        <x:v>96</x:v>
      </x:c>
      <x:c r="E100" s="986" t="n">
        <x:v>7168</x:v>
      </x:c>
      <x:c r="F100" s="979" t="str">
        <x:v>[48,7168,96]</x:v>
      </x:c>
      <x:c r="G100" s="979" t="str">
        <x:v>B-major</x:v>
      </x:c>
      <x:c r="H100" s="979" t="str">
        <x:v>matmul_lowp</x:v>
      </x:c>
      <x:c r="I100" s="986" t="n">
        <x:v>128</x:v>
      </x:c>
      <x:c r="J100" s="986" t="n">
        <x:v>128</x:v>
      </x:c>
      <x:c r="K100" s="986" t="n">
        <x:v>128</x:v>
      </x:c>
      <x:c r="L100" s="1013" t="n">
        <x:v>4</x:v>
      </x:c>
      <x:c r="M100" s="1013" t="n">
        <x:v>8</x:v>
      </x:c>
      <x:c r="N100" s="1013" t="n">
        <x:v>36</x:v>
      </x:c>
      <x:c r="O100" s="986" t="n">
        <x:v>47372</x:v>
      </x:c>
      <x:c r="P100" s="1014" t="n">
        <x:v>29.6075</x:v>
      </x:c>
      <x:c r="Q100" s="986" t="n">
        <x:v>32768</x:v>
      </x:c>
      <x:c r="R100" s="986" t="n">
        <x:v>1008</x:v>
      </x:c>
      <x:c r="S100" s="1015" t="n">
        <x:v>0.0212783922992485</x:v>
      </x:c>
      <x:c r="T100" s="1013" t="n">
        <x:v>576</x:v>
      </x:c>
      <x:c r="U100" s="1013" t="n">
        <x:v>1024</x:v>
      </x:c>
      <x:c r="V100" s="1015" t="n">
        <x:v>0.2222222222222222</x:v>
      </x:c>
      <x:c r="W100" s="709" t="str">
        <x:v>PASS</x:v>
      </x:c>
      <x:c r="X100" s="1024" t="str">
        <x:v>/Users/blacktraker/Programming/gitproj/DV4/SuperNPUBench/outputs/matmul_sheet_refresh_20261014/HIF4_M48_N96_K7168_tM128_tN128_tK128/build/kernel/matmul/elf/kernel_matmul_matmul_lowp_HIF4_B1_M48_N96_K7168_tM128_tN128_tK128.elf</x:v>
      </x:c>
      <x:c r="Y100" s="1024" t="str">
        <x:v>/Users/blacktraker/Programming/gitproj/DV4/SuperNPUBench/outputs/matmul_sheet_refresh_20261014/HIF4_M48_N96_K7168_tM128_tN128_tK128/gfsim.log</x:v>
      </x:c>
      <x:c r="Z100" s="1024" t="str">
        <x:v>PASS（仅 timing）；目标 shape=M/K/N；实际编译 M=48, N=96, K=7168；BW113 / SoC mean330；MX scale SharedTile=24KiB；ELF 和日志见 X/Y 列。</x:v>
      </x:c>
      <x:c r="AA100" s="1029"/>
      <x:c r="AB100" s="1024" t="str">
        <x:v>matmul_lowp; tM=128; tN=128; tK=128; tail=valid_row/valid_col</x:v>
      </x:c>
      <x:c r="AC100" s="709" t="str">
        <x:v>否</x:v>
      </x:c>
      <x:c r="AD100" s="1263" t="str">
        <x:v>https://github.com/PTO-ISA/SuperNPUBench/blob/main/benchmark/one-level-arch/kernels/basic_op/matmul/matmul_shared_lowp.hpp#L20</x:v>
      </x:c>
    </x:row>
    <x:row r="101" ht="31.5" customHeight="1">
      <x:c r="A101" s="979" t="str">
        <x:v>matmul (ubm)</x:v>
      </x:c>
      <x:c r="B101" s="979" t="str">
        <x:v>HIF4</x:v>
      </x:c>
      <x:c r="C101" s="986" t="n">
        <x:v>48</x:v>
      </x:c>
      <x:c r="D101" s="986" t="n">
        <x:v>96</x:v>
      </x:c>
      <x:c r="E101" s="986" t="n">
        <x:v>7168</x:v>
      </x:c>
      <x:c r="F101" s="979" t="str">
        <x:v>[48,7168,96]</x:v>
      </x:c>
      <x:c r="G101" s="979" t="str">
        <x:v>B-major</x:v>
      </x:c>
      <x:c r="H101" s="979" t="str">
        <x:v>matmul_lowp</x:v>
      </x:c>
      <x:c r="I101" s="986" t="n">
        <x:v>128</x:v>
      </x:c>
      <x:c r="J101" s="986" t="n">
        <x:v>128</x:v>
      </x:c>
      <x:c r="K101" s="986" t="n">
        <x:v>256</x:v>
      </x:c>
      <x:c r="L101" s="1013" t="n">
        <x:v>8</x:v>
      </x:c>
      <x:c r="M101" s="1013" t="n">
        <x:v>16</x:v>
      </x:c>
      <x:c r="N101" s="1013" t="n">
        <x:v>48</x:v>
      </x:c>
      <x:c r="O101" s="986" t="n">
        <x:v>27312</x:v>
      </x:c>
      <x:c r="P101" s="1014" t="n">
        <x:v>17.07</x:v>
      </x:c>
      <x:c r="Q101" s="986" t="n">
        <x:v>32768</x:v>
      </x:c>
      <x:c r="R101" s="986" t="n">
        <x:v>1008</x:v>
      </x:c>
      <x:c r="S101" s="1015" t="n">
        <x:v>0.03690685413005272</x:v>
      </x:c>
      <x:c r="T101" s="1013" t="n">
        <x:v>384</x:v>
      </x:c>
      <x:c r="U101" s="1013" t="n">
        <x:v>512</x:v>
      </x:c>
      <x:c r="V101" s="1015" t="n">
        <x:v>0.3333333333333333</x:v>
      </x:c>
      <x:c r="W101" s="709" t="str">
        <x:v>PASS</x:v>
      </x:c>
      <x:c r="X101" s="1024" t="str">
        <x:v>/Users/blacktraker/Programming/gitproj/DV4/SuperNPUBench/outputs/matmul_sheet_refresh_20261014/HIF4_M48_N96_K7168_tM128_tN128_tK256/build/kernel/matmul/elf/kernel_matmul_matmul_lowp_HIF4_B1_M48_N96_K7168_tM128_tN128_tK256.elf</x:v>
      </x:c>
      <x:c r="Y101" s="1024" t="str">
        <x:v>/Users/blacktraker/Programming/gitproj/DV4/SuperNPUBench/outputs/matmul_sheet_refresh_20261014/HIF4_M48_N96_K7168_tM128_tN128_tK256/gfsim.log</x:v>
      </x:c>
      <x:c r="Z101" s="1024" t="str">
        <x:v>PASS（仅 timing）；目标 shape=M/K/N；实际编译 M=48, N=96, K=7168；BW113 / SoC mean330；MX scale SharedTile=24KiB；ELF 和日志见 X/Y 列。</x:v>
      </x:c>
      <x:c r="AA101" s="1029"/>
      <x:c r="AB101" s="1024" t="str">
        <x:v>matmul_lowp; tM=128; tN=128; tK=256; tail=valid_row/valid_col</x:v>
      </x:c>
      <x:c r="AC101" s="709" t="str">
        <x:v>否</x:v>
      </x:c>
      <x:c r="AD101" s="1263" t="str">
        <x:v>https://github.com/PTO-ISA/SuperNPUBench/blob/main/benchmark/one-level-arch/kernels/basic_op/matmul/matmul_shared_lowp.hpp#L20</x:v>
      </x:c>
    </x:row>
    <x:row r="102" ht="31.5" customHeight="1">
      <x:c r="A102" s="980" t="str">
        <x:v>matmul (ubm)</x:v>
      </x:c>
      <x:c r="B102" s="980" t="str">
        <x:v>HIF4</x:v>
      </x:c>
      <x:c r="C102" s="987" t="n">
        <x:v>48</x:v>
      </x:c>
      <x:c r="D102" s="987" t="n">
        <x:v>96</x:v>
      </x:c>
      <x:c r="E102" s="987" t="n">
        <x:v>7168</x:v>
      </x:c>
      <x:c r="F102" s="980" t="str">
        <x:v>[48,7168,96]</x:v>
      </x:c>
      <x:c r="G102" s="980" t="str">
        <x:v>B-major</x:v>
      </x:c>
      <x:c r="H102" s="980" t="str">
        <x:v>matmul_lowp</x:v>
      </x:c>
      <x:c r="I102" s="1016" t="n">
        <x:v>128</x:v>
      </x:c>
      <x:c r="J102" s="1016" t="n">
        <x:v>128</x:v>
      </x:c>
      <x:c r="K102" s="1016" t="n">
        <x:v>1024</x:v>
      </x:c>
      <x:c r="L102" s="1017" t="n">
        <x:v>32</x:v>
      </x:c>
      <x:c r="M102" s="1017" t="n">
        <x:v>64</x:v>
      </x:c>
      <x:c r="N102" s="1017" t="n">
        <x:v>120</x:v>
      </x:c>
      <x:c r="O102" s="987" t="n">
        <x:v>26738</x:v>
      </x:c>
      <x:c r="P102" s="1018" t="n">
        <x:v>16.71125</x:v>
      </x:c>
      <x:c r="Q102" s="987" t="n">
        <x:v>32768</x:v>
      </x:c>
      <x:c r="R102" s="987" t="n">
        <x:v>1008</x:v>
      </x:c>
      <x:c r="S102" s="1000" t="n">
        <x:v>0.037699154761014285</x:v>
      </x:c>
      <x:c r="T102" s="1017" t="n">
        <x:v>240</x:v>
      </x:c>
      <x:c r="U102" s="1017" t="n">
        <x:v>128</x:v>
      </x:c>
      <x:c r="V102" s="1019" t="n">
        <x:v>0.5333333333333333</x:v>
      </x:c>
      <x:c r="W102" s="727" t="str">
        <x:v>PASS</x:v>
      </x:c>
      <x:c r="X102" s="1025" t="str">
        <x:v>/Users/blacktraker/Programming/gitproj/DV4/SuperNPUBench/outputs/matmul_sheet_refresh_20261014/HIF4_M48_N96_K7168_tM128_tN128_tK1024/build/kernel/matmul/elf/kernel_matmul_matmul_lowp_HIF4_B1_M48_N96_K7168_tM128_tN128_tK1024.elf</x:v>
      </x:c>
      <x:c r="Y102" s="1025" t="str">
        <x:v>/Users/blacktraker/Programming/gitproj/DV4/SuperNPUBench/outputs/matmul_sheet_refresh_20261014/HIF4_M48_N96_K7168_tM128_tN128_tK1024/gfsim.log</x:v>
      </x:c>
      <x:c r="Z102" s="1025" t="str">
        <x:v>PASS（仅 timing）；目标 shape=M/K/N；实际编译 M=48, N=96, K=7168；BW113 / SoC mean330；MX scale SharedTile=24KiB；ELF 和日志见 X/Y 列。</x:v>
      </x:c>
      <x:c r="AA102" s="1029"/>
      <x:c r="AB102" s="1025" t="str">
        <x:v>matmul_lowp; tM=128; tN=128; tK=1024; tail=valid_row/valid_col</x:v>
      </x:c>
      <x:c r="AC102" s="727" t="str">
        <x:v>否</x:v>
      </x:c>
      <x:c r="AD102" s="1263" t="str">
        <x:v>https://github.com/PTO-ISA/SuperNPUBench/blob/main/benchmark/one-level-arch/kernels/basic_op/matmul/matmul_shared_lowp.hpp#L20</x:v>
      </x:c>
    </x:row>
    <x:row r="103" ht="31.5" customHeight="1">
      <x:c r="A103" s="980" t="str">
        <x:v>matmul (ubm)</x:v>
      </x:c>
      <x:c r="B103" s="980" t="str">
        <x:v>HIF4</x:v>
      </x:c>
      <x:c r="C103" s="987" t="n">
        <x:v>256</x:v>
      </x:c>
      <x:c r="D103" s="987" t="n">
        <x:v>1280</x:v>
      </x:c>
      <x:c r="E103" s="987" t="n">
        <x:v>4096</x:v>
      </x:c>
      <x:c r="F103" s="980" t="str">
        <x:v>[256,4096,1280]</x:v>
      </x:c>
      <x:c r="G103" s="980" t="str">
        <x:v>B-major</x:v>
      </x:c>
      <x:c r="H103" s="980" t="str">
        <x:v>matmul_lowp</x:v>
      </x:c>
      <x:c r="I103" s="1016" t="n">
        <x:v>128</x:v>
      </x:c>
      <x:c r="J103" s="1016" t="n">
        <x:v>256</x:v>
      </x:c>
      <x:c r="K103" s="1016" t="n">
        <x:v>256</x:v>
      </x:c>
      <x:c r="L103" s="1017" t="n">
        <x:v>16</x:v>
      </x:c>
      <x:c r="M103" s="1017" t="n">
        <x:v>32</x:v>
      </x:c>
      <x:c r="N103" s="1017" t="n">
        <x:v>96</x:v>
      </x:c>
      <x:c r="O103" s="987" t="n">
        <x:v>148454</x:v>
      </x:c>
      <x:c r="P103" s="1018" t="n">
        <x:v>92.78375</x:v>
      </x:c>
      <x:c r="Q103" s="987" t="n">
        <x:v>32768</x:v>
      </x:c>
      <x:c r="R103" s="987" t="n">
        <x:v>40960</x:v>
      </x:c>
      <x:c r="S103" s="1000" t="n">
        <x:v>0.27591038301426707</x:v>
      </x:c>
      <x:c r="T103" s="1017" t="n">
        <x:v>384</x:v>
      </x:c>
      <x:c r="U103" s="1017" t="n">
        <x:v>512</x:v>
      </x:c>
      <x:c r="V103" s="1019" t="n">
        <x:v>0.3333333333333333</x:v>
      </x:c>
      <x:c r="W103" s="727" t="str">
        <x:v>PASS</x:v>
      </x:c>
      <x:c r="X103" s="1025" t="str">
        <x:v>/Users/blacktraker/Programming/gitproj/DV4/SuperNPUBench/outputs/matmul_sheet_refresh_20261014/HIF4_M256_N1280_K4096_tM128_tN256_tK256/build/kernel/matmul/elf/kernel_matmul_matmul_lowp_HIF4_B1_M256_N1280_K4096_tM128_tN256_tK256.elf</x:v>
      </x:c>
      <x:c r="Y103" s="1025" t="str">
        <x:v>/Users/blacktraker/Programming/gitproj/DV4/SuperNPUBench/outputs/matmul_sheet_refresh_20261014/HIF4_M256_N1280_K4096_tM128_tN256_tK256/gfsim.log</x:v>
      </x:c>
      <x:c r="Z103" s="1025" t="str">
        <x:v>PASS（仅 timing）；目标 shape=M/K/N；实际编译 M=256, N=1280, K=4096；BW113 / SoC mean330；MX scale SharedTile=48KiB；ELF 和日志见 X/Y 列。</x:v>
      </x:c>
      <x:c r="AA103" s="1029"/>
      <x:c r="AB103" s="1025" t="str">
        <x:v>matmul_lowp; tM=128; tN=256; tK=256</x:v>
      </x:c>
      <x:c r="AC103" s="727" t="str">
        <x:v>否</x:v>
      </x:c>
      <x:c r="AD103" s="1263" t="str">
        <x:v>https://github.com/PTO-ISA/SuperNPUBench/blob/main/benchmark/one-level-arch/kernels/basic_op/matmul/matmul_shared_lowp.hpp#L20</x:v>
      </x:c>
    </x:row>
    <x:row r="104" ht="31.5" customHeight="1">
      <x:c r="A104" s="979" t="str">
        <x:v>matmul (ubm)</x:v>
      </x:c>
      <x:c r="B104" s="979" t="str">
        <x:v>HIF4</x:v>
      </x:c>
      <x:c r="C104" s="986" t="n">
        <x:v>256</x:v>
      </x:c>
      <x:c r="D104" s="986" t="n">
        <x:v>1280</x:v>
      </x:c>
      <x:c r="E104" s="986" t="n">
        <x:v>4096</x:v>
      </x:c>
      <x:c r="F104" s="979" t="str">
        <x:v>[256,4096,1280]</x:v>
      </x:c>
      <x:c r="G104" s="979" t="str">
        <x:v>B-major</x:v>
      </x:c>
      <x:c r="H104" s="979" t="str">
        <x:v>matmul_lowp</x:v>
      </x:c>
      <x:c r="I104" s="986" t="n">
        <x:v>128</x:v>
      </x:c>
      <x:c r="J104" s="986" t="n">
        <x:v>256</x:v>
      </x:c>
      <x:c r="K104" s="986" t="n">
        <x:v>512</x:v>
      </x:c>
      <x:c r="L104" s="1013" t="n">
        <x:v>32</x:v>
      </x:c>
      <x:c r="M104" s="1013" t="n">
        <x:v>64</x:v>
      </x:c>
      <x:c r="N104" s="1013" t="n">
        <x:v>144</x:v>
      </x:c>
      <x:c r="O104" s="986" t="n">
        <x:v>192454</x:v>
      </x:c>
      <x:c r="P104" s="1014" t="n">
        <x:v>120.28375</x:v>
      </x:c>
      <x:c r="Q104" s="986" t="n">
        <x:v>32768</x:v>
      </x:c>
      <x:c r="R104" s="986" t="n">
        <x:v>40960</x:v>
      </x:c>
      <x:c r="S104" s="1015" t="n">
        <x:v>0.21283007887599115</x:v>
      </x:c>
      <x:c r="T104" s="1013" t="n">
        <x:v>288</x:v>
      </x:c>
      <x:c r="U104" s="1013" t="n">
        <x:v>256</x:v>
      </x:c>
      <x:c r="V104" s="1015" t="n">
        <x:v>0.4444444444444444</x:v>
      </x:c>
      <x:c r="W104" s="709" t="str">
        <x:v>PASS</x:v>
      </x:c>
      <x:c r="X104" s="1024" t="str">
        <x:v>/Users/blacktraker/Programming/gitproj/DV4/SuperNPUBench/outputs/matmul_sheet_refresh_20261014/HIF4_M256_N1280_K4096_tM128_tN256_tK512/build/kernel/matmul/elf/kernel_matmul_matmul_lowp_HIF4_B1_M256_N1280_K4096_tM128_tN256_tK512.elf</x:v>
      </x:c>
      <x:c r="Y104" s="1024" t="str">
        <x:v>/Users/blacktraker/Programming/gitproj/DV4/SuperNPUBench/outputs/matmul_sheet_refresh_20261014/HIF4_M256_N1280_K4096_tM128_tN256_tK512/gfsim.log</x:v>
      </x:c>
      <x:c r="Z104" s="1024" t="str">
        <x:v>PASS（仅 timing）；目标 shape=M/K/N；实际编译 M=256, N=1280, K=4096；BW113 / SoC mean330；MX scale SharedTile=48KiB；ELF 和日志见 X/Y 列。</x:v>
      </x:c>
      <x:c r="AA104" s="1029"/>
      <x:c r="AB104" s="1024" t="str">
        <x:v>matmul_lowp; tM=128; tN=256; tK=512</x:v>
      </x:c>
      <x:c r="AC104" s="709" t="str">
        <x:v>否</x:v>
      </x:c>
      <x:c r="AD104" s="1263" t="str">
        <x:v>https://github.com/PTO-ISA/SuperNPUBench/blob/main/benchmark/one-level-arch/kernels/basic_op/matmul/matmul_shared_lowp.hpp#L20</x:v>
      </x:c>
    </x:row>
    <x:row r="105" ht="31.5" customHeight="1">
      <x:c r="A105" s="977" t="str">
        <x:v>matmul (ubm)</x:v>
      </x:c>
      <x:c r="B105" s="977" t="str">
        <x:v>FP16</x:v>
      </x:c>
      <x:c r="C105" s="984" t="n">
        <x:v>288</x:v>
      </x:c>
      <x:c r="D105" s="984" t="n">
        <x:v>256</x:v>
      </x:c>
      <x:c r="E105" s="984" t="n">
        <x:v>7392</x:v>
      </x:c>
      <x:c r="F105" s="977" t="str">
        <x:v>[288,7392,256]</x:v>
      </x:c>
      <x:c r="G105" s="977" t="str">
        <x:v>B-major</x:v>
      </x:c>
      <x:c r="H105" s="977" t="str">
        <x:v>matmul_reuseB_ktail</x:v>
      </x:c>
      <x:c r="I105" s="1008" t="n">
        <x:v>128</x:v>
      </x:c>
      <x:c r="J105" s="1008" t="n">
        <x:v>128</x:v>
      </x:c>
      <x:c r="K105" s="1008" t="n">
        <x:v>128</x:v>
      </x:c>
      <x:c r="L105" s="1005" t="n">
        <x:v>32</x:v>
      </x:c>
      <x:c r="M105" s="1005" t="n">
        <x:v>32</x:v>
      </x:c>
      <x:c r="N105" s="1005" t="n">
        <x:v>32</x:v>
      </x:c>
      <x:c r="O105" s="998" t="n">
        <x:v>180352</x:v>
      </x:c>
      <x:c r="P105" s="999" t="n">
        <x:v>112.72</x:v>
      </x:c>
      <x:c r="Q105" s="998" t="n">
        <x:v>4096</x:v>
      </x:c>
      <x:c r="R105" s="998" t="n">
        <x:v>133056</x:v>
      </x:c>
      <x:c r="S105" s="1000" t="n">
        <x:v>0.7377572746628814</x:v>
      </x:c>
      <x:c r="T105" s="1005" t="n">
        <x:v>64</x:v>
      </x:c>
      <x:c r="U105" s="1005" t="n">
        <x:v>128</x:v>
      </x:c>
      <x:c r="V105" s="1007" t="n">
        <x:v>1</x:v>
      </x:c>
      <x:c r="W105" s="692" t="str">
        <x:v>PASS</x:v>
      </x:c>
      <x:c r="X105" s="944" t="str">
        <x:v>/Users/blacktraker/Programming/gitproj/DV4/SuperNPUBench/outputs/matmul_sheet_refresh_20261014/FP16_M288_N256_K7392_matmul_reuseB_ktail_tM128_tN128_tK128/build/kernel/matmul/elf/kernel_matmul_matmul_reuseB_ktail_B1_M288_N256_K7392_tM128_tN128_tK128_DType__half.elf</x:v>
      </x:c>
      <x:c r="Y105" s="944" t="str">
        <x:v>/Users/blacktraker/Programming/gitproj/DV4/SuperNPUBench/outputs/matmul_sheet_refresh_20261014/FP16_M288_N256_K7392_matmul_reuseB_ktail_tM128_tN128_tK128/gfsim.log</x:v>
      </x:c>
      <x:c r="Z105" s="944" t="str">
        <x:v>PASS（timing + gfrun 数值）；真实 M/K/N=[288,7392,256]，无补零；K 尾块 64+32，M 尾块 32；源码 /Users/blacktraker/Programming/gitproj/DV4/SuperNPUBench/benchmark/one-level-arch/kernels/basic_op/matmul/matmul_reuseB_ktail.hpp；driver /Users/blacktraker/Programming/gitproj/DV4/SuperNPUBench/benchmark/one-level-arch/test/kernel/matmul/src/matmul_reuseB_ktail.cpp；gfrun /Users/blacktraker/Programming/gitproj/DV4/SuperNPUBench/outputs/matmul_sheet_refresh_20261014/FP16_M288_N256_K7392_matmul_reuseB_ktail_tM128_tN128_tK128/gfrun_check.log；ELF/日志见 X/Y。</x:v>
      </x:c>
      <x:c r="AA105" s="1030" t="str">
        <x:v>cd /Users/blacktraker/Programming/gitproj/DV4/SuperScalarModel-main
ELF="/Users/blacktraker/Programming/gitproj/DV4/SuperNPUBench/outputs/matmul_sheet_refresh_20261014/FP16_M288_N256_K7392_matmul_reuseB_ktail_tM128_tN128_tK128/build/kernel/matmul/elf/kernel_matmul_matmul_reuseB_ktail_B1_M288_N256_K7392_tM128_tN128_tK128_DType__half.elf"
./bin/gfsim \
  -s softcore.multiThreadNum=4 \
  -s cube.enable_internal_acc=true \
  -s bctrl.vec_cell_sched_enable=true \
  -s core.soc_random=true \
  -s core.soc_bw_limit=113 \
  -s core.soc_lat_mean=330 \
  -s core.sharetreg_size_bytes=262144 \
  -s core.sharetreg_ssb_count=64 \
  -f "$ELF"</x:v>
      </x:c>
      <x:c r="AB105" s="944" t="str">
        <x:v>matmul_reuseB_ktail; tM=128; tN=128; tK=128; tail=K64+32/M32</x:v>
      </x:c>
      <x:c r="AC105" s="968" t="str">
        <x:v>否</x:v>
      </x:c>
      <x:c r="AD105" s="1263" t="str">
        <x:v>https://github.com/PTO-ISA/SuperNPUBench/blob/a96a6ec94723ce4d78ae8cb6938e6b65d6b7ac48/eval/perf_data/source_snapshots/20261019/matmul_reuseB_ktail.hpp#L187</x:v>
      </x:c>
    </x:row>
    <x:row r="106" ht="31.5" customHeight="1">
      <x:c r="A106" s="977" t="str">
        <x:v>matmul (ubm)</x:v>
      </x:c>
      <x:c r="B106" s="977" t="str">
        <x:v>FP16</x:v>
      </x:c>
      <x:c r="C106" s="984" t="n">
        <x:v>288</x:v>
      </x:c>
      <x:c r="D106" s="984" t="n">
        <x:v>256</x:v>
      </x:c>
      <x:c r="E106" s="984" t="n">
        <x:v>7392</x:v>
      </x:c>
      <x:c r="F106" s="977" t="str">
        <x:v>[288,7392,256]</x:v>
      </x:c>
      <x:c r="G106" s="977" t="str">
        <x:v>B-major</x:v>
      </x:c>
      <x:c r="H106" s="977" t="str">
        <x:v>matmul_reuseB</x:v>
      </x:c>
      <x:c r="I106" s="984" t="n">
        <x:v>128</x:v>
      </x:c>
      <x:c r="J106" s="984" t="n">
        <x:v>256</x:v>
      </x:c>
      <x:c r="K106" s="984" t="n">
        <x:v>128</x:v>
      </x:c>
      <x:c r="L106" s="1005" t="n">
        <x:v>32</x:v>
      </x:c>
      <x:c r="M106" s="1005" t="n">
        <x:v>64</x:v>
      </x:c>
      <x:c r="N106" s="1005" t="n">
        <x:v>64</x:v>
      </x:c>
      <x:c r="O106" s="984" t="n">
        <x:v>183104</x:v>
      </x:c>
      <x:c r="P106" s="1006" t="n">
        <x:v>114.44</x:v>
      </x:c>
      <x:c r="Q106" s="984" t="n">
        <x:v>4096</x:v>
      </x:c>
      <x:c r="R106" s="984" t="n">
        <x:v>133056</x:v>
      </x:c>
      <x:c r="S106" s="1007" t="n">
        <x:v>0.7266689968542468</x:v>
      </x:c>
      <x:c r="T106" s="1005" t="n">
        <x:v>64</x:v>
      </x:c>
      <x:c r="U106" s="1005" t="n">
        <x:v>128</x:v>
      </x:c>
      <x:c r="V106" s="1007" t="n">
        <x:v>1</x:v>
      </x:c>
      <x:c r="W106" s="692" t="str">
        <x:v>PASS</x:v>
      </x:c>
      <x:c r="X106" s="944" t="str">
        <x:v>/Users/blacktraker/Programming/gitproj/DV4/SuperNPUBench/outputs/matmul_reuseB_original_FP16_M288_N256_K7392_tM128_tN256_tK128/build/kernel/matmul/elf/kernel_matmul_matmul_reuseB_B1_M288_N256_K7392_tM128_tN256_tK128_DType__half.elf</x:v>
      </x:c>
      <x:c r="Y106" s="944" t="str">
        <x:v>/Users/blacktraker/Programming/gitproj/DV4/SuperNPUBench/outputs/matmul_reuseB_original_FP16_M288_N256_K7392_tM128_tN256_tK128/gfsim.log</x:v>
      </x:c>
      <x:c r="Z106" s="944" t="str">
        <x:v>PASS（timing + gfrun 数值，mismatches=0）；K尾块 valid_col=64+32，M尾块32行；源码 /Users/blacktraker/Programming/gitproj/DV4/SuperNPUBench/benchmark/one-level-arch/kernels/basic_op/matmul/matmul_reuseB.hpp；gfrun /Users/blacktraker/Programming/gitproj/DV4/SuperNPUBench/outputs/matmul_reuseB_original_FP16_M288_N256_K7392_tM128_tN256_tK128/gfrun_check.log；反汇编 /Users/blacktraker/Programming/gitproj/DV4/SuperNPUBench/outputs/matmul_reuseB_original_FP16_M288_N256_K7392_tM128_tN256_tK128/operator.elf.diss；编译器 e6a31efb4cfb17f1f1c33265cbf6dbb61bbba156，gfsim ee6d1432b9badedc23243a18e0b801672e8788ec，gfrun b5fd94e94fadcb82b8682ce7100dbfa1e310598b。</x:v>
      </x:c>
      <x:c r="AA106" s="1033" t="str">
        <x:v>cd /Users/blacktraker/Programming/gitproj/DV4/SuperScalarModel-main
./bin/gfsim \
  -s softcore.multiThreadNum=4 \
  -s cube.enable_internal_acc=true \
  -s bctrl.vec_cell_sched_enable=true \
  -s core.soc_random=true \
  -s core.soc_bw_limit=113 \
  -s core.soc_lat_mean=330 \
  -s core.sharetreg_size_bytes=262144 \
  -s core.sharetreg_ssb_count=64 \
  -f "$ELF"</x:v>
      </x:c>
      <x:c r="AB106" s="944" t="str">
        <x:v>matmul_reuseB; tM=128; tN=256; tK=128; K尾块=valid_col(64+32); M尾块=32</x:v>
      </x:c>
      <x:c r="AC106" s="692" t="str">
        <x:v>否</x:v>
      </x:c>
      <x:c r="AD106" s="1263" t="str">
        <x:v>https://github.com/PTO-ISA/SuperNPUBench/blob/main/benchmark/one-level-arch/kernels/basic_op/matmul/matmul_reuseB.hpp#L308</x:v>
      </x:c>
    </x:row>
    <x:row r="107" ht="31.5" customHeight="1">
      <x:c r="A107" s="977" t="str">
        <x:v>matmul (ubm)</x:v>
      </x:c>
      <x:c r="B107" s="977" t="str">
        <x:v>FP16</x:v>
      </x:c>
      <x:c r="C107" s="984" t="n">
        <x:v>288</x:v>
      </x:c>
      <x:c r="D107" s="984" t="n">
        <x:v>256</x:v>
      </x:c>
      <x:c r="E107" s="984" t="n">
        <x:v>7392</x:v>
      </x:c>
      <x:c r="F107" s="977" t="str">
        <x:v>[288,7392,256]</x:v>
      </x:c>
      <x:c r="G107" s="977" t="str">
        <x:v>B-major</x:v>
      </x:c>
      <x:c r="H107" s="977" t="str">
        <x:v>matmul_reuseB</x:v>
      </x:c>
      <x:c r="I107" s="984" t="n">
        <x:v>128</x:v>
      </x:c>
      <x:c r="J107" s="984" t="n">
        <x:v>128</x:v>
      </x:c>
      <x:c r="K107" s="984" t="n">
        <x:v>128</x:v>
      </x:c>
      <x:c r="L107" s="1005" t="n">
        <x:v>32</x:v>
      </x:c>
      <x:c r="M107" s="1005" t="n">
        <x:v>32</x:v>
      </x:c>
      <x:c r="N107" s="1005" t="n">
        <x:v>32</x:v>
      </x:c>
      <x:c r="O107" s="984" t="n">
        <x:v>183593</x:v>
      </x:c>
      <x:c r="P107" s="1006" t="n">
        <x:v>114.745625</x:v>
      </x:c>
      <x:c r="Q107" s="984" t="n">
        <x:v>4096</x:v>
      </x:c>
      <x:c r="R107" s="984" t="n">
        <x:v>133056</x:v>
      </x:c>
      <x:c r="S107" s="1007" t="n">
        <x:v>0.7247335138049925</x:v>
      </x:c>
      <x:c r="T107" s="1005" t="n">
        <x:v>64</x:v>
      </x:c>
      <x:c r="U107" s="1005" t="n">
        <x:v>128</x:v>
      </x:c>
      <x:c r="V107" s="1007" t="n">
        <x:v>1</x:v>
      </x:c>
      <x:c r="W107" s="692" t="str">
        <x:v>PASS</x:v>
      </x:c>
      <x:c r="X107" s="944" t="str">
        <x:v>/Users/blacktraker/Programming/gitproj/DV4/SuperNPUBench/outputs/matmul_reuseB_validcol_regression_tN128/build/kernel/matmul/elf/kernel_matmul_matmul_reuseB_B1_M288_N256_K7392_tM128_tN128_tK128_DType__half.elf</x:v>
      </x:c>
      <x:c r="Y107" s="944" t="str">
        <x:v>/Users/blacktraker/Programming/gitproj/DV4/SuperNPUBench/outputs/matmul_reuseB_validcol_regression_tN128/gfsim.log</x:v>
      </x:c>
      <x:c r="Z107" s="944" t="str">
        <x:v>PASS（timing + gfrun 数值，mismatches=0）；K尾块 valid_col=64+32，M尾块32行；源码 /Users/blacktraker/Programming/gitproj/DV4/SuperNPUBench/benchmark/one-level-arch/kernels/basic_op/matmul/matmul_reuseB.hpp；gfrun /Users/blacktraker/Programming/gitproj/DV4/SuperNPUBench/outputs/matmul_reuseB_validcol_regression_tN128/gfrun_check.log；反汇编 /Users/blacktraker/Programming/gitproj/DV4/SuperNPUBench/outputs/matmul_reuseB_validcol_regression_tN128/operator.elf.diss；编译器 e6a31efb4cfb17f1f1c33265cbf6dbb61bbba156，gfsim ee6d1432b9badedc23243a18e0b801672e8788ec，gfrun b5fd94e94fadcb82b8682ce7100dbfa1e310598b。</x:v>
      </x:c>
      <x:c r="AA107" s="1033"/>
      <x:c r="AB107" s="944" t="str">
        <x:v>matmul_reuseB; tM=128; tN=128; tK=128; K尾块=valid_col(64+32); M尾块=32</x:v>
      </x:c>
      <x:c r="AC107" s="692" t="str">
        <x:v>否</x:v>
      </x:c>
      <x:c r="AD107" s="1263" t="str">
        <x:v>https://github.com/PTO-ISA/SuperNPUBench/blob/main/benchmark/one-level-arch/kernels/basic_op/matmul/matmul_reuseB.hpp#L308</x:v>
      </x:c>
    </x:row>
    <x:row r="108" ht="31.5" customHeight="1">
      <x:c r="A108" s="977" t="str">
        <x:v>matmul (ubm)</x:v>
      </x:c>
      <x:c r="B108" s="977" t="str">
        <x:v>FP16</x:v>
      </x:c>
      <x:c r="C108" s="984" t="n">
        <x:v>288</x:v>
      </x:c>
      <x:c r="D108" s="984" t="n">
        <x:v>256</x:v>
      </x:c>
      <x:c r="E108" s="984" t="n">
        <x:v>7392</x:v>
      </x:c>
      <x:c r="F108" s="977" t="str">
        <x:v>[288,7392,256]</x:v>
      </x:c>
      <x:c r="G108" s="977" t="str">
        <x:v>B-major</x:v>
      </x:c>
      <x:c r="H108" s="977" t="str">
        <x:v>matmul_reuseB</x:v>
      </x:c>
      <x:c r="I108" s="984" t="n">
        <x:v>128</x:v>
      </x:c>
      <x:c r="J108" s="984" t="n">
        <x:v>128</x:v>
      </x:c>
      <x:c r="K108" s="984" t="n">
        <x:v>128</x:v>
      </x:c>
      <x:c r="L108" s="1005" t="n">
        <x:v>8</x:v>
      </x:c>
      <x:c r="M108" s="1005" t="n">
        <x:v>32</x:v>
      </x:c>
      <x:c r="N108" s="1005" t="n">
        <x:v>32</x:v>
      </x:c>
      <x:c r="O108" s="984"/>
      <x:c r="P108" s="1006"/>
      <x:c r="Q108" s="984" t="n">
        <x:v>4096</x:v>
      </x:c>
      <x:c r="R108" s="984"/>
      <x:c r="S108" s="1007"/>
      <x:c r="T108" s="1005"/>
      <x:c r="U108" s="1005"/>
      <x:c r="V108" s="1007"/>
      <x:c r="W108" s="692" t="str">
        <x:v>COMPILE_FAIL</x:v>
      </x:c>
      <x:c r="X108" s="944"/>
      <x:c r="Y108" s="944" t="str">
        <x:v>/Users/blacktraker/Programming/gitproj/DV4/SuperNPUBench/outputs/matmul_refresh_20261017/matmul_reuseB_tN128_tK128_current_build_probe/build_perf.log</x:v>
      </x:c>
      <x:c r="Z108" s="944" t="str">
        <x:v>2026-10-17 当前源码编译失败：matmul_reuseB_mtail_cellA 未定义。 数值检查=未执行；compiler=e6a31efb4cfb17f1f1c33265cbf6dbb61bbba156；gfsim=e82a4c14553eb2a33194d71fad45168d05cb3db0；gfrun=cb7b3912cc1c25cd0c69335780ce5610ea5d2063；A容量按每PE CellReg计，B为Shared；混合M/复用链的带宽项不沿用单tile公式，T:V留空。 build=/Users/blacktraker/Programming/gitproj/DV4/SuperNPUBench/outputs/matmul_refresh_20261017/matmul_reuseB_tN128_tK128_current_build_probe/build_perf.log 源码快照=/Users/blacktraker/Programming/gitproj/DV4/SuperNPUBench/outputs/matmul_refresh_20261017/source_snapshot；manifest=/Users/blacktraker/Programming/gitproj/DV4/SuperNPUBench/outputs/matmul_refresh_20261017/results.json</x:v>
      </x:c>
      <x:c r="AA108" s="1034" t="str">
        <x:v>编译失败，见证据日志</x:v>
      </x:c>
      <x:c r="AB108" s="944" t="str">
        <x:v>matmul_reuseB; tM/tN/tK=128/128/128</x:v>
      </x:c>
      <x:c r="AC108" s="692" t="str">
        <x:v>否</x:v>
      </x:c>
      <x:c r="AD108" s="1026" t="str">
        <x:v>源码缺失：仅保留ELF，无法提供对应函数体</x:v>
      </x:c>
    </x:row>
    <x:row r="109" ht="31.5" customHeight="1">
      <x:c r="A109" s="977" t="str">
        <x:v>matmul (ubm)</x:v>
      </x:c>
      <x:c r="B109" s="977" t="str">
        <x:v>FP16</x:v>
      </x:c>
      <x:c r="C109" s="984" t="n">
        <x:v>288</x:v>
      </x:c>
      <x:c r="D109" s="984" t="n">
        <x:v>256</x:v>
      </x:c>
      <x:c r="E109" s="984" t="n">
        <x:v>7392</x:v>
      </x:c>
      <x:c r="F109" s="977" t="str">
        <x:v>[288,7392,256]</x:v>
      </x:c>
      <x:c r="G109" s="977" t="str">
        <x:v>B-major</x:v>
      </x:c>
      <x:c r="H109" s="977" t="str">
        <x:v>matmul_reuseB</x:v>
      </x:c>
      <x:c r="I109" s="984" t="n">
        <x:v>128</x:v>
      </x:c>
      <x:c r="J109" s="984" t="n">
        <x:v>128</x:v>
      </x:c>
      <x:c r="K109" s="984" t="n">
        <x:v>128</x:v>
      </x:c>
      <x:c r="L109" s="1005" t="n">
        <x:v>8</x:v>
      </x:c>
      <x:c r="M109" s="1005" t="n">
        <x:v>32</x:v>
      </x:c>
      <x:c r="N109" s="1005" t="n">
        <x:v>32</x:v>
      </x:c>
      <x:c r="O109" s="984" t="n">
        <x:v>151603</x:v>
      </x:c>
      <x:c r="P109" s="1006" t="n">
        <x:f>O109/('Markdown完整列表'!$B$4*1000)</x:f>
        <x:v>94.751875</x:v>
      </x:c>
      <x:c r="Q109" s="984" t="n">
        <x:v>4096</x:v>
      </x:c>
      <x:c r="R109" s="984" t="n">
        <x:f>C109*D109*E109/Q109</x:f>
        <x:v>133056</x:v>
      </x:c>
      <x:c r="S109" s="1036" t="n">
        <x:f>R109/O109</x:f>
        <x:v>0.8776607323074082</x:v>
      </x:c>
      <x:c r="T109" s="1005"/>
      <x:c r="U109" s="1005"/>
      <x:c r="V109" s="1007"/>
      <x:c r="W109" s="692" t="str">
        <x:v>PASS</x:v>
      </x:c>
      <x:c r="X109" s="944" t="str">
        <x:v>/Users/blacktraker/Programming/gitproj/DV4/SuperNPUBench/outputs/matmul_refresh_20261017/matmul_reuseB_tN128_tK128_retained_elf/perf.elf</x:v>
      </x:c>
      <x:c r="Y109" s="944" t="str">
        <x:v>/Users/blacktraker/Programming/gitproj/DV4/SuperNPUBench/outputs/matmul_refresh_20261017/matmul_reuseB_tN128_tK128_retained_elf/gfsim.log</x:v>
      </x:c>
      <x:c r="Z109" s="944" t="str">
        <x:v>2026-10-17 保留ELF重测；性能与check ELF为分别编译的配对产物；当前源码缺失 matmul_reuseB_mtail_cellA 定义，不能声称源码可重编。 数值检查=PASS；compiler=e6a31efb4cfb17f1f1c33265cbf6dbb61bbba156；gfsim=e82a4c14553eb2a33194d71fad45168d05cb3db0；gfrun=cb7b3912cc1c25cd0c69335780ce5610ea5d2063；A容量按每PE CellReg计，B为Shared；混合M/复用链的带宽项不沿用单tile公式，T:V留空。 gfrun=/Users/blacktraker/Programming/gitproj/DV4/SuperNPUBench/outputs/matmul_refresh_20261017/matmul_reuseB_tN128_tK128_retained_elf/golden_named.log；ELF SHA256=9603a52d69444558f296aaa8a4e175e6d7ebdfd42a2cef4c7b16181ff29eb719； 源码快照=/Users/blacktraker/Programming/gitproj/DV4/SuperNPUBench/outputs/matmul_refresh_20261017/source_snapshot；manifest=/Users/blacktraker/Programming/gitproj/DV4/SuperNPUBench/outputs/matmul_refresh_20261017/results.json</x:v>
      </x:c>
      <x:c r="AA109" s="1034" t="str">
        <x:v>cd /Users/blacktraker/Programming/gitproj/DV4/SuperScalarModel-main
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/Users/blacktraker/Programming/gitproj/DV4/SuperNPUBench/outputs/matmul_refresh_20261017/matmul_reuseB_tN128_tK128_retained_elf/perf.elf</x:v>
      </x:c>
      <x:c r="AB109" s="944" t="str">
        <x:v>matmul_reuseB; tM/tN/tK=128/128/128; ELF重测/源码缺失</x:v>
      </x:c>
      <x:c r="AC109" s="692" t="str">
        <x:v>否</x:v>
      </x:c>
      <x:c r="AD109" s="1026" t="str">
        <x:v>源码缺失：仅保留ELF，无法提供对应函数体</x:v>
      </x:c>
    </x:row>
    <x:row r="110" ht="31.5" customHeight="1">
      <x:c r="A110" s="977" t="str">
        <x:v>matmul (ubm)</x:v>
      </x:c>
      <x:c r="B110" s="977" t="str">
        <x:v>FP16</x:v>
      </x:c>
      <x:c r="C110" s="984" t="n">
        <x:v>288</x:v>
      </x:c>
      <x:c r="D110" s="984" t="n">
        <x:v>256</x:v>
      </x:c>
      <x:c r="E110" s="984" t="n">
        <x:v>7392</x:v>
      </x:c>
      <x:c r="F110" s="977" t="str">
        <x:v>[288,7392,256]</x:v>
      </x:c>
      <x:c r="G110" s="977" t="str">
        <x:v>B-major</x:v>
      </x:c>
      <x:c r="H110" s="977" t="str">
        <x:v>matmul_reuseB</x:v>
      </x:c>
      <x:c r="I110" s="984" t="n">
        <x:v>128</x:v>
      </x:c>
      <x:c r="J110" s="984" t="n">
        <x:v>256</x:v>
      </x:c>
      <x:c r="K110" s="984" t="n">
        <x:v>128</x:v>
      </x:c>
      <x:c r="L110" s="1005" t="n">
        <x:v>8</x:v>
      </x:c>
      <x:c r="M110" s="1005" t="n">
        <x:v>64</x:v>
      </x:c>
      <x:c r="N110" s="1005" t="n">
        <x:v>64</x:v>
      </x:c>
      <x:c r="O110" s="984" t="n">
        <x:v>152370</x:v>
      </x:c>
      <x:c r="P110" s="1006" t="n">
        <x:f>O110/('Markdown完整列表'!$B$4*1000)</x:f>
        <x:v>95.23125</x:v>
      </x:c>
      <x:c r="Q110" s="984" t="n">
        <x:v>4096</x:v>
      </x:c>
      <x:c r="R110" s="984" t="n">
        <x:f>C110*D110*E110/Q110</x:f>
        <x:v>133056</x:v>
      </x:c>
      <x:c r="S110" s="1007" t="n">
        <x:f>R110/O110</x:f>
        <x:v>0.8732427643236857</x:v>
      </x:c>
      <x:c r="T110" s="1005"/>
      <x:c r="U110" s="1005"/>
      <x:c r="V110" s="1007"/>
      <x:c r="W110" s="692" t="str">
        <x:v>PASS</x:v>
      </x:c>
      <x:c r="X110" s="944" t="str">
        <x:v>/Users/blacktraker/Programming/gitproj/DV4/SuperNPUBench/outputs/matmul_refresh_20261017/matmul_reuseB_tN256_tK128_retained_elf/perf.elf</x:v>
      </x:c>
      <x:c r="Y110" s="944" t="str">
        <x:v>/Users/blacktraker/Programming/gitproj/DV4/SuperNPUBench/outputs/matmul_refresh_20261017/matmul_reuseB_tN256_tK128_retained_elf/gfsim.log</x:v>
      </x:c>
      <x:c r="Z110" s="944" t="str">
        <x:v>2026-10-17 保留ELF重测；性能与check ELF为分别编译的配对产物；当前源码缺失 matmul_reuseB_mtail_cellA 定义，不能声称源码可重编。 数值检查=PASS；compiler=e6a31efb4cfb17f1f1c33265cbf6dbb61bbba156；gfsim=e82a4c14553eb2a33194d71fad45168d05cb3db0；gfrun=cb7b3912cc1c25cd0c69335780ce5610ea5d2063；A容量按每PE CellReg计，B为Shared；混合M/复用链的带宽项不沿用单tile公式，T:V留空。 gfrun=/Users/blacktraker/Programming/gitproj/DV4/SuperNPUBench/outputs/matmul_refresh_20261017/matmul_reuseB_tN256_tK128_retained_elf/golden_named.log；ELF SHA256=dd8e5a0c582846c01c8ff1097d59c3c2fc738005c9542a4d5bcddd06e689cb3e； 源码快照=/Users/blacktraker/Programming/gitproj/DV4/SuperNPUBench/outputs/matmul_refresh_20261017/source_snapshot；manifest=/Users/blacktraker/Programming/gitproj/DV4/SuperNPUBench/outputs/matmul_refresh_20261017/results.json</x:v>
      </x:c>
      <x:c r="AA110" s="1034" t="str">
        <x:v>cd /Users/blacktraker/Programming/gitproj/DV4/SuperScalarModel-main
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/Users/blacktraker/Programming/gitproj/DV4/SuperNPUBench/outputs/matmul_refresh_20261017/matmul_reuseB_tN256_tK128_retained_elf/perf.elf</x:v>
      </x:c>
      <x:c r="AB110" s="944" t="str">
        <x:v>matmul_reuseB; tM/tN/tK=128/256/128; ELF重测/源码缺失</x:v>
      </x:c>
      <x:c r="AC110" s="692" t="str">
        <x:v>否</x:v>
      </x:c>
      <x:c r="AD110" s="1026" t="str">
        <x:v>源码缺失：仅保留ELF，无法提供对应函数体</x:v>
      </x:c>
    </x:row>
    <x:row r="111" ht="31.5" customHeight="1">
      <x:c r="A111" s="977" t="str">
        <x:v>matmul (ubm)</x:v>
      </x:c>
      <x:c r="B111" s="977" t="str">
        <x:v>FP16</x:v>
      </x:c>
      <x:c r="C111" s="984" t="n">
        <x:v>288</x:v>
      </x:c>
      <x:c r="D111" s="984" t="n">
        <x:v>256</x:v>
      </x:c>
      <x:c r="E111" s="984" t="n">
        <x:v>7392</x:v>
      </x:c>
      <x:c r="F111" s="977" t="str">
        <x:v>[288,7392,256]</x:v>
      </x:c>
      <x:c r="G111" s="977" t="str">
        <x:v>B-major</x:v>
      </x:c>
      <x:c r="H111" s="977" t="str">
        <x:v>matmul_reuseA</x:v>
      </x:c>
      <x:c r="I111" s="984" t="n">
        <x:v>128</x:v>
      </x:c>
      <x:c r="J111" s="984" t="n">
        <x:v>128</x:v>
      </x:c>
      <x:c r="K111" s="984" t="n">
        <x:v>32</x:v>
      </x:c>
      <x:c r="L111" s="1005" t="n">
        <x:v>2</x:v>
      </x:c>
      <x:c r="M111" s="1005" t="n">
        <x:v>8</x:v>
      </x:c>
      <x:c r="N111" s="1005" t="n">
        <x:v>8</x:v>
      </x:c>
      <x:c r="O111" s="984" t="n">
        <x:v>299252</x:v>
      </x:c>
      <x:c r="P111" s="1006" t="n">
        <x:f>O111/('Markdown完整列表'!$B$4*1000)</x:f>
        <x:v>187.0325</x:v>
      </x:c>
      <x:c r="Q111" s="984" t="n">
        <x:v>4096</x:v>
      </x:c>
      <x:c r="R111" s="984" t="n">
        <x:f>C111*D111*E111/Q111</x:f>
        <x:v>133056</x:v>
      </x:c>
      <x:c r="S111" s="1007" t="n">
        <x:f>R111/O111</x:f>
        <x:v>0.4446286073276035</x:v>
      </x:c>
      <x:c r="T111" s="1005"/>
      <x:c r="U111" s="1005"/>
      <x:c r="V111" s="1007"/>
      <x:c r="W111" s="692" t="str">
        <x:v>PASS</x:v>
      </x:c>
      <x:c r="X111" s="944" t="str">
        <x:v>/Users/blacktraker/Programming/gitproj/DV4/SuperNPUBench/outputs/matmul_refresh_20261017/matmul_reuseA_tN128_tK32_current_source/perf/kernel/matmul/elf/kernel_matmul_matmul_reuseA_B1_M288_N256_K7392_tM128_tN128_tK32_DType__half.elf</x:v>
      </x:c>
      <x:c r="Y111" s="944" t="str">
        <x:v>/Users/blacktraker/Programming/gitproj/DV4/SuperNPUBench/outputs/matmul_refresh_20261017/matmul_reuseA_tN128_tK32_current_source/gfsim.log</x:v>
      </x:c>
      <x:c r="Z111" s="944" t="str">
        <x:v>2026-10-17 当前源码重新编译。 数值检查=PASS；compiler=e6a31efb4cfb17f1f1c33265cbf6dbb61bbba156；gfsim=e82a4c14553eb2a33194d71fad45168d05cb3db0；gfrun=cb7b3912cc1c25cd0c69335780ce5610ea5d2063；A容量按每PE CellReg计，B为Shared；混合M/复用链的带宽项不沿用单tile公式，T:V留空。 gfrun=/Users/blacktraker/Programming/gitproj/DV4/SuperNPUBench/outputs/matmul_refresh_20261017/matmul_reuseA_tN128_tK32_current_source/golden.log；ELF SHA256=8474d731abe0499efbd9a8c8be32dc5cbd4690ca22677a923d1ae7fb2ed6dacf； 源码快照=/Users/blacktraker/Programming/gitproj/DV4/SuperNPUBench/outputs/matmul_refresh_20261017/source_snapshot；manifest=/Users/blacktraker/Programming/gitproj/DV4/SuperNPUBench/outputs/matmul_refresh_20261017/results.json</x:v>
      </x:c>
      <x:c r="AA111" s="1034" t="str">
        <x:v>cd /Users/blacktraker/Programming/gitproj/DV4/SuperScalarModel-main
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/Users/blacktraker/Programming/gitproj/DV4/SuperNPUBench/outputs/matmul_refresh_20261017/matmul_reuseA_tN128_tK32_current_source/perf/kernel/matmul/elf/kernel_matmul_matmul_reuseA_B1_M288_N256_K7392_tM128_tN128_tK32_DType__half.elf</x:v>
      </x:c>
      <x:c r="AB111" s="944" t="str">
        <x:v>matmul_reuseA; tM/tN/tK=128/128/32</x:v>
      </x:c>
      <x:c r="AC111" s="692" t="str">
        <x:v>否</x:v>
      </x:c>
      <x:c r="AD111" s="1263" t="str">
        <x:v>https://github.com/PTO-ISA/SuperNPUBench/blob/main/benchmark/one-level-arch/kernels/basic_op/matmul/matmul_reuseA.hpp#L281</x:v>
      </x:c>
    </x:row>
    <x:row r="112" ht="31.5" customHeight="1">
      <x:c r="A112" s="977" t="str">
        <x:v>matmul (ubm)</x:v>
      </x:c>
      <x:c r="B112" s="977" t="str">
        <x:v>FP16</x:v>
      </x:c>
      <x:c r="C112" s="984" t="n">
        <x:v>288</x:v>
      </x:c>
      <x:c r="D112" s="984" t="n">
        <x:v>256</x:v>
      </x:c>
      <x:c r="E112" s="984" t="n">
        <x:v>7392</x:v>
      </x:c>
      <x:c r="F112" s="977" t="str">
        <x:v>[288,7392,256]</x:v>
      </x:c>
      <x:c r="G112" s="977" t="str">
        <x:v>B-major</x:v>
      </x:c>
      <x:c r="H112" s="855" t="str">
        <x:v>matmul_reuseA
_mtail_cellA</x:v>
      </x:c>
      <x:c r="I112" s="984" t="n">
        <x:v>128</x:v>
      </x:c>
      <x:c r="J112" s="984" t="n">
        <x:v>128</x:v>
      </x:c>
      <x:c r="K112" s="984" t="n">
        <x:v>128</x:v>
      </x:c>
      <x:c r="L112" s="1005" t="n">
        <x:v>8</x:v>
      </x:c>
      <x:c r="M112" s="1005" t="n">
        <x:v>32</x:v>
      </x:c>
      <x:c r="N112" s="1005" t="n">
        <x:v>32</x:v>
      </x:c>
      <x:c r="O112" s="984" t="n">
        <x:v>202053</x:v>
      </x:c>
      <x:c r="P112" s="1006" t="n">
        <x:f>O112/('Markdown完整列表'!$B$4*1000)</x:f>
        <x:v>126.283125</x:v>
      </x:c>
      <x:c r="Q112" s="984" t="n">
        <x:v>4096</x:v>
      </x:c>
      <x:c r="R112" s="984" t="n">
        <x:f>C112*D112*E112/Q112</x:f>
        <x:v>133056</x:v>
      </x:c>
      <x:c r="S112" s="1007" t="n">
        <x:f>R112/O112</x:f>
        <x:v>0.6585202892310433</x:v>
      </x:c>
      <x:c r="T112" s="1005"/>
      <x:c r="U112" s="1005"/>
      <x:c r="V112" s="1007"/>
      <x:c r="W112" s="692" t="str">
        <x:v>PASS</x:v>
      </x:c>
      <x:c r="X112" s="944" t="str">
        <x:v>/Users/blacktraker/Programming/gitproj/DV4/SuperNPUBench/outputs/matmul_refresh_20261017/matmul_reuseA_mtail_cellA_tN128_tK128_current_source/perf/kernel/matmul/elf/kernel_matmul_matmul_reuseA_mtail_cellA_B1_M288_N256_K7392_tM128_tN128_tK128_DType__half.elf</x:v>
      </x:c>
      <x:c r="Y112" s="944" t="str">
        <x:v>/Users/blacktraker/Programming/gitproj/DV4/SuperNPUBench/outputs/matmul_refresh_20261017/matmul_reuseA_mtail_cellA_tN128_tK128_current_source/gfsim.log</x:v>
      </x:c>
      <x:c r="Z112" s="944" t="str">
        <x:v>2026-10-17 当前源码重新编译。 数值检查=PASS；compiler=e6a31efb4cfb17f1f1c33265cbf6dbb61bbba156；gfsim=e82a4c14553eb2a33194d71fad45168d05cb3db0；gfrun=cb7b3912cc1c25cd0c69335780ce5610ea5d2063；A容量按每PE CellReg计，B为Shared；混合M/复用链的带宽项不沿用单tile公式，T:V留空。 gfrun=/Users/blacktraker/Programming/gitproj/DV4/SuperNPUBench/outputs/matmul_refresh_20261017/matmul_reuseA_mtail_cellA_tN128_tK128_current_source/golden.log；ELF SHA256=f82868958b819ee5a44e1c923dbc115794281ee88d3330a8c3a2cecb6f2ae56f； 源码快照=/Users/blacktraker/Programming/gitproj/DV4/SuperNPUBench/outputs/matmul_refresh_20261017/source_snapshot；manifest=/Users/blacktraker/Programming/gitproj/DV4/SuperNPUBench/outputs/matmul_refresh_20261017/results.json</x:v>
      </x:c>
      <x:c r="AA112" s="1034" t="str">
        <x:v>cd /Users/blacktraker/Programming/gitproj/DV4/SuperScalarModel-main
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/Users/blacktraker/Programming/gitproj/DV4/SuperNPUBench/outputs/matmul_refresh_20261017/matmul_reuseA_mtail_cellA_tN128_tK128_current_source/perf/kernel/matmul/elf/kernel_matmul_matmul_reuseA_mtail_cellA_B1_M288_N256_K7392_tM128_tN128_tK128_DType__half.elf</x:v>
      </x:c>
      <x:c r="AB112" s="944" t="str">
        <x:v>matmul_reuseA_mtail_cellA; tM/tN/tK=128/128/128</x:v>
      </x:c>
      <x:c r="AC112" s="692" t="str">
        <x:v>否</x:v>
      </x:c>
      <x:c r="AD112" s="1263" t="str">
        <x:v>https://github.com/PTO-ISA/SuperNPUBench/blob/a96a6ec94723ce4d78ae8cb6938e6b65d6b7ac48/eval/perf_data/source_snapshots/20261019/matmul_reuseA_mtail_cellA.hpp#L112</x:v>
      </x:c>
    </x:row>
    <x:row r="113" ht="31.5" customHeight="1">
      <x:c r="A113" s="1037" t="str">
        <x:v>matmul (ubm)</x:v>
      </x:c>
      <x:c r="B113" s="1037" t="str">
        <x:v>HIF4</x:v>
      </x:c>
      <x:c r="C113" s="1038" t="n">
        <x:v>256</x:v>
      </x:c>
      <x:c r="D113" s="1038" t="n">
        <x:v>1280</x:v>
      </x:c>
      <x:c r="E113" s="1038" t="n">
        <x:v>4096</x:v>
      </x:c>
      <x:c r="F113" s="1037" t="str">
        <x:v>[256,4096,1280]</x:v>
      </x:c>
      <x:c r="G113" s="1037" t="str">
        <x:v>B-major</x:v>
      </x:c>
      <x:c r="H113" s="1049" t="str">
        <x:v>matmul_lowp
_reuseA</x:v>
      </x:c>
      <x:c r="I113" s="1048" t="n">
        <x:v>128</x:v>
      </x:c>
      <x:c r="J113" s="1048" t="n">
        <x:v>256</x:v>
      </x:c>
      <x:c r="K113" s="1048" t="n">
        <x:v>256</x:v>
      </x:c>
      <x:c r="L113" s="1040" t="n">
        <x:v>8</x:v>
      </x:c>
      <x:c r="M113" s="1040" t="n">
        <x:v>64</x:v>
      </x:c>
      <x:c r="N113" s="1040" t="n">
        <x:v>64</x:v>
      </x:c>
      <x:c r="O113" s="1038"/>
      <x:c r="P113" s="1041"/>
      <x:c r="Q113" s="1038" t="n">
        <x:v>32768</x:v>
      </x:c>
      <x:c r="R113" s="1038" t="n">
        <x:f>C113*D113*E113/Q113</x:f>
        <x:v>40960</x:v>
      </x:c>
      <x:c r="S113" s="1042"/>
      <x:c r="T113" s="1040"/>
      <x:c r="U113" s="1040"/>
      <x:c r="V113" s="1043"/>
      <x:c r="W113" s="1050" t="str">
        <x:v>ASSERT_FAIL</x:v>
      </x:c>
      <x:c r="X113" s="1045" t="str">
        <x:v>/Users/blacktraker/Programming/gitproj/DV4/SuperNPUBench/outputs/lowp_reuseA_hif4_refresh_20261017/HIF4_M256_N1280_K4096_tM128_tN256_tK256_shared/perf/kernel/matmul/elf/kernel_matmul_matmul_lowp_HIF4_B1_M256_N1280_K4096_tM128_tN256_tK256_reuseA_tailshared.elf</x:v>
      </x:c>
      <x:c r="Y113" s="1045" t="str">
        <x:v>/Users/blacktraker/Programming/gitproj/DV4/SuperNPUBench/outputs/lowp_reuseA_hif4_refresh_20261017/HIF4_M256_N1280_K4096_tM128_tN256_tK256_shared/gfsim.log</x:v>
      </x:c>
      <x:c r="Z113" s="1045" t="str">
        <x:v>2026-10-17 lowp_reuseA重编；RenameSingleTileDst: Tile register is not enough for the simulator；数值检查通过。Shared容量包含HiF4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2b7d04d22feb75e47d0df799c712facb33750ede3c93a058ad4099f39dc99b37；check=/Users/blacktraker/Programming/gitproj/DV4/SuperNPUBench/outputs/lowp_reuseA_hif4_refresh_20261017/HIF4_M256_N1280_K4096_tM128_tN256_tK256_shared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3" s="1046" t="str">
        <x:v>make -B -C /Users/blacktraker/Programming/gitproj/DV4/SuperNPUBench/benchmark/one-level-arch/test/kernel/matmul TESTCASE=matmul_lowp LOWP_REUSE_A=on LOWP_TAIL_STORAGE=shared LP_MODE=HIF4 M=256 N=1280 K=4096 tM=128 tN=256 tK=256 COMPILER_DIR=/Users/blacktraker/Programming/gitproj/DV4/linx-toolchain-build/output/linx_blockisa_llvm_musl/bin OBJ_ROOT=/Users/blacktraker/Programming/gitproj/DV4/SuperNPUBench/outputs/lowp_reuseA_hif4_refresh_20261017/HIF4_M256_N1280_K4096_tM128_tN256_tK256_shared/perf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/Users/blacktraker/Programming/gitproj/DV4/SuperNPUBench/outputs/lowp_reuseA_hif4_refresh_20261017/HIF4_M256_N1280_K4096_tM128_tN256_tK256_shared/perf/kernel/matmul/elf/kernel_matmul_matmul_lowp_HIF4_B1_M256_N1280_K4096_tM128_tN256_tK256_reuseA_tailshared.elf</x:v>
      </x:c>
      <x:c r="AB113" s="1045" t="str">
        <x:v>matmul_lowp_reuseA; tM/tN/tK=128/256/256; tail=shared</x:v>
      </x:c>
      <x:c r="AC113" s="1044" t="str">
        <x:v>否</x:v>
      </x:c>
      <x:c r="AD113" s="1026" t="str">
        <x:v>历史普通reuseA版本未归档；不以full-K-cache源码替代</x:v>
      </x:c>
    </x:row>
    <x:row r="114" ht="31.5" customHeight="1">
      <x:c r="A114" s="1051" t="str">
        <x:v>matmul (ubm)</x:v>
      </x:c>
      <x:c r="B114" s="1051" t="str">
        <x:v>HIF4</x:v>
      </x:c>
      <x:c r="C114" s="1052" t="n">
        <x:v>48</x:v>
      </x:c>
      <x:c r="D114" s="1052" t="n">
        <x:v>96</x:v>
      </x:c>
      <x:c r="E114" s="1052" t="n">
        <x:v>7168</x:v>
      </x:c>
      <x:c r="F114" s="1051" t="str">
        <x:v>[48,7168,96]</x:v>
      </x:c>
      <x:c r="G114" s="1051" t="str">
        <x:v>B-major</x:v>
      </x:c>
      <x:c r="H114" s="1063" t="str">
        <x:v>matmul_lowp
_reuseA</x:v>
      </x:c>
      <x:c r="I114" s="1062" t="n">
        <x:v>128</x:v>
      </x:c>
      <x:c r="J114" s="1062" t="n">
        <x:v>128</x:v>
      </x:c>
      <x:c r="K114" s="1062" t="n">
        <x:v>1024</x:v>
      </x:c>
      <x:c r="L114" s="1054" t="n">
        <x:v>40</x:v>
      </x:c>
      <x:c r="M114" s="1054" t="n">
        <x:v>80</x:v>
      </x:c>
      <x:c r="N114" s="1054" t="n">
        <x:v>120</x:v>
      </x:c>
      <x:c r="O114" s="1052"/>
      <x:c r="P114" s="1055"/>
      <x:c r="Q114" s="1052" t="n">
        <x:v>32768</x:v>
      </x:c>
      <x:c r="R114" s="1052" t="n">
        <x:f>C114*D114*E114/Q114</x:f>
        <x:v>1008</x:v>
      </x:c>
      <x:c r="S114" s="1056"/>
      <x:c r="T114" s="1054"/>
      <x:c r="U114" s="1054"/>
      <x:c r="V114" s="1057"/>
      <x:c r="W114" s="1064" t="str">
        <x:v>ASSERT_FAIL</x:v>
      </x:c>
      <x:c r="X114" s="1059" t="str">
        <x:v>/Users/blacktraker/Programming/gitproj/DV4/SuperNPUBench/outputs/lowp_reuseA_hif4_refresh_20261017/HIF4_M48_N96_K7168_tM128_tN128_tK1024_shared/perf/kernel/matmul/elf/kernel_matmul_matmul_lowp_HIF4_B1_M48_N96_K7168_tM128_tN128_tK1024_reuseA_tailshared.elf</x:v>
      </x:c>
      <x:c r="Y114" s="1059" t="str">
        <x:v>/Users/blacktraker/Programming/gitproj/DV4/SuperNPUBench/outputs/lowp_reuseA_hif4_refresh_20261017/HIF4_M48_N96_K7168_tM128_tN128_tK1024_shared/gfsim.log</x:v>
      </x:c>
      <x:c r="Z114" s="1059" t="str">
        <x:v>2026-10-17 lowp_reuseA重编；CUBE D 输出区域契约断言，非 power-of-two M48 路径不可用；数值检查未通过。Shared容量包含HiF4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7d96cc92af156e02ec94e083f55d3f3707603a441f7acd90752d43e4d3eba12b；check=/Users/blacktraker/Programming/gitproj/DV4/SuperNPUBench/outputs/lowp_reuseA_hif4_refresh_20261017/HIF4_M48_N96_K7168_tM128_tN128_tK1024_shared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4" s="1060" t="str">
        <x:v>make -B -C /Users/blacktraker/Programming/gitproj/DV4/SuperNPUBench/benchmark/one-level-arch/test/kernel/matmul TESTCASE=matmul_lowp LOWP_REUSE_A=on LOWP_TAIL_STORAGE=shared LP_MODE=HIF4 M=48 N=96 K=7168 tM=128 tN=128 tK=1024 COMPILER_DIR=/Users/blacktraker/Programming/gitproj/DV4/linx-toolchain-build/output/linx_blockisa_llvm_musl/bin OBJ_ROOT=/Users/blacktraker/Programming/gitproj/DV4/SuperNPUBench/outputs/lowp_reuseA_hif4_refresh_20261017/HIF4_M48_N96_K7168_tM128_tN128_tK1024_shared/perf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/Users/blacktraker/Programming/gitproj/DV4/SuperNPUBench/outputs/lowp_reuseA_hif4_refresh_20261017/HIF4_M48_N96_K7168_tM128_tN128_tK1024_shared/perf/kernel/matmul/elf/kernel_matmul_matmul_lowp_HIF4_B1_M48_N96_K7168_tM128_tN128_tK1024_reuseA_tailshared.elf</x:v>
      </x:c>
      <x:c r="AB114" s="1059" t="str">
        <x:v>matmul_lowp_reuseA; tM/tN/tK=128/128/1024; tail=shared</x:v>
      </x:c>
      <x:c r="AC114" s="1058" t="str">
        <x:v>否</x:v>
      </x:c>
      <x:c r="AD114" s="1026" t="str">
        <x:v>历史普通reuseA版本未归档；不以full-K-cache源码替代</x:v>
      </x:c>
    </x:row>
    <x:row r="115" ht="31.5" customHeight="1">
      <x:c r="A115" s="1051" t="str">
        <x:v>matmul (ubm)</x:v>
      </x:c>
      <x:c r="B115" s="1051" t="str">
        <x:v>HIF4</x:v>
      </x:c>
      <x:c r="C115" s="1052" t="n">
        <x:v>48</x:v>
      </x:c>
      <x:c r="D115" s="1052" t="n">
        <x:v>96</x:v>
      </x:c>
      <x:c r="E115" s="1052" t="n">
        <x:v>7168</x:v>
      </x:c>
      <x:c r="F115" s="1051" t="str">
        <x:v>[48,7168,96]</x:v>
      </x:c>
      <x:c r="G115" s="1051" t="str">
        <x:v>B-major</x:v>
      </x:c>
      <x:c r="H115" s="1063" t="str">
        <x:v>matmul_lowp
_reuseA</x:v>
      </x:c>
      <x:c r="I115" s="1062" t="n">
        <x:v>128</x:v>
      </x:c>
      <x:c r="J115" s="1062" t="n">
        <x:v>64</x:v>
      </x:c>
      <x:c r="K115" s="1062" t="n">
        <x:v>1024</x:v>
      </x:c>
      <x:c r="L115" s="1054" t="n">
        <x:v>40</x:v>
      </x:c>
      <x:c r="M115" s="1054" t="n">
        <x:v>40</x:v>
      </x:c>
      <x:c r="N115" s="1054" t="n">
        <x:v>80</x:v>
      </x:c>
      <x:c r="O115" s="1052"/>
      <x:c r="P115" s="1055"/>
      <x:c r="Q115" s="1052" t="n">
        <x:v>32768</x:v>
      </x:c>
      <x:c r="R115" s="1052" t="n">
        <x:f>C115*D115*E115/Q115</x:f>
        <x:v>1008</x:v>
      </x:c>
      <x:c r="S115" s="1056"/>
      <x:c r="T115" s="1054"/>
      <x:c r="U115" s="1054"/>
      <x:c r="V115" s="1057"/>
      <x:c r="W115" s="1064" t="str">
        <x:v>ASSERT_FAIL</x:v>
      </x:c>
      <x:c r="X115" s="1059" t="str">
        <x:v>/Users/blacktraker/Programming/gitproj/DV4/SuperNPUBench/outputs/lowp_reuseA_hif4_refresh_20261017/HIF4_M48_N96_K7168_tM128_tN64_tK1024_shared/perf/kernel/matmul/elf/kernel_matmul_matmul_lowp_HIF4_B1_M48_N96_K7168_tM128_tN64_tK1024_reuseA_tailshared.elf</x:v>
      </x:c>
      <x:c r="Y115" s="1059" t="str">
        <x:v>/Users/blacktraker/Programming/gitproj/DV4/SuperNPUBench/outputs/lowp_reuseA_hif4_refresh_20261017/HIF4_M48_N96_K7168_tM128_tN64_tK1024_shared/gfsim.log</x:v>
      </x:c>
      <x:c r="Z115" s="1059" t="str">
        <x:v>2026-10-17 lowp_reuseA重编；CUBE D 输出区域契约断言，非 power-of-two M48 路径不可用；数值检查未通过。Shared容量包含HiF4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4b657af778e0832a01078f6e74e7845549a0d6bbfbb0fdbaf8b84f2bd082b8ad；check=/Users/blacktraker/Programming/gitproj/DV4/SuperNPUBench/outputs/lowp_reuseA_hif4_refresh_20261017/HIF4_M48_N96_K7168_tM128_tN64_tK1024_shared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5" s="1060" t="str">
        <x:v>make -B -C /Users/blacktraker/Programming/gitproj/DV4/SuperNPUBench/benchmark/one-level-arch/test/kernel/matmul TESTCASE=matmul_lowp LOWP_REUSE_A=on LOWP_TAIL_STORAGE=shared LP_MODE=HIF4 M=48 N=96 K=7168 tM=128 tN=64 tK=1024 COMPILER_DIR=/Users/blacktraker/Programming/gitproj/DV4/linx-toolchain-build/output/linx_blockisa_llvm_musl/bin OBJ_ROOT=/Users/blacktraker/Programming/gitproj/DV4/SuperNPUBench/outputs/lowp_reuseA_hif4_refresh_20261017/HIF4_M48_N96_K7168_tM128_tN64_tK1024_shared/perf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/Users/blacktraker/Programming/gitproj/DV4/SuperNPUBench/outputs/lowp_reuseA_hif4_refresh_20261017/HIF4_M48_N96_K7168_tM128_tN64_tK1024_shared/perf/kernel/matmul/elf/kernel_matmul_matmul_lowp_HIF4_B1_M48_N96_K7168_tM128_tN64_tK1024_reuseA_tailshared.elf</x:v>
      </x:c>
      <x:c r="AB115" s="1059" t="str">
        <x:v>matmul_lowp_reuseA; tM/tN/tK=128/64/1024; tail=shared</x:v>
      </x:c>
      <x:c r="AC115" s="1058" t="str">
        <x:v>否</x:v>
      </x:c>
      <x:c r="AD115" s="1026" t="str">
        <x:v>历史普通reuseA版本未归档；不以full-K-cache源码替代</x:v>
      </x:c>
    </x:row>
    <x:row r="116" ht="31.5" customHeight="1">
      <x:c r="A116" s="1051" t="str">
        <x:v>matmul (ubm)</x:v>
      </x:c>
      <x:c r="B116" s="1051" t="str">
        <x:v>HIF4</x:v>
      </x:c>
      <x:c r="C116" s="1052" t="n">
        <x:v>48</x:v>
      </x:c>
      <x:c r="D116" s="1052" t="n">
        <x:v>96</x:v>
      </x:c>
      <x:c r="E116" s="1052" t="n">
        <x:v>7168</x:v>
      </x:c>
      <x:c r="F116" s="1051" t="str">
        <x:v>[48,7168,96]</x:v>
      </x:c>
      <x:c r="G116" s="1051" t="str">
        <x:v>B-major</x:v>
      </x:c>
      <x:c r="H116" s="1063" t="str">
        <x:v>matmul_lowp
_reuseA</x:v>
      </x:c>
      <x:c r="I116" s="1062" t="n">
        <x:v>128</x:v>
      </x:c>
      <x:c r="J116" s="1062" t="n">
        <x:v>64</x:v>
      </x:c>
      <x:c r="K116" s="1062" t="n">
        <x:v>1024</x:v>
      </x:c>
      <x:c r="L116" s="1054" t="n">
        <x:v>12</x:v>
      </x:c>
      <x:c r="M116" s="1054" t="n">
        <x:v>40</x:v>
      </x:c>
      <x:c r="N116" s="1054" t="n">
        <x:v>40</x:v>
      </x:c>
      <x:c r="O116" s="1052"/>
      <x:c r="P116" s="1055"/>
      <x:c r="Q116" s="1052" t="n">
        <x:v>32768</x:v>
      </x:c>
      <x:c r="R116" s="1052" t="n">
        <x:f>C116*D116*E116/Q116</x:f>
        <x:v>1008</x:v>
      </x:c>
      <x:c r="S116" s="1056"/>
      <x:c r="T116" s="1054"/>
      <x:c r="U116" s="1054"/>
      <x:c r="V116" s="1057"/>
      <x:c r="W116" s="1064" t="str">
        <x:v>ASSERT_FAIL</x:v>
      </x:c>
      <x:c r="X116" s="1059" t="str">
        <x:v>/Users/blacktraker/Programming/gitproj/DV4/SuperNPUBench/outputs/lowp_reuseA_hif4_refresh_20261017/HIF4_M48_N96_K7168_tM128_tN64_tK1024_local/perf/kernel/matmul/elf/kernel_matmul_matmul_lowp_HIF4_B1_M48_N96_K7168_tM128_tN64_tK1024_reuseA_taillocal.elf</x:v>
      </x:c>
      <x:c r="Y116" s="1059" t="str">
        <x:v>/Users/blacktraker/Programming/gitproj/DV4/SuperNPUBench/outputs/lowp_reuseA_hif4_refresh_20261017/HIF4_M48_N96_K7168_tM128_tN64_tK1024_local/gfsim.log</x:v>
      </x:c>
      <x:c r="Z116" s="1059" t="str">
        <x:v>2026-10-17 lowp_reuseA重编；CUBE D 输出区域契约断言，非 power-of-two M48 路径不可用；数值检查未通过。Shared容量包含HiF4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adf87448d403bdcaafbd1a58b412b8cfb9aa3ee84227c823a0e365187e1ce1ef；check=/Users/blacktraker/Programming/gitproj/DV4/SuperNPUBench/outputs/lowp_reuseA_hif4_refresh_20261017/HIF4_M48_N96_K7168_tM128_tN64_tK1024_local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6" s="1060" t="str">
        <x:v>make -B -C /Users/blacktraker/Programming/gitproj/DV4/SuperNPUBench/benchmark/one-level-arch/test/kernel/matmul TESTCASE=matmul_lowp LOWP_REUSE_A=on LOWP_TAIL_STORAGE=local LP_MODE=HIF4 M=48 N=96 K=7168 tM=128 tN=64 tK=1024 COMPILER_DIR=/Users/blacktraker/Programming/gitproj/DV4/linx-toolchain-build/output/linx_blockisa_llvm_musl/bin OBJ_ROOT=/Users/blacktraker/Programming/gitproj/DV4/SuperNPUBench/outputs/lowp_reuseA_hif4_refresh_20261017/HIF4_M48_N96_K7168_tM128_tN64_tK1024_local/perf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/Users/blacktraker/Programming/gitproj/DV4/SuperNPUBench/outputs/lowp_reuseA_hif4_refresh_20261017/HIF4_M48_N96_K7168_tM128_tN64_tK1024_local/perf/kernel/matmul/elf/kernel_matmul_matmul_lowp_HIF4_B1_M48_N96_K7168_tM128_tN64_tK1024_reuseA_taillocal.elf</x:v>
      </x:c>
      <x:c r="AB116" s="1059" t="str">
        <x:v>matmul_lowp_reuseA; tM/tN/tK=128/64/1024; tail=local</x:v>
      </x:c>
      <x:c r="AC116" s="1058" t="str">
        <x:v>否</x:v>
      </x:c>
      <x:c r="AD116" s="1026" t="str">
        <x:v>历史普通reuseA版本未归档；不以full-K-cache源码替代</x:v>
      </x:c>
    </x:row>
    <x:row r="117" ht="31.5" customHeight="1">
      <x:c r="A117" s="1037" t="str">
        <x:v>matmul (ubm)</x:v>
      </x:c>
      <x:c r="B117" s="1037" t="str">
        <x:v>HIF4</x:v>
      </x:c>
      <x:c r="C117" s="1038" t="n">
        <x:v>256</x:v>
      </x:c>
      <x:c r="D117" s="1038" t="n">
        <x:v>1280</x:v>
      </x:c>
      <x:c r="E117" s="1038" t="n">
        <x:v>4096</x:v>
      </x:c>
      <x:c r="F117" s="1037" t="str">
        <x:v>[256,4096,1280]</x:v>
      </x:c>
      <x:c r="G117" s="1037" t="str">
        <x:v>B-major</x:v>
      </x:c>
      <x:c r="H117" s="1049" t="str">
        <x:v>matmul_lowp
_reuseA</x:v>
      </x:c>
      <x:c r="I117" s="1048" t="n">
        <x:v>128</x:v>
      </x:c>
      <x:c r="J117" s="1048" t="n">
        <x:v>256</x:v>
      </x:c>
      <x:c r="K117" s="1048" t="n">
        <x:v>512</x:v>
      </x:c>
      <x:c r="L117" s="1040" t="n">
        <x:v>12</x:v>
      </x:c>
      <x:c r="M117" s="1040" t="n">
        <x:v>96</x:v>
      </x:c>
      <x:c r="N117" s="1040" t="n">
        <x:v>96</x:v>
      </x:c>
      <x:c r="O117" s="1038"/>
      <x:c r="P117" s="1041"/>
      <x:c r="Q117" s="1038" t="n">
        <x:v>32768</x:v>
      </x:c>
      <x:c r="R117" s="1038" t="n">
        <x:f>C117*D117*E117/Q117</x:f>
        <x:v>40960</x:v>
      </x:c>
      <x:c r="S117" s="1042"/>
      <x:c r="T117" s="1040"/>
      <x:c r="U117" s="1040"/>
      <x:c r="V117" s="1043"/>
      <x:c r="W117" s="1050" t="str">
        <x:v>ASSERT_FAIL</x:v>
      </x:c>
      <x:c r="X117" s="1045" t="str">
        <x:v>/Users/blacktraker/Programming/gitproj/DV4/SuperNPUBench/outputs/lowp_reuseA_hif4_refresh_20261017/HIF4_M256_N1280_K4096_tM128_tN256_tK512_shared/perf/kernel/matmul/elf/kernel_matmul_matmul_lowp_HIF4_B1_M256_N1280_K4096_tM128_tN256_tK512_reuseA_tailshared.elf</x:v>
      </x:c>
      <x:c r="Y117" s="1045" t="str">
        <x:v>/Users/blacktraker/Programming/gitproj/DV4/SuperNPUBench/outputs/lowp_reuseA_hif4_refresh_20261017/HIF4_M256_N1280_K4096_tM128_tN256_tK512_shared/gfsim.log</x:v>
      </x:c>
      <x:c r="Z117" s="1045" t="str">
        <x:v>2026-10-17 lowp_reuseA重编；RenameSingleTileDst: Tile register is not enough for the simulator；数值检查通过。Shared容量包含HiF4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44503514baba0679e5d1fa025219c29f52e14ac794e272f69568438619a66d76；check=/Users/blacktraker/Programming/gitproj/DV4/SuperNPUBench/outputs/lowp_reuseA_hif4_refresh_20261017/HIF4_M256_N1280_K4096_tM128_tN256_tK512_shared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7" s="1046" t="str">
        <x:v>make -B -C /Users/blacktraker/Programming/gitproj/DV4/SuperNPUBench/benchmark/one-level-arch/test/kernel/matmul TESTCASE=matmul_lowp LOWP_REUSE_A=on LOWP_TAIL_STORAGE=shared LP_MODE=HIF4 M=256 N=1280 K=4096 tM=128 tN=256 tK=512 COMPILER_DIR=/Users/blacktraker/Programming/gitproj/DV4/linx-toolchain-build/output/linx_blockisa_llvm_musl/bin OBJ_ROOT=/Users/blacktraker/Programming/gitproj/DV4/SuperNPUBench/outputs/lowp_reuseA_hif4_refresh_20261017/HIF4_M256_N1280_K4096_tM128_tN256_tK512_shared/perf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/Users/blacktraker/Programming/gitproj/DV4/SuperNPUBench/outputs/lowp_reuseA_hif4_refresh_20261017/HIF4_M256_N1280_K4096_tM128_tN256_tK512_shared/perf/kernel/matmul/elf/kernel_matmul_matmul_lowp_HIF4_B1_M256_N1280_K4096_tM128_tN256_tK512_reuseA_tailshared.elf</x:v>
      </x:c>
      <x:c r="AB117" s="1045" t="str">
        <x:v>matmul_lowp_reuseA; tM/tN/tK=128/256/512; tail=shared</x:v>
      </x:c>
      <x:c r="AC117" s="1044" t="str">
        <x:v>否</x:v>
      </x:c>
      <x:c r="AD117" s="1026" t="str">
        <x:v>历史普通reuseA版本未归档；不以full-K-cache源码替代</x:v>
      </x:c>
    </x:row>
    <x:row r="118" ht="31.5" customHeight="1">
      <x:c r="A118" s="1037" t="str">
        <x:v>matmul (ubm)</x:v>
      </x:c>
      <x:c r="B118" s="1037" t="str">
        <x:v>HIF4</x:v>
      </x:c>
      <x:c r="C118" s="1038" t="n">
        <x:v>256</x:v>
      </x:c>
      <x:c r="D118" s="1038" t="n">
        <x:v>1280</x:v>
      </x:c>
      <x:c r="E118" s="1038" t="n">
        <x:v>4096</x:v>
      </x:c>
      <x:c r="F118" s="1037" t="str">
        <x:v>[256,4096,1280]</x:v>
      </x:c>
      <x:c r="G118" s="1037" t="str">
        <x:v>B-major</x:v>
      </x:c>
      <x:c r="H118" s="1049" t="str">
        <x:v>matmul_lowp
_reuseA</x:v>
      </x:c>
      <x:c r="I118" s="1039" t="n">
        <x:v>128</x:v>
      </x:c>
      <x:c r="J118" s="1039" t="n">
        <x:v>128</x:v>
      </x:c>
      <x:c r="K118" s="1039" t="n">
        <x:v>256</x:v>
      </x:c>
      <x:c r="L118" s="1040" t="n">
        <x:v>8</x:v>
      </x:c>
      <x:c r="M118" s="1040" t="n">
        <x:v>32</x:v>
      </x:c>
      <x:c r="N118" s="1040" t="n">
        <x:v>32</x:v>
      </x:c>
      <x:c r="O118" s="1038" t="n">
        <x:v>114699</x:v>
      </x:c>
      <x:c r="P118" s="1041" t="n">
        <x:f>O118/('Markdown完整列表'!$B$4*1000)</x:f>
        <x:v>71.686875</x:v>
      </x:c>
      <x:c r="Q118" s="1038" t="n">
        <x:v>32768</x:v>
      </x:c>
      <x:c r="R118" s="1038" t="n">
        <x:f>C118*D118*E118/Q118</x:f>
        <x:v>40960</x:v>
      </x:c>
      <x:c r="S118" s="1066" t="n">
        <x:f>R118/O118</x:f>
        <x:v>0.3571086060035397</x:v>
      </x:c>
      <x:c r="T118" s="1040"/>
      <x:c r="U118" s="1040"/>
      <x:c r="V118" s="1043"/>
      <x:c r="W118" s="1065" t="str">
        <x:v>PASS</x:v>
      </x:c>
      <x:c r="X118" s="1045" t="str">
        <x:v>/Users/blacktraker/Programming/gitproj/DV4/SuperNPUBench/outputs/lowp_reuseA_hif4_refresh_20261017/HIF4_M256_N1280_K4096_tM128_tN128_tK256_shared/perf/kernel/matmul/elf/kernel_matmul_matmul_lowp_HIF4_B1_M256_N1280_K4096_tM128_tN128_tK256_reuseA_tailshared.elf</x:v>
      </x:c>
      <x:c r="Y118" s="1045" t="str">
        <x:v>/Users/blacktraker/Programming/gitproj/DV4/SuperNPUBench/outputs/lowp_reuseA_hif4_refresh_20261017/HIF4_M256_N1280_K4096_tM128_tN128_tK256_shared/gfsim.log</x:v>
      </x:c>
      <x:c r="Z118" s="1045" t="str">
        <x:v>2026-10-17 lowp_reuseA重编；gfsim 完成，数值检查通过。Shared容量包含HiF4 4bit数据及uint32 scale；A列为Shared总量或每PE Local量，B列为Shared总量。复用链不套用旧单tile带宽公式，T:V留空。compiler=e6a31efb4cfb17f1f1c33265cbf6dbb61bbba156；gfsim=c668a6388907f503e80954fdfd4d013395d8775d；gfrun=d04f0f7b1494e32a24e41d4ac2241a3d79182d23；ELF SHA256=943325eb704193412e04fdd8c5f68d1b3b2426eea11c3720b4da66ad3be1e4db；check=/Users/blacktraker/Programming/gitproj/DV4/SuperNPUBench/outputs/lowp_reuseA_hif4_refresh_20261017/HIF4_M256_N1280_K4096_tM128_tN128_tK256_shared/golden.log；source=/Users/blacktraker/Programming/gitproj/DV4/SuperNPUBench/outputs/lowp_reuseA_hif4_refresh_20261017/source_snapshot；manifest=/Users/blacktraker/Programming/gitproj/DV4/SuperNPUBench/outputs/lowp_reuseA_hif4_refresh_20261017/results.json</x:v>
      </x:c>
      <x:c r="AA118" s="1046" t="str">
        <x:v>make -B -C /Users/blacktraker/Programming/gitproj/DV4/SuperNPUBench/benchmark/one-level-arch/test/kernel/matmul TESTCASE=matmul_lowp LOWP_REUSE_A=on LOWP_TAIL_STORAGE=shared LP_MODE=HIF4 M=256 N=1280 K=4096 tM=128 tN=128 tK=256 COMPILER_DIR=/Users/blacktraker/Programming/gitproj/DV4/linx-toolchain-build/output/linx_blockisa_llvm_musl/bin OBJ_ROOT=/Users/blacktraker/Programming/gitproj/DV4/SuperNPUBench/outputs/lowp_reuseA_hif4_refresh_20261017/HIF4_M256_N1280_K4096_tM128_tN128_tK256_shared/perf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core.sharetreg_ssb_count=64 -f /Users/blacktraker/Programming/gitproj/DV4/SuperNPUBench/outputs/lowp_reuseA_hif4_refresh_20261017/HIF4_M256_N1280_K4096_tM128_tN128_tK256_shared/perf/kernel/matmul/elf/kernel_matmul_matmul_lowp_HIF4_B1_M256_N1280_K4096_tM128_tN128_tK256_reuseA_tailshared.elf</x:v>
      </x:c>
      <x:c r="AB118" s="1045" t="str">
        <x:v>matmul_lowp_reuseA; tM/tN/tK=128/128/256; tail=shared</x:v>
      </x:c>
      <x:c r="AC118" s="1044" t="str">
        <x:v>否</x:v>
      </x:c>
      <x:c r="AD118" s="1026" t="str">
        <x:v>历史普通reuseA版本未归档；不以full-K-cache源码替代</x:v>
      </x:c>
    </x:row>
    <x:row r="119" ht="31.5" customHeight="1">
      <x:c r="A119" s="1105" t="str">
        <x:v>matmul (ubm)</x:v>
      </x:c>
      <x:c r="B119" s="1105" t="str">
        <x:v>HIF4</x:v>
      </x:c>
      <x:c r="C119" s="1106" t="n">
        <x:v>48</x:v>
      </x:c>
      <x:c r="D119" s="1106" t="n">
        <x:v>96</x:v>
      </x:c>
      <x:c r="E119" s="1106" t="n">
        <x:v>7168</x:v>
      </x:c>
      <x:c r="F119" s="1105" t="str">
        <x:v>[48,7168,96]</x:v>
      </x:c>
      <x:c r="G119" s="1105" t="str">
        <x:v>B-major</x:v>
      </x:c>
      <x:c r="H119" s="1107" t="str">
        <x:v>reuseA fullK
C=2</x:v>
      </x:c>
      <x:c r="I119" s="1096" t="n">
        <x:v>128</x:v>
      </x:c>
      <x:c r="J119" s="1096" t="n">
        <x:v>64</x:v>
      </x:c>
      <x:c r="K119" s="1096" t="n">
        <x:v>512</x:v>
      </x:c>
      <x:c r="L119" s="1108" t="n">
        <x:v>8</x:v>
      </x:c>
      <x:c r="M119" s="1108" t="n">
        <x:v>24</x:v>
      </x:c>
      <x:c r="N119" s="1108" t="n">
        <x:v>24</x:v>
      </x:c>
      <x:c r="O119" s="1106" t="n">
        <x:v>10512</x:v>
      </x:c>
      <x:c r="P119" s="1109" t="n">
        <x:f>O119/('Markdown完整列表'!$B$4*1000)</x:f>
        <x:v>6.57</x:v>
      </x:c>
      <x:c r="Q119" s="1106" t="n">
        <x:v>32768</x:v>
      </x:c>
      <x:c r="R119" s="1106" t="n">
        <x:f>C119*D119*E119/Q119</x:f>
        <x:v>1008</x:v>
      </x:c>
      <x:c r="S119" s="1110" t="n">
        <x:f>R119/O119</x:f>
        <x:v>0.0958904109589041</x:v>
      </x:c>
      <x:c r="T119" s="1108"/>
      <x:c r="U119" s="1108"/>
      <x:c r="V119" s="1111"/>
      <x:c r="W119" s="1115" t="str">
        <x:v>PASS</x:v>
      </x:c>
      <x:c r="X119" s="1107" t="str">
        <x:v>/Users/blacktraker/Programming/gitproj/DV4/SuperNPUBench/outputs/lowp_fullcache_C23_tK_sweep_20261019/HIF4_M48_K7168_N96_tM128_tN64_tK512_local_C2/build/kernel/matmul/elf/kernel_matmul_matmul_lowp_HIF4_B1_M48_N96_K7168_tM128_tN64_tK512_reuseA_taillocal.elf</x:v>
      </x:c>
      <x:c r="Y119" s="1107" t="str">
        <x:v>/Users/blacktraker/Programming/gitproj/DV4/SuperNPUBench/outputs/lowp_fullcache_C23_tK_sweep_20261019/HIF4_M48_K7168_N96_tM128_tN64_tK512_local_C2/gfsim.log</x:v>
      </x:c>
      <x:c r="Z119" s="1107" t="str">
        <x:v>2026-10-19；full-K-cache，A/scale整段K只加载一次，跨所有N分组复用；M48按M64补零计算、valid_row写回。驻留C上限=2，实际最多=2。数值检查=PASS；Cube MAC util=12.79%。 L列为每PE单个A/scale tile容量；完整A缓存=112 KiB/PE；含C及32 KiB余量=152 KiB/PE。复用调度不套用旧单tile带宽公式，T:V留空。本项保留为raw data，不入选主表。compiler=7675921e392736ade9f2b2da08c78b311a536a03；gfsim=c668a6388907f503e80954fdfd4d013395d8775d；ELF SHA256=b37de8c5d53060f81e2e6f726503432692db0126a06f2cc6859eb0abb939dcae；check=/Users/blacktraker/Programming/gitproj/DV4/SuperNPUBench/outputs/lowp_fullcache_C23_tK_sweep_20261019/HIF4_M48_K7168_N96_tM128_tN64_tK512_local_C2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19" s="1114" t="str">
        <x:v>make -B -C /Users/blacktraker/Programming/gitproj/DV4/SuperNPUBench/benchmark/one-level-arch/test/kernel/matmul TESTCASE=matmul_lowp LP_MODE=HIF4 LOWP_REUSE_A=on LOWP_TAIL_STORAGE=local LOWP_RESIDENT_CHAINS=2 M=48 K=7168 N=96 tM=128 tN=64 tK=512 res_check=off COMPILER_DIR=/Users/blacktraker/Programming/gitproj/DV4/linx-toolchain-build/output/linx_blockisa_llvm_musl/bin OBJ_ROOT=/Users/blacktraker/Programming/gitproj/DV4/SuperNPUBench/outputs/lowp_fullcache_C23_tK_sweep_20261019/HIF4_M48_K7168_N96_tM128_tN64_tK512_local_C2/build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/Users/blacktraker/Programming/gitproj/DV4/SuperNPUBench/outputs/lowp_fullcache_C23_tK_sweep_20261019/HIF4_M48_K7168_N96_tM128_tN64_tK512_local_C2/build/kernel/matmul/elf/kernel_matmul_matmul_lowp_HIF4_B1_M48_N96_K7168_tM128_tN64_tK512_reuseA_taillocal.elf</x:v>
      </x:c>
      <x:c r="AB119" s="1107" t="str">
        <x:v>matmul_lowp_reuseA full-K-cache; tM/tN/tK=128/64/512; resident_C=2; tail=local</x:v>
      </x:c>
      <x:c r="AC119" s="1112" t="str">
        <x:v>否</x:v>
      </x:c>
      <x:c r="AD119" s="1263" t="str">
        <x:v>https://github.com/PTO-ISA/SuperNPUBench/blob/a96a6ec94723ce4d78ae8cb6938e6b65d6b7ac48/eval/perf_data/source_snapshots/20261019/matmul_lowp_reuseA.hpp#L77</x:v>
      </x:c>
    </x:row>
    <x:row r="120" ht="31.5" customHeight="1">
      <x:c r="A120" s="1105" t="str">
        <x:v>matmul (ubm)</x:v>
      </x:c>
      <x:c r="B120" s="1105" t="str">
        <x:v>HIF4</x:v>
      </x:c>
      <x:c r="C120" s="1106" t="n">
        <x:v>48</x:v>
      </x:c>
      <x:c r="D120" s="1106" t="n">
        <x:v>96</x:v>
      </x:c>
      <x:c r="E120" s="1106" t="n">
        <x:v>7168</x:v>
      </x:c>
      <x:c r="F120" s="1105" t="str">
        <x:v>[48,7168,96]</x:v>
      </x:c>
      <x:c r="G120" s="1105" t="str">
        <x:v>B-major</x:v>
      </x:c>
      <x:c r="H120" s="1107" t="str">
        <x:v>reuseA fullK
C=3</x:v>
      </x:c>
      <x:c r="I120" s="1096" t="n">
        <x:v>128</x:v>
      </x:c>
      <x:c r="J120" s="1096" t="n">
        <x:v>64</x:v>
      </x:c>
      <x:c r="K120" s="1096" t="n">
        <x:v>512</x:v>
      </x:c>
      <x:c r="L120" s="1108" t="n">
        <x:v>8</x:v>
      </x:c>
      <x:c r="M120" s="1108" t="n">
        <x:v>24</x:v>
      </x:c>
      <x:c r="N120" s="1108" t="n">
        <x:v>24</x:v>
      </x:c>
      <x:c r="O120" s="1106" t="n">
        <x:v>10512</x:v>
      </x:c>
      <x:c r="P120" s="1109" t="n">
        <x:f>O120/('Markdown完整列表'!$B$4*1000)</x:f>
        <x:v>6.57</x:v>
      </x:c>
      <x:c r="Q120" s="1106" t="n">
        <x:v>32768</x:v>
      </x:c>
      <x:c r="R120" s="1106" t="n">
        <x:f>C120*D120*E120/Q120</x:f>
        <x:v>1008</x:v>
      </x:c>
      <x:c r="S120" s="1110" t="n">
        <x:f>R120/O120</x:f>
        <x:v>0.0958904109589041</x:v>
      </x:c>
      <x:c r="T120" s="1108"/>
      <x:c r="U120" s="1108"/>
      <x:c r="V120" s="1111"/>
      <x:c r="W120" s="1115" t="str">
        <x:v>PASS</x:v>
      </x:c>
      <x:c r="X120" s="1107" t="str">
        <x:v>/Users/blacktraker/Programming/gitproj/DV4/SuperNPUBench/outputs/lowp_fullcache_C23_tK_sweep_20261019/HIF4_M48_K7168_N96_tM128_tN64_tK512_local_C3/build/kernel/matmul/elf/kernel_matmul_matmul_lowp_HIF4_B1_M48_N96_K7168_tM128_tN64_tK512_reuseA_taillocal.elf</x:v>
      </x:c>
      <x:c r="Y120" s="1107" t="str">
        <x:v>/Users/blacktraker/Programming/gitproj/DV4/SuperNPUBench/outputs/lowp_fullcache_C23_tK_sweep_20261019/HIF4_M48_K7168_N96_tM128_tN64_tK512_local_C3/gfsim.log</x:v>
      </x:c>
      <x:c r="Z120" s="1107" t="str">
        <x:v>2026-10-19；full-K-cache，A/scale整段K只加载一次，跨所有N分组复用；M48按M64补零计算、valid_row写回。驻留C上限=3，实际最多=2。数值检查=PASS；Cube MAC util=12.79%。 L列为每PE单个A/scale tile容量；完整A缓存=112 KiB/PE；含C及32 KiB余量=156 KiB/PE。复用调度不套用旧单tile带宽公式，T:V留空。本项保留为raw data，不入选主表。compiler=7675921e392736ade9f2b2da08c78b311a536a03；gfsim=c668a6388907f503e80954fdfd4d013395d8775d；ELF SHA256=965d4f6fa6b25522406a5fec7a8720bba8d22417a4156c61fa15d45256964113；check=/Users/blacktraker/Programming/gitproj/DV4/SuperNPUBench/outputs/lowp_fullcache_C23_tK_sweep_20261019/HIF4_M48_K7168_N96_tM128_tN64_tK512_local_C3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0" s="1114" t="str">
        <x:v>make -B -C /Users/blacktraker/Programming/gitproj/DV4/SuperNPUBench/benchmark/one-level-arch/test/kernel/matmul TESTCASE=matmul_lowp LP_MODE=HIF4 LOWP_REUSE_A=on LOWP_TAIL_STORAGE=local LOWP_RESIDENT_CHAINS=3 M=48 K=7168 N=96 tM=128 tN=64 tK=512 res_check=off COMPILER_DIR=/Users/blacktraker/Programming/gitproj/DV4/linx-toolchain-build/output/linx_blockisa_llvm_musl/bin OBJ_ROOT=/Users/blacktraker/Programming/gitproj/DV4/SuperNPUBench/outputs/lowp_fullcache_C23_tK_sweep_20261019/HIF4_M48_K7168_N96_tM128_tN64_tK512_local_C3/build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/Users/blacktraker/Programming/gitproj/DV4/SuperNPUBench/outputs/lowp_fullcache_C23_tK_sweep_20261019/HIF4_M48_K7168_N96_tM128_tN64_tK512_local_C3/build/kernel/matmul/elf/kernel_matmul_matmul_lowp_HIF4_B1_M48_N96_K7168_tM128_tN64_tK512_reuseA_taillocal.elf</x:v>
      </x:c>
      <x:c r="AB120" s="1107" t="str">
        <x:v>matmul_lowp_reuseA full-K-cache; tM/tN/tK=128/64/512; resident_C=3; tail=local</x:v>
      </x:c>
      <x:c r="AC120" s="1112" t="str">
        <x:v>否</x:v>
      </x:c>
      <x:c r="AD120" s="1263" t="str">
        <x:v>https://github.com/PTO-ISA/SuperNPUBench/blob/a96a6ec94723ce4d78ae8cb6938e6b65d6b7ac48/eval/perf_data/source_snapshots/20261019/matmul_lowp_reuseA.hpp#L77</x:v>
      </x:c>
    </x:row>
    <x:row r="121" ht="31.5" customHeight="1">
      <x:c r="A121" s="1105" t="str">
        <x:v>matmul (ubm)</x:v>
      </x:c>
      <x:c r="B121" s="1105" t="str">
        <x:v>HIF4</x:v>
      </x:c>
      <x:c r="C121" s="1106" t="n">
        <x:v>48</x:v>
      </x:c>
      <x:c r="D121" s="1106" t="n">
        <x:v>96</x:v>
      </x:c>
      <x:c r="E121" s="1106" t="n">
        <x:v>7168</x:v>
      </x:c>
      <x:c r="F121" s="1105" t="str">
        <x:v>[48,7168,96]</x:v>
      </x:c>
      <x:c r="G121" s="1105" t="str">
        <x:v>B-major</x:v>
      </x:c>
      <x:c r="H121" s="1107" t="str">
        <x:v>reuseA fullK
C=2</x:v>
      </x:c>
      <x:c r="I121" s="1117" t="n">
        <x:v>128</x:v>
      </x:c>
      <x:c r="J121" s="1117" t="n">
        <x:v>64</x:v>
      </x:c>
      <x:c r="K121" s="1117" t="n">
        <x:v>1024</x:v>
      </x:c>
      <x:c r="L121" s="1108" t="n">
        <x:v>12</x:v>
      </x:c>
      <x:c r="M121" s="1108" t="n">
        <x:v>40</x:v>
      </x:c>
      <x:c r="N121" s="1108" t="n">
        <x:v>40</x:v>
      </x:c>
      <x:c r="O121" s="1106" t="n">
        <x:v>8801</x:v>
      </x:c>
      <x:c r="P121" s="1109" t="n">
        <x:f>O121/('Markdown完整列表'!$B$4*1000)</x:f>
        <x:v>5.500625</x:v>
      </x:c>
      <x:c r="Q121" s="1106" t="n">
        <x:v>32768</x:v>
      </x:c>
      <x:c r="R121" s="1106" t="n">
        <x:f>C121*D121*E121/Q121</x:f>
        <x:v>1008</x:v>
      </x:c>
      <x:c r="S121" s="1120" t="n">
        <x:f>R121/O121</x:f>
        <x:v>0.11453243949551187</x:v>
      </x:c>
      <x:c r="T121" s="1108"/>
      <x:c r="U121" s="1108"/>
      <x:c r="V121" s="1111"/>
      <x:c r="W121" s="1115" t="str">
        <x:v>PASS</x:v>
      </x:c>
      <x:c r="X121" s="1107" t="str">
        <x:v>/Users/blacktraker/Programming/gitproj/DV4/SuperNPUBench/outputs/lowp_fullcache_C23_tK_sweep_20261019/HIF4_M48_K7168_N96_tM128_tN64_tK1024_local_C2/build/kernel/matmul/elf/kernel_matmul_matmul_lowp_HIF4_B1_M48_N96_K7168_tM128_tN64_tK1024_reuseA_taillocal.elf</x:v>
      </x:c>
      <x:c r="Y121" s="1107" t="str">
        <x:v>/Users/blacktraker/Programming/gitproj/DV4/SuperNPUBench/outputs/lowp_fullcache_C23_tK_sweep_20261019/HIF4_M48_K7168_N96_tM128_tN64_tK1024_local_C2/gfsim.log</x:v>
      </x:c>
      <x:c r="Z121" s="1107" t="str">
        <x:v>2026-10-19；本轮该shape最优；full-K-cache，A/scale整段K只加载一次，跨所有N分组复用；M48按M64补零计算、valid_row写回。驻留C上限=2，实际最多=2。数值检查=PASS；Cube MAC util=15.27%。 L列为每PE单个A/scale tile容量；完整A缓存=84 KiB/PE；含C及32 KiB余量=124 KiB/PE。复用调度不套用旧单tile带宽公式，T:V留空。主表第32行采用本项full-K-cache C=2性能；不采用splitK。compiler=7675921e392736ade9f2b2da08c78b311a536a03；gfsim=c668a6388907f503e80954fdfd4d013395d8775d；ELF SHA256=8c497e0ee08631b07fb25269520024078f418e4317d6b0d61b88e4e6a9403225；check=/Users/blacktraker/Programming/gitproj/DV4/SuperNPUBench/outputs/lowp_fullcache_C23_tK_sweep_20261019/HIF4_M48_K7168_N96_tM128_tN64_tK1024_local_C2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1" s="1114" t="str">
        <x:v>make -B -C /Users/blacktraker/Programming/gitproj/DV4/SuperNPUBench/benchmark/one-level-arch/test/kernel/matmul TESTCASE=matmul_lowp LP_MODE=HIF4 LOWP_REUSE_A=on LOWP_TAIL_STORAGE=local LOWP_RESIDENT_CHAINS=2 M=48 K=7168 N=96 tM=128 tN=64 tK=1024 res_check=off COMPILER_DIR=/Users/blacktraker/Programming/gitproj/DV4/linx-toolchain-build/output/linx_blockisa_llvm_musl/bin OBJ_ROOT=/Users/blacktraker/Programming/gitproj/DV4/SuperNPUBench/outputs/lowp_fullcache_C23_tK_sweep_20261019/HIF4_M48_K7168_N96_tM128_tN64_tK1024_local_C2/build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/Users/blacktraker/Programming/gitproj/DV4/SuperNPUBench/outputs/lowp_fullcache_C23_tK_sweep_20261019/HIF4_M48_K7168_N96_tM128_tN64_tK1024_local_C2/build/kernel/matmul/elf/kernel_matmul_matmul_lowp_HIF4_B1_M48_N96_K7168_tM128_tN64_tK1024_reuseA_taillocal.elf</x:v>
      </x:c>
      <x:c r="AB121" s="1107" t="str">
        <x:v>matmul_lowp_reuseA full-K-cache; tM/tN/tK=128/64/1024; resident_C=2; tail=local</x:v>
      </x:c>
      <x:c r="AC121" s="1112" t="str">
        <x:v>否</x:v>
      </x:c>
      <x:c r="AD121" s="1263" t="str">
        <x:v>https://github.com/PTO-ISA/SuperNPUBench/blob/a96a6ec94723ce4d78ae8cb6938e6b65d6b7ac48/eval/perf_data/source_snapshots/20261019/matmul_lowp_reuseA.hpp#L77</x:v>
      </x:c>
    </x:row>
    <x:row r="122" ht="31.5" customHeight="1">
      <x:c r="A122" s="1105" t="str">
        <x:v>matmul (ubm)</x:v>
      </x:c>
      <x:c r="B122" s="1105" t="str">
        <x:v>HIF4</x:v>
      </x:c>
      <x:c r="C122" s="1106" t="n">
        <x:v>48</x:v>
      </x:c>
      <x:c r="D122" s="1106" t="n">
        <x:v>96</x:v>
      </x:c>
      <x:c r="E122" s="1106" t="n">
        <x:v>7168</x:v>
      </x:c>
      <x:c r="F122" s="1105" t="str">
        <x:v>[48,7168,96]</x:v>
      </x:c>
      <x:c r="G122" s="1105" t="str">
        <x:v>B-major</x:v>
      </x:c>
      <x:c r="H122" s="1107" t="str">
        <x:v>reuseA fullK
C=3</x:v>
      </x:c>
      <x:c r="I122" s="1096" t="n">
        <x:v>128</x:v>
      </x:c>
      <x:c r="J122" s="1096" t="n">
        <x:v>64</x:v>
      </x:c>
      <x:c r="K122" s="1096" t="n">
        <x:v>1024</x:v>
      </x:c>
      <x:c r="L122" s="1108" t="n">
        <x:v>12</x:v>
      </x:c>
      <x:c r="M122" s="1108" t="n">
        <x:v>40</x:v>
      </x:c>
      <x:c r="N122" s="1108" t="n">
        <x:v>40</x:v>
      </x:c>
      <x:c r="O122" s="1106" t="n">
        <x:v>8801</x:v>
      </x:c>
      <x:c r="P122" s="1109" t="n">
        <x:f>O122/('Markdown完整列表'!$B$4*1000)</x:f>
        <x:v>5.500625</x:v>
      </x:c>
      <x:c r="Q122" s="1106" t="n">
        <x:v>32768</x:v>
      </x:c>
      <x:c r="R122" s="1106" t="n">
        <x:f>C122*D122*E122/Q122</x:f>
        <x:v>1008</x:v>
      </x:c>
      <x:c r="S122" s="1110" t="n">
        <x:f>R122/O122</x:f>
        <x:v>0.11453243949551187</x:v>
      </x:c>
      <x:c r="T122" s="1108"/>
      <x:c r="U122" s="1108"/>
      <x:c r="V122" s="1111"/>
      <x:c r="W122" s="1115" t="str">
        <x:v>PASS</x:v>
      </x:c>
      <x:c r="X122" s="1107" t="str">
        <x:v>/Users/blacktraker/Programming/gitproj/DV4/SuperNPUBench/outputs/lowp_fullcache_C23_tK_sweep_20261019/HIF4_M48_K7168_N96_tM128_tN64_tK1024_local_C3/build/kernel/matmul/elf/kernel_matmul_matmul_lowp_HIF4_B1_M48_N96_K7168_tM128_tN64_tK1024_reuseA_taillocal.elf</x:v>
      </x:c>
      <x:c r="Y122" s="1107" t="str">
        <x:v>/Users/blacktraker/Programming/gitproj/DV4/SuperNPUBench/outputs/lowp_fullcache_C23_tK_sweep_20261019/HIF4_M48_K7168_N96_tM128_tN64_tK1024_local_C3/gfsim.log</x:v>
      </x:c>
      <x:c r="Z122" s="1107" t="str">
        <x:v>2026-10-19；full-K-cache，A/scale整段K只加载一次，跨所有N分组复用；M48按M64补零计算、valid_row写回。驻留C上限=3，实际最多=2。数值检查=PASS；Cube MAC util=15.27%。 L列为每PE单个A/scale tile容量；完整A缓存=84 KiB/PE；含C及32 KiB余量=128 KiB/PE。复用调度不套用旧单tile带宽公式，T:V留空。本项保留为raw data，不入选主表。compiler=7675921e392736ade9f2b2da08c78b311a536a03；gfsim=c668a6388907f503e80954fdfd4d013395d8775d；ELF SHA256=d1eebc9e6f63667a5dd502ffa402d0aa7b5fe3958aca22b01f7f28fcc69dda7f；check=/Users/blacktraker/Programming/gitproj/DV4/SuperNPUBench/outputs/lowp_fullcache_C23_tK_sweep_20261019/HIF4_M48_K7168_N96_tM128_tN64_tK1024_local_C3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2" s="1114" t="str">
        <x:v>make -B -C /Users/blacktraker/Programming/gitproj/DV4/SuperNPUBench/benchmark/one-level-arch/test/kernel/matmul TESTCASE=matmul_lowp LP_MODE=HIF4 LOWP_REUSE_A=on LOWP_TAIL_STORAGE=local LOWP_RESIDENT_CHAINS=3 M=48 K=7168 N=96 tM=128 tN=64 tK=1024 res_check=off COMPILER_DIR=/Users/blacktraker/Programming/gitproj/DV4/linx-toolchain-build/output/linx_blockisa_llvm_musl/bin OBJ_ROOT=/Users/blacktraker/Programming/gitproj/DV4/SuperNPUBench/outputs/lowp_fullcache_C23_tK_sweep_20261019/HIF4_M48_K7168_N96_tM128_tN64_tK1024_local_C3/build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/Users/blacktraker/Programming/gitproj/DV4/SuperNPUBench/outputs/lowp_fullcache_C23_tK_sweep_20261019/HIF4_M48_K7168_N96_tM128_tN64_tK1024_local_C3/build/kernel/matmul/elf/kernel_matmul_matmul_lowp_HIF4_B1_M48_N96_K7168_tM128_tN64_tK1024_reuseA_taillocal.elf</x:v>
      </x:c>
      <x:c r="AB122" s="1107" t="str">
        <x:v>matmul_lowp_reuseA full-K-cache; tM/tN/tK=128/64/1024; resident_C=3; tail=local</x:v>
      </x:c>
      <x:c r="AC122" s="1112" t="str">
        <x:v>否</x:v>
      </x:c>
      <x:c r="AD122" s="1263" t="str">
        <x:v>https://github.com/PTO-ISA/SuperNPUBench/blob/a96a6ec94723ce4d78ae8cb6938e6b65d6b7ac48/eval/perf_data/source_snapshots/20261019/matmul_lowp_reuseA.hpp#L77</x:v>
      </x:c>
    </x:row>
    <x:row r="123" ht="31.5" customHeight="1">
      <x:c r="A123" s="1147" t="str">
        <x:v>matmul (ubm)</x:v>
      </x:c>
      <x:c r="B123" s="1147" t="str">
        <x:v>HIF4</x:v>
      </x:c>
      <x:c r="C123" s="1148" t="n">
        <x:v>256</x:v>
      </x:c>
      <x:c r="D123" s="1148" t="n">
        <x:v>1280</x:v>
      </x:c>
      <x:c r="E123" s="1148" t="n">
        <x:v>4096</x:v>
      </x:c>
      <x:c r="F123" s="1147" t="str">
        <x:v>[256,4096,1280]</x:v>
      </x:c>
      <x:c r="G123" s="1147" t="str">
        <x:v>B-major</x:v>
      </x:c>
      <x:c r="H123" s="1149" t="str">
        <x:v>reuseA fullK
C=2</x:v>
      </x:c>
      <x:c r="I123" s="1150" t="n">
        <x:v>128</x:v>
      </x:c>
      <x:c r="J123" s="1150" t="n">
        <x:v>128</x:v>
      </x:c>
      <x:c r="K123" s="1150" t="n">
        <x:v>256</x:v>
      </x:c>
      <x:c r="L123" s="1151" t="n">
        <x:v>8</x:v>
      </x:c>
      <x:c r="M123" s="1151" t="n">
        <x:v>32</x:v>
      </x:c>
      <x:c r="N123" s="1151" t="n">
        <x:v>32</x:v>
      </x:c>
      <x:c r="O123" s="1148" t="n">
        <x:v>95109</x:v>
      </x:c>
      <x:c r="P123" s="1152" t="n">
        <x:f>O123/('Markdown完整列表'!$B$4*1000)</x:f>
        <x:v>59.443125</x:v>
      </x:c>
      <x:c r="Q123" s="1148" t="n">
        <x:v>32768</x:v>
      </x:c>
      <x:c r="R123" s="1148" t="n">
        <x:f>C123*D123*E123/Q123</x:f>
        <x:v>40960</x:v>
      </x:c>
      <x:c r="S123" s="1153" t="n">
        <x:f>R123/O123</x:f>
        <x:v>0.4306637647330957</x:v>
      </x:c>
      <x:c r="T123" s="1151"/>
      <x:c r="U123" s="1151"/>
      <x:c r="V123" s="1154"/>
      <x:c r="W123" s="1143" t="str">
        <x:v>PASS</x:v>
      </x:c>
      <x:c r="X123" s="1149" t="str">
        <x:v>/Users/blacktraker/Programming/gitproj/DV4/SuperNPUBench/outputs/lowp_fullcache_C23_tK_sweep_20261019/HIF4_M256_K4096_N1280_tM128_tN128_tK256_local_C2/build/kernel/matmul/elf/kernel_matmul_matmul_lowp_HIF4_B1_M256_N1280_K4096_tM128_tN128_tK256_reuseA_taillocal.elf</x:v>
      </x:c>
      <x:c r="Y123" s="1149" t="str">
        <x:v>/Users/blacktraker/Programming/gitproj/DV4/SuperNPUBench/outputs/lowp_fullcache_C23_tK_sweep_20261019/HIF4_M256_K4096_N1280_tM128_tN128_tK256_local_C2/gfsim.log</x:v>
      </x:c>
      <x:c r="Z123" s="1149" t="str">
        <x:v>2026-10-19；full-K-cache，A/scale整段K只加载一次，跨所有N分组复用；M48按M64补零计算、valid_row写回。驻留C上限=2，实际最多=2。数值检查=PASS；Cube MAC util=43.07%。 L列为每PE单个A/scale tile容量；完整A缓存=128 KiB/PE；含C及32 KiB余量=192 KiB/PE。复用调度不套用旧单tile带宽公式，T:V留空。本项保留为raw data，不入选主表。compiler=7675921e392736ade9f2b2da08c78b311a536a03；gfsim=c668a6388907f503e80954fdfd4d013395d8775d；ELF SHA256=3ace5ca42b6cd6a2a0f9e8e9ff778652ac58c24d938c0e5a3654146deb8b4a5a；check=/Users/blacktraker/Programming/gitproj/DV4/SuperNPUBench/outputs/lowp_fullcache_C23_tK_sweep_20261019/HIF4_M256_K4096_N1280_tM128_tN128_tK256_local_C2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3" s="1157" t="str">
        <x:v>make -B -C /Users/blacktraker/Programming/gitproj/DV4/SuperNPUBench/benchmark/one-level-arch/test/kernel/matmul TESTCASE=matmul_lowp LP_MODE=HIF4 LOWP_REUSE_A=on LOWP_TAIL_STORAGE=local LOWP_RESIDENT_CHAINS=2 M=256 K=4096 N=1280 tM=128 tN=128 tK=256 res_check=off COMPILER_DIR=/Users/blacktraker/Programming/gitproj/DV4/linx-toolchain-build/output/linx_blockisa_llvm_musl/bin OBJ_ROOT=/Users/blacktraker/Programming/gitproj/DV4/SuperNPUBench/outputs/lowp_fullcache_C23_tK_sweep_20261019/HIF4_M256_K4096_N1280_tM128_tN128_tK256_local_C2/build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/Users/blacktraker/Programming/gitproj/DV4/SuperNPUBench/outputs/lowp_fullcache_C23_tK_sweep_20261019/HIF4_M256_K4096_N1280_tM128_tN128_tK256_local_C2/build/kernel/matmul/elf/kernel_matmul_matmul_lowp_HIF4_B1_M256_N1280_K4096_tM128_tN128_tK256_reuseA_taillocal.elf</x:v>
      </x:c>
      <x:c r="AB123" s="1149" t="str">
        <x:v>matmul_lowp_reuseA full-K-cache; tM/tN/tK=128/128/256; resident_C=2; tail=local</x:v>
      </x:c>
      <x:c r="AC123" s="1155" t="str">
        <x:v>否</x:v>
      </x:c>
      <x:c r="AD123" s="1263" t="str">
        <x:v>https://github.com/PTO-ISA/SuperNPUBench/blob/a96a6ec94723ce4d78ae8cb6938e6b65d6b7ac48/eval/perf_data/source_snapshots/20261019/matmul_lowp_reuseA.hpp#L77</x:v>
      </x:c>
    </x:row>
    <x:row r="124" ht="31.5" customHeight="1">
      <x:c r="A124" s="1147" t="str">
        <x:v>matmul (ubm)</x:v>
      </x:c>
      <x:c r="B124" s="1147" t="str">
        <x:v>HIF4</x:v>
      </x:c>
      <x:c r="C124" s="1148" t="n">
        <x:v>256</x:v>
      </x:c>
      <x:c r="D124" s="1148" t="n">
        <x:v>1280</x:v>
      </x:c>
      <x:c r="E124" s="1148" t="n">
        <x:v>4096</x:v>
      </x:c>
      <x:c r="F124" s="1147" t="str">
        <x:v>[256,4096,1280]</x:v>
      </x:c>
      <x:c r="G124" s="1147" t="str">
        <x:v>B-major</x:v>
      </x:c>
      <x:c r="H124" s="1149" t="str">
        <x:v>reuseA fullK
C=3</x:v>
      </x:c>
      <x:c r="I124" s="1150" t="n">
        <x:v>128</x:v>
      </x:c>
      <x:c r="J124" s="1150" t="n">
        <x:v>128</x:v>
      </x:c>
      <x:c r="K124" s="1150" t="n">
        <x:v>256</x:v>
      </x:c>
      <x:c r="L124" s="1151" t="n">
        <x:v>8</x:v>
      </x:c>
      <x:c r="M124" s="1151" t="n">
        <x:v>32</x:v>
      </x:c>
      <x:c r="N124" s="1151" t="n">
        <x:v>32</x:v>
      </x:c>
      <x:c r="O124" s="1148"/>
      <x:c r="P124" s="1152"/>
      <x:c r="Q124" s="1148" t="n">
        <x:v>32768</x:v>
      </x:c>
      <x:c r="R124" s="1148" t="n">
        <x:f>C124*D124*E124/Q124</x:f>
        <x:v>40960</x:v>
      </x:c>
      <x:c r="S124" s="1153"/>
      <x:c r="T124" s="1151"/>
      <x:c r="U124" s="1151"/>
      <x:c r="V124" s="1154"/>
      <x:c r="W124" s="1158" t="str">
        <x:v>ASSERT_FAIL</x:v>
      </x:c>
      <x:c r="X124" s="1149" t="str">
        <x:v>/Users/blacktraker/Programming/gitproj/DV4/SuperNPUBench/outputs/lowp_fullcache_C23_tK_sweep_20261019/HIF4_M256_K4096_N1280_tM128_tN128_tK256_local_C3/build/kernel/matmul/elf/kernel_matmul_matmul_lowp_HIF4_B1_M256_N1280_K4096_tM128_tN128_tK256_reuseA_taillocal.elf</x:v>
      </x:c>
      <x:c r="Y124" s="1149" t="str">
        <x:v>/Users/blacktraker/Programming/gitproj/DV4/SuperNPUBench/outputs/lowp_fullcache_C23_tK_sweep_20261019/HIF4_M256_K4096_N1280_tM128_tN128_tK256_local_C3/gfsim.log</x:v>
      </x:c>
      <x:c r="Z124" s="1149" t="str">
        <x:v>2026-10-19；full-K-cache，A/scale整段K只加载一次，跨所有N分组复用；M48按M64补零计算、valid_row写回。驻留C上限=3，实际最多=3。Local TMOV容量不匹配；PC=0x11c2c，t#1实际为16 KiB C，目的=4 KiB；gfrun同样失败。 L列为每PE单个A/scale tile容量；完整A缓存=128 KiB/PE；含C及32 KiB余量=208 KiB/PE。复用调度不套用旧单tile带宽公式，T:V留空。本项保留为raw data，不入选主表。compiler=7675921e392736ade9f2b2da08c78b311a536a03；gfsim=c668a6388907f503e80954fdfd4d013395d8775d；ELF SHA256=3776e3c62d6be4a2e72bccd91efe088778734da76d45554629a7e1005a3375db；check=/Users/blacktraker/Programming/gitproj/DV4/SuperNPUBench/outputs/lowp_fullcache_C23_tK_sweep_20261019/HIF4_M256_K4096_N1280_tM128_tN128_tK256_local_C3/gfrun_failure_trace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4" s="1157" t="str">
        <x:v>make -B -C /Users/blacktraker/Programming/gitproj/DV4/SuperNPUBench/benchmark/one-level-arch/test/kernel/matmul TESTCASE=matmul_lowp LP_MODE=HIF4 LOWP_REUSE_A=on LOWP_TAIL_STORAGE=local LOWP_RESIDENT_CHAINS=3 M=256 K=4096 N=1280 tM=128 tN=128 tK=256 res_check=off COMPILER_DIR=/Users/blacktraker/Programming/gitproj/DV4/linx-toolchain-build/output/linx_blockisa_llvm_musl/bin OBJ_ROOT=/Users/blacktraker/Programming/gitproj/DV4/SuperNPUBench/outputs/lowp_fullcache_C23_tK_sweep_20261019/HIF4_M256_K4096_N1280_tM128_tN128_tK256_local_C3/build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/Users/blacktraker/Programming/gitproj/DV4/SuperNPUBench/outputs/lowp_fullcache_C23_tK_sweep_20261019/HIF4_M256_K4096_N1280_tM128_tN128_tK256_local_C3/build/kernel/matmul/elf/kernel_matmul_matmul_lowp_HIF4_B1_M256_N1280_K4096_tM128_tN128_tK256_reuseA_taillocal.elf</x:v>
      </x:c>
      <x:c r="AB124" s="1149" t="str">
        <x:v>matmul_lowp_reuseA full-K-cache; tM/tN/tK=128/128/256; resident_C=3; tail=local</x:v>
      </x:c>
      <x:c r="AC124" s="1155" t="str">
        <x:v>否</x:v>
      </x:c>
      <x:c r="AD124" s="1263" t="str">
        <x:v>https://github.com/PTO-ISA/SuperNPUBench/blob/a96a6ec94723ce4d78ae8cb6938e6b65d6b7ac48/eval/perf_data/source_snapshots/20261019/matmul_lowp_reuseA.hpp#L77</x:v>
      </x:c>
    </x:row>
    <x:row r="125" ht="31.5" customHeight="1">
      <x:c r="A125" s="1147" t="str">
        <x:v>matmul (ubm)</x:v>
      </x:c>
      <x:c r="B125" s="1147" t="str">
        <x:v>HIF4</x:v>
      </x:c>
      <x:c r="C125" s="1148" t="n">
        <x:v>256</x:v>
      </x:c>
      <x:c r="D125" s="1148" t="n">
        <x:v>1280</x:v>
      </x:c>
      <x:c r="E125" s="1148" t="n">
        <x:v>4096</x:v>
      </x:c>
      <x:c r="F125" s="1147" t="str">
        <x:v>[256,4096,1280]</x:v>
      </x:c>
      <x:c r="G125" s="1147" t="str">
        <x:v>B-major</x:v>
      </x:c>
      <x:c r="H125" s="1149" t="str">
        <x:v>reuseA fullK
C=2</x:v>
      </x:c>
      <x:c r="I125" s="1126" t="n">
        <x:v>128</x:v>
      </x:c>
      <x:c r="J125" s="1126" t="n">
        <x:v>128</x:v>
      </x:c>
      <x:c r="K125" s="1126" t="n">
        <x:v>512</x:v>
      </x:c>
      <x:c r="L125" s="1151" t="n">
        <x:v>12</x:v>
      </x:c>
      <x:c r="M125" s="1151" t="n">
        <x:v>48</x:v>
      </x:c>
      <x:c r="N125" s="1151" t="n">
        <x:v>48</x:v>
      </x:c>
      <x:c r="O125" s="1148" t="n">
        <x:v>75355</x:v>
      </x:c>
      <x:c r="P125" s="1152" t="n">
        <x:f>O125/('Markdown完整列表'!$B$4*1000)</x:f>
        <x:v>47.096875</x:v>
      </x:c>
      <x:c r="Q125" s="1148" t="n">
        <x:v>32768</x:v>
      </x:c>
      <x:c r="R125" s="1148" t="n">
        <x:f>C125*D125*E125/Q125</x:f>
        <x:v>40960</x:v>
      </x:c>
      <x:c r="S125" s="1120" t="n">
        <x:f>R125/O125</x:f>
        <x:v>0.5435604803928074</x:v>
      </x:c>
      <x:c r="T125" s="1151"/>
      <x:c r="U125" s="1151"/>
      <x:c r="V125" s="1154"/>
      <x:c r="W125" s="1143" t="str">
        <x:v>PASS</x:v>
      </x:c>
      <x:c r="X125" s="1149" t="str">
        <x:v>/Users/blacktraker/Programming/gitproj/DV4/SuperNPUBench/outputs/lowp_fullcache_C23_tK_sweep_20261019/HIF4_M256_K4096_N1280_tM128_tN128_tK512_local_C2/build/kernel/matmul/elf/kernel_matmul_matmul_lowp_HIF4_B1_M256_N1280_K4096_tM128_tN128_tK512_reuseA_taillocal.elf</x:v>
      </x:c>
      <x:c r="Y125" s="1149" t="str">
        <x:v>/Users/blacktraker/Programming/gitproj/DV4/SuperNPUBench/outputs/lowp_fullcache_C23_tK_sweep_20261019/HIF4_M256_K4096_N1280_tM128_tN128_tK512_local_C2/gfsim.log</x:v>
      </x:c>
      <x:c r="Z125" s="1149" t="str">
        <x:v>2026-10-19；本轮该shape最优；full-K-cache，A/scale整段K只加载一次，跨所有N分组复用；M48按M64补零计算、valid_row写回。驻留C上限=2，实际最多=2。数值检查=PASS；Cube MAC util=54.36%。 L列为每PE单个A/scale tile容量；完整A缓存=96 KiB/PE；含C及32 KiB余量=160 KiB/PE。复用调度不套用旧单tile带宽公式，T:V留空。主表第33行采用本项full-K-cache C=2性能；不采用splitK。compiler=7675921e392736ade9f2b2da08c78b311a536a03；gfsim=c668a6388907f503e80954fdfd4d013395d8775d；ELF SHA256=0959976b92972f9a5bf3ea68e076d91aba4c752e4bff530c296d5f725c3a78ec；check=/Users/blacktraker/Programming/gitproj/DV4/SuperNPUBench/outputs/lowp_fullcache_C23_tK_sweep_20261019/HIF4_M256_K4096_N1280_tM128_tN128_tK512_local_C2/golden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5" s="1157" t="str">
        <x:v>make -B -C /Users/blacktraker/Programming/gitproj/DV4/SuperNPUBench/benchmark/one-level-arch/test/kernel/matmul TESTCASE=matmul_lowp LP_MODE=HIF4 LOWP_REUSE_A=on LOWP_TAIL_STORAGE=local LOWP_RESIDENT_CHAINS=2 M=256 K=4096 N=1280 tM=128 tN=128 tK=512 res_check=off COMPILER_DIR=/Users/blacktraker/Programming/gitproj/DV4/linx-toolchain-build/output/linx_blockisa_llvm_musl/bin OBJ_ROOT=/Users/blacktraker/Programming/gitproj/DV4/SuperNPUBench/outputs/lowp_fullcache_C23_tK_sweep_20261019/HIF4_M256_K4096_N1280_tM128_tN128_tK512_local_C2/build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/Users/blacktraker/Programming/gitproj/DV4/SuperNPUBench/outputs/lowp_fullcache_C23_tK_sweep_20261019/HIF4_M256_K4096_N1280_tM128_tN128_tK512_local_C2/build/kernel/matmul/elf/kernel_matmul_matmul_lowp_HIF4_B1_M256_N1280_K4096_tM128_tN128_tK512_reuseA_taillocal.elf</x:v>
      </x:c>
      <x:c r="AB125" s="1149" t="str">
        <x:v>matmul_lowp_reuseA full-K-cache; tM/tN/tK=128/128/512; resident_C=2; tail=local</x:v>
      </x:c>
      <x:c r="AC125" s="1155" t="str">
        <x:v>否</x:v>
      </x:c>
      <x:c r="AD125" s="1263" t="str">
        <x:v>https://github.com/PTO-ISA/SuperNPUBench/blob/a96a6ec94723ce4d78ae8cb6938e6b65d6b7ac48/eval/perf_data/source_snapshots/20261019/matmul_lowp_reuseA.hpp#L77</x:v>
      </x:c>
    </x:row>
    <x:row r="126" ht="31.5" customHeight="1">
      <x:c r="A126" s="1147" t="str">
        <x:v>matmul (ubm)</x:v>
      </x:c>
      <x:c r="B126" s="1147" t="str">
        <x:v>HIF4</x:v>
      </x:c>
      <x:c r="C126" s="1148" t="n">
        <x:v>256</x:v>
      </x:c>
      <x:c r="D126" s="1148" t="n">
        <x:v>1280</x:v>
      </x:c>
      <x:c r="E126" s="1148" t="n">
        <x:v>4096</x:v>
      </x:c>
      <x:c r="F126" s="1147" t="str">
        <x:v>[256,4096,1280]</x:v>
      </x:c>
      <x:c r="G126" s="1147" t="str">
        <x:v>B-major</x:v>
      </x:c>
      <x:c r="H126" s="1149" t="str">
        <x:v>reuseA fullK
C=3</x:v>
      </x:c>
      <x:c r="I126" s="1150" t="n">
        <x:v>128</x:v>
      </x:c>
      <x:c r="J126" s="1150" t="n">
        <x:v>128</x:v>
      </x:c>
      <x:c r="K126" s="1150" t="n">
        <x:v>512</x:v>
      </x:c>
      <x:c r="L126" s="1151" t="n">
        <x:v>12</x:v>
      </x:c>
      <x:c r="M126" s="1151" t="n">
        <x:v>48</x:v>
      </x:c>
      <x:c r="N126" s="1151" t="n">
        <x:v>48</x:v>
      </x:c>
      <x:c r="O126" s="1148"/>
      <x:c r="P126" s="1152"/>
      <x:c r="Q126" s="1148" t="n">
        <x:v>32768</x:v>
      </x:c>
      <x:c r="R126" s="1148" t="n">
        <x:f>C126*D126*E126/Q126</x:f>
        <x:v>40960</x:v>
      </x:c>
      <x:c r="S126" s="1153"/>
      <x:c r="T126" s="1151"/>
      <x:c r="U126" s="1151"/>
      <x:c r="V126" s="1154"/>
      <x:c r="W126" s="1158" t="str">
        <x:v>ASSERT_FAIL</x:v>
      </x:c>
      <x:c r="X126" s="1149" t="str">
        <x:v>/Users/blacktraker/Programming/gitproj/DV4/SuperNPUBench/outputs/lowp_fullcache_C23_tK_sweep_20261019/HIF4_M256_K4096_N1280_tM128_tN128_tK512_local_C3/build/kernel/matmul/elf/kernel_matmul_matmul_lowp_HIF4_B1_M256_N1280_K4096_tM128_tN128_tK512_reuseA_taillocal.elf</x:v>
      </x:c>
      <x:c r="Y126" s="1149" t="str">
        <x:v>/Users/blacktraker/Programming/gitproj/DV4/SuperNPUBench/outputs/lowp_fullcache_C23_tK_sweep_20261019/HIF4_M256_K4096_N1280_tM128_tN128_tK512_local_C3/gfsim.log</x:v>
      </x:c>
      <x:c r="Z126" s="1149" t="str">
        <x:v>2026-10-19；full-K-cache，A/scale整段K只加载一次，跨所有N分组复用；M48按M64补零计算、valid_row写回。驻留C上限=3，实际最多=3。Local TMOV容量不匹配；PC=0x119da，t#1实际为16 KiB C，目的=8 KiB；gfrun同样失败。 L列为每PE单个A/scale tile容量；完整A缓存=96 KiB/PE；含C及32 KiB余量=176 KiB/PE。复用调度不套用旧单tile带宽公式，T:V留空。本项保留为raw data，不入选主表。compiler=7675921e392736ade9f2b2da08c78b311a536a03；gfsim=c668a6388907f503e80954fdfd4d013395d8775d；ELF SHA256=20ec6bbbb2d8b0a65d9231315f8de58bb58e3ec06da3de7d92c63f94fcacaf68；check=/Users/blacktraker/Programming/gitproj/DV4/SuperNPUBench/outputs/lowp_fullcache_C23_tK_sweep_20261019/HIF4_M256_K4096_N1280_tM128_tN128_tK512_local_C3/gfrun_failure_trace.log；source=/Users/blacktraker/Programming/gitproj/DV4/SuperNPUBench/outputs/lowp_fullcache_C23_tK_sweep_20261019/table_update/../source；manifest=/Users/blacktraker/Programming/gitproj/DV4/SuperNPUBench/outputs/lowp_fullcache_C23_tK_sweep_20261019/table_update/../results.json</x:v>
      </x:c>
      <x:c r="AA126" s="1157" t="str">
        <x:v>make -B -C /Users/blacktraker/Programming/gitproj/DV4/SuperNPUBench/benchmark/one-level-arch/test/kernel/matmul TESTCASE=matmul_lowp LP_MODE=HIF4 LOWP_REUSE_A=on LOWP_TAIL_STORAGE=local LOWP_RESIDENT_CHAINS=3 M=256 K=4096 N=1280 tM=128 tN=128 tK=512 res_check=off COMPILER_DIR=/Users/blacktraker/Programming/gitproj/DV4/linx-toolchain-build/output/linx_blockisa_llvm_musl/bin OBJ_ROOT=/Users/blacktraker/Programming/gitproj/DV4/SuperNPUBench/outputs/lowp_fullcache_C23_tK_sweep_20261019/HIF4_M256_K4096_N1280_tM128_tN128_tK512_local_C3/build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/Users/blacktraker/Programming/gitproj/DV4/SuperNPUBench/outputs/lowp_fullcache_C23_tK_sweep_20261019/HIF4_M256_K4096_N1280_tM128_tN128_tK512_local_C3/build/kernel/matmul/elf/kernel_matmul_matmul_lowp_HIF4_B1_M256_N1280_K4096_tM128_tN128_tK512_reuseA_taillocal.elf</x:v>
      </x:c>
      <x:c r="AB126" s="1149" t="str">
        <x:v>matmul_lowp_reuseA full-K-cache; tM/tN/tK=128/128/512; resident_C=3; tail=local</x:v>
      </x:c>
      <x:c r="AC126" s="1155" t="str">
        <x:v>否</x:v>
      </x:c>
      <x:c r="AD126" s="1263" t="str">
        <x:v>https://github.com/PTO-ISA/SuperNPUBench/blob/a96a6ec94723ce4d78ae8cb6938e6b65d6b7ac48/eval/perf_data/source_snapshots/20261019/matmul_lowp_reuseA.hpp#L77</x:v>
      </x:c>
    </x:row>
    <x:row r="127">
      <x:c r="A127" s="1162" t="str">
        <x:v>matmul (ubm)</x:v>
      </x:c>
      <x:c r="B127" s="1162" t="str">
        <x:v>HIF4</x:v>
      </x:c>
      <x:c r="C127" s="1163" t="n">
        <x:v>48</x:v>
      </x:c>
      <x:c r="D127" s="1163" t="n">
        <x:v>96</x:v>
      </x:c>
      <x:c r="E127" s="1163" t="n">
        <x:v>7168</x:v>
      </x:c>
      <x:c r="F127" s="1162" t="str">
        <x:v>[48,7168,96]</x:v>
      </x:c>
      <x:c r="G127" s="1162" t="str">
        <x:v>B-major</x:v>
      </x:c>
      <x:c r="H127" s="1164" t="str">
        <x:v>reuseA fullK
C=2</x:v>
      </x:c>
      <x:c r="I127" s="1012" t="n">
        <x:v>128</x:v>
      </x:c>
      <x:c r="J127" s="1012" t="n">
        <x:v>64</x:v>
      </x:c>
      <x:c r="K127" s="1012" t="n">
        <x:v>1024</x:v>
      </x:c>
      <x:c r="L127" s="1165" t="n">
        <x:v>12</x:v>
      </x:c>
      <x:c r="M127" s="1165" t="n">
        <x:v>40</x:v>
      </x:c>
      <x:c r="N127" s="1165" t="n">
        <x:v>40</x:v>
      </x:c>
      <x:c r="O127" s="1163" t="n">
        <x:v>7868</x:v>
      </x:c>
      <x:c r="P127" s="1166" t="n">
        <x:f>O127/('Markdown完整列表'!$B$4*1000)</x:f>
        <x:v>4.9175</x:v>
      </x:c>
      <x:c r="Q127" s="1163" t="n">
        <x:v>32768</x:v>
      </x:c>
      <x:c r="R127" s="1163" t="n">
        <x:f>C127*D127*E127/Q127</x:f>
        <x:v>1008</x:v>
      </x:c>
      <x:c r="S127" s="1000" t="n">
        <x:f>R127/O127</x:f>
        <x:v>0.12811387900355872</x:v>
      </x:c>
      <x:c r="T127" s="1165"/>
      <x:c r="U127" s="1165"/>
      <x:c r="V127" s="1167"/>
      <x:c r="W127" s="1168" t="str">
        <x:v>PASS</x:v>
      </x:c>
      <x:c r="X127" s="1164" t="str">
        <x:v>/Users/blacktraker/Programming/gitproj/DV4/SuperNPUBench/outputs/lowp_asl_config_compare_20261019/traces/M48_K7168_N96/kernel_HIF4_reuseA_M48_K7168_N96_tM128_tN64_tK1024_C2.elf</x:v>
      </x:c>
      <x:c r="Y127" s="1164" t="str">
        <x:v>/Users/blacktraker/Programming/gitproj/DV4/SuperNPUBench/outputs/lowp_asl_config_compare_20261019/M48_K7168_N96_tK1024_C2/gfsim.log</x:v>
      </x:c>
      <x:c r="Z127" s="1164" t="str">
        <x:v>ASL bdbafed55613955d0b8b27438e9e7d2a72dfccd2; same original ELF, full-K-cache C=2; Cube MAC util=17.08%; M48有效MFU按M48计算，物理M64。源码快照：/Users/blacktraker/Programming/gitproj/DV4/SuperNPUBench/outputs/lowp_fullcache_C23_tK_sweep_20261019/source/matmul_lowp_reuseA.hpp；入口快照：/Users/blacktraker/Programming/gitproj/DV4/SuperNPUBench/outputs/lowp_fullcache_C23_tK_sweep_20261019/source/matmul_lowp.cpp；SwimLane：/Users/blacktraker/Programming/gitproj/DV4/SuperNPUBench/outputs/lowp_asl_config_compare_20261019/traces/M48_K7168_N96/kernel_HIF4_reuseA_M48_K7168_N96_tM128_tN64_tK1024_C2.swimlane.json；PipeView：/Users/blacktraker/Programming/gitproj/DV4/SuperNPUBench/outputs/lowp_asl_config_compare_20261019/traces/M48_K7168_N96/kernel_HIF4_reuseA_M48_K7168_N96_tM128_tN64_tK1024_C2.pipeview.log.out</x:v>
      </x:c>
      <x:c r="AA127" s="1169" t="str">
        <x:v>cd /Users/blacktraker/Programming/gitproj/DV4/SuperScalarModel-asl &amp;&amp; ./bin/gfsim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bfu.bhc_nostd=40 -s softcore.multiThreadNum=4 -s core.sharetreg_size_bytes=262144 -s core.sharetreg_ssb_count=64 -s bctrl.tile_size_class_enable=false -f /Users/blacktraker/Programming/gitproj/DV4/SuperNPUBench/outputs/lowp_fullcache_C23_tK_sweep_20261019/HIF4_M48_K7168_N96_tM128_tN64_tK1024_local_C2/build/kernel/matmul/elf/kernel_matmul_matmul_lowp_HIF4_B1_M48_N96_K7168_tM128_tN64_tK1024_reuseA_taillocal.elf</x:v>
      </x:c>
      <x:c r="AB127" s="1164" t="str">
        <x:v>reuseA fullK; tM/tN/tK=128/64/1024; C=2; local
ASL bdbafed55613; SoC BW=156, latency=260</x:v>
      </x:c>
      <x:c r="AC127" s="1170" t="str">
        <x:v>否</x:v>
      </x:c>
      <x:c r="AD127" s="1264" t="str">
        <x:v>https://github.com/PTO-ISA/SuperNPUBench/blob/a96a6ec94723ce4d78ae8cb6938e6b65d6b7ac48/eval/perf_data/source_snapshots/20261019/matmul_lowp_reuseA.hpp#L77</x:v>
      </x:c>
    </x:row>
    <x:row r="128">
      <x:c r="A128" s="1171" t="str">
        <x:v>matmul (ubm)</x:v>
      </x:c>
      <x:c r="B128" s="1171" t="str">
        <x:v>HIF4</x:v>
      </x:c>
      <x:c r="C128" s="1172" t="n">
        <x:v>256</x:v>
      </x:c>
      <x:c r="D128" s="1172" t="n">
        <x:v>1280</x:v>
      </x:c>
      <x:c r="E128" s="1172" t="n">
        <x:v>4096</x:v>
      </x:c>
      <x:c r="F128" s="1171" t="str">
        <x:v>[256,4096,1280]</x:v>
      </x:c>
      <x:c r="G128" s="1171" t="str">
        <x:v>B-major</x:v>
      </x:c>
      <x:c r="H128" s="1173" t="str">
        <x:v>reuseA fullK
C=2</x:v>
      </x:c>
      <x:c r="I128" s="1016" t="n">
        <x:v>128</x:v>
      </x:c>
      <x:c r="J128" s="1016" t="n">
        <x:v>128</x:v>
      </x:c>
      <x:c r="K128" s="1016" t="n">
        <x:v>512</x:v>
      </x:c>
      <x:c r="L128" s="1174" t="n">
        <x:v>12</x:v>
      </x:c>
      <x:c r="M128" s="1174" t="n">
        <x:v>48</x:v>
      </x:c>
      <x:c r="N128" s="1174" t="n">
        <x:v>48</x:v>
      </x:c>
      <x:c r="O128" s="1172" t="n">
        <x:v>69172</x:v>
      </x:c>
      <x:c r="P128" s="1175" t="n">
        <x:f>O128/('Markdown完整列表'!$B$4*1000)</x:f>
        <x:v>43.2325</x:v>
      </x:c>
      <x:c r="Q128" s="1172" t="n">
        <x:v>32768</x:v>
      </x:c>
      <x:c r="R128" s="1172" t="n">
        <x:f>C128*D128*E128/Q128</x:f>
        <x:v>40960</x:v>
      </x:c>
      <x:c r="S128" s="1000" t="n">
        <x:f>R128/O128</x:f>
        <x:v>0.5921471115480252</x:v>
      </x:c>
      <x:c r="T128" s="1174"/>
      <x:c r="U128" s="1174"/>
      <x:c r="V128" s="1176"/>
      <x:c r="W128" s="1121" t="str">
        <x:v>PASS</x:v>
      </x:c>
      <x:c r="X128" s="1173" t="str">
        <x:v>/Users/blacktraker/Programming/gitproj/DV4/SuperNPUBench/outputs/lowp_asl_config_compare_20261019/traces/M256_K4096_N1280/kernel_HIF4_reuseA_M256_K4096_N1280_tM128_tN128_tK512_C2.elf</x:v>
      </x:c>
      <x:c r="Y128" s="1173" t="str">
        <x:v>/Users/blacktraker/Programming/gitproj/DV4/SuperNPUBench/outputs/lowp_asl_config_compare_20261019/M256_K4096_N1280_tK512_C2/gfsim.log</x:v>
      </x:c>
      <x:c r="Z128" s="1173" t="str">
        <x:v>ASL bdbafed55613955d0b8b27438e9e7d2a72dfccd2; same original ELF, full-K-cache C=2; Cube MAC util=59.21%; M256完整计算。源码快照：/Users/blacktraker/Programming/gitproj/DV4/SuperNPUBench/outputs/lowp_fullcache_C23_tK_sweep_20261019/source/matmul_lowp_reuseA.hpp；入口快照：/Users/blacktraker/Programming/gitproj/DV4/SuperNPUBench/outputs/lowp_fullcache_C23_tK_sweep_20261019/source/matmul_lowp.cpp；SwimLane：/Users/blacktraker/Programming/gitproj/DV4/SuperNPUBench/outputs/lowp_asl_config_compare_20261019/traces/M256_K4096_N1280/kernel_HIF4_reuseA_M256_K4096_N1280_tM128_tN128_tK512_C2.swimlane.json；PipeView：/Users/blacktraker/Programming/gitproj/DV4/SuperNPUBench/outputs/lowp_asl_config_compare_20261019/traces/M256_K4096_N1280/kernel_HIF4_reuseA_M256_K4096_N1280_tM128_tN128_tK512_C2.pipeview.log.out</x:v>
      </x:c>
      <x:c r="AA128" s="1177" t="str">
        <x:v>cd /Users/blacktraker/Programming/gitproj/DV4/SuperScalarModel-asl &amp;&amp; ./bin/gfsim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bfu.bhc_nostd=40 -s softcore.multiThreadNum=4 -s core.sharetreg_size_bytes=262144 -s core.sharetreg_ssb_count=64 -s bctrl.tile_size_class_enable=false -f /Users/blacktraker/Programming/gitproj/DV4/SuperNPUBench/outputs/lowp_fullcache_C23_tK_sweep_20261019/HIF4_M256_K4096_N1280_tM128_tN128_tK512_local_C2/build/kernel/matmul/elf/kernel_matmul_matmul_lowp_HIF4_B1_M256_N1280_K4096_tM128_tN128_tK512_reuseA_taillocal.elf</x:v>
      </x:c>
      <x:c r="AB128" s="1173" t="str">
        <x:v>reuseA fullK; tM/tN/tK=128/128/512; C=2; local
ASL bdbafed55613; SoC BW=156, latency=260</x:v>
      </x:c>
      <x:c r="AC128" s="1178" t="str">
        <x:v>否</x:v>
      </x:c>
      <x:c r="AD128" s="1265" t="str">
        <x:v>https://github.com/PTO-ISA/SuperNPUBench/blob/a96a6ec94723ce4d78ae8cb6938e6b65d6b7ac48/eval/perf_data/source_snapshots/20261019/matmul_lowp_reuseA.hpp#L77</x:v>
      </x:c>
    </x:row>
    <x:row r="129" ht="31.5" customHeight="1">
      <x:c r="A129" s="977" t="str">
        <x:v>matmul (ubm)</x:v>
      </x:c>
      <x:c r="B129" s="977" t="str">
        <x:v>FP16</x:v>
      </x:c>
      <x:c r="C129" s="984" t="n">
        <x:v>288</x:v>
      </x:c>
      <x:c r="D129" s="984" t="n">
        <x:v>256</x:v>
      </x:c>
      <x:c r="E129" s="984" t="n">
        <x:v>7392</x:v>
      </x:c>
      <x:c r="F129" s="977" t="str">
        <x:v>[288,7392,256]</x:v>
      </x:c>
      <x:c r="G129" s="977" t="str">
        <x:v>B-major</x:v>
      </x:c>
      <x:c r="H129" s="977" t="str">
        <x:v>reuseB
mtail_cellA</x:v>
      </x:c>
      <x:c r="I129" s="1284" t="n">
        <x:v>128</x:v>
      </x:c>
      <x:c r="J129" s="1284" t="n">
        <x:v>128</x:v>
      </x:c>
      <x:c r="K129" s="1284" t="n">
        <x:v>128</x:v>
      </x:c>
      <x:c r="L129" s="1005" t="n">
        <x:v>8</x:v>
      </x:c>
      <x:c r="M129" s="1005" t="n">
        <x:v>32</x:v>
      </x:c>
      <x:c r="N129" s="1005" t="n">
        <x:v>32</x:v>
      </x:c>
      <x:c r="O129" s="984" t="n">
        <x:v>150461</x:v>
      </x:c>
      <x:c r="P129" s="1006" t="n">
        <x:f>IF(O129="","",O129/('Markdown完整列表'!$B$4*1000))</x:f>
        <x:v>94.038125</x:v>
      </x:c>
      <x:c r="Q129" s="984" t="n">
        <x:v>4096</x:v>
      </x:c>
      <x:c r="R129" s="984" t="n">
        <x:f>C129*D129*E129/Q129</x:f>
        <x:v>133056</x:v>
      </x:c>
      <x:c r="S129" s="1285" t="n">
        <x:f>IF(O129="","",R129/O129)</x:f>
        <x:v>0.8843221831570972</x:v>
      </x:c>
      <x:c r="T129" s="1005"/>
      <x:c r="U129" s="1005"/>
      <x:c r="V129" s="1007"/>
      <x:c r="W129" s="1283" t="str">
        <x:v>PASS</x:v>
      </x:c>
      <x:c r="X129" s="944" t="str">
        <x:v>/Users/blacktraker/Programming/gitproj/DV4/SuperNPUBench/outputs/reuseB_cellA_validtail_restore_20261019/tn128/timing/kernel/matmul/elf/kernel_matmul_matmul_reuseB_B1_M288_N256_K7392_tM128_tN128_tK128_DType__half.elf</x:v>
      </x:c>
      <x:c r="Y129" s="944" t="str">
        <x:v>/Users/blacktraker/Programming/gitproj/DV4/SuperNPUBench/outputs/reuseB_cellA_validtail_restore_20261019/tn128/asl.log</x:v>
      </x:c>
      <x:c r="Z129" s="944" t="str">
        <x:v>2026-10-19 源码重新实现并编译，非旧ELF复测。每轮B由M128+M128+M32共用，A均为CellReg；K尾块valid_col=64+32，M32按CUBE_M16有效分片写回。gfrun数值PASS，73728元素，max_abs=0，mismatches=0；check=/Users/blacktraker/Programming/gitproj/DV4/SuperNPUBench/outputs/reuseB_cellA_validtail_restore_20261019/tn128/golden.log；check ELF=/Users/blacktraker/Programming/gitproj/DV4/SuperNPUBench/outputs/reuseB_cellA_validtail_restore_20261019/tn128/check/kernel/matmul/elf/kernel_matmul_matmul_reuseB_B1_M288_N256_K7392_tM128_tN128_tK128_DType__half.elf；timing PASS。shared=32KiB，CellReg含32KiB余量=92KiB/PE。compiler=e6a31efb4cfb17f1f1c33265cbf6dbb61bbba156；model=bdbafed55613955d0b8b27438e9e7d2a72dfccd2；ELF SHA256=75bb6c4ec3b88b12ac1a96309d81e78fb60b00d42060487f44c452393222ac6c；源码快照=/Users/blacktraker/Programming/gitproj/DV4/SuperNPUBench/outputs/reuseB_cellA_validtail_restore_20261019/source/matmul_reuseB_mtail_cellA.hpp。新源码尚未推送，不能以旧main通用reuseB链接冒充本次实现。</x:v>
      </x:c>
      <x:c r="AA129" s="1034" t="str">
        <x:v>make -B -C /Users/blacktraker/Programming/gitproj/DV4/SuperNPUBench/benchmark/one-level-arch/test/kernel/matmul TESTCASE=matmul_reuseB DTYPE=__half M=288 K=7392 N=256 tM=128 tN=128 tK=128 res_check=off COMPILER_DIR=/Users/blacktraker/Programming/gitproj/DV4/linx-toolchain-build/output/linx_blockisa_llvm_musl/bin OBJ_ROOT=/Users/blacktraker/Programming/gitproj/DV4/SuperNPUBench/outputs/reuseB_cellA_validtail_restore_20261019/tn128/timing
cd /Users/blacktraker/Programming/gitproj/DV4/SuperScalarModel-asl &amp;&amp; ./bin/gfsim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bfu.bhc_nostd=40 -s softcore.multiThreadNum=4 -s core.sharetreg_size_bytes=262144 -s core.sharetreg_ssb_count=64 -s bctrl.tile_size_class_enable=false -f /Users/blacktraker/Programming/gitproj/DV4/SuperNPUBench/outputs/reuseB_cellA_validtail_restore_20261019/tn128/timing/kernel/matmul/elf/kernel_matmul_matmul_reuseB_B1_M288_N256_K7392_tM128_tN128_tK128_DType__half.elf</x:v>
      </x:c>
      <x:c r="AB129" s="944" t="str">
        <x:v>reuseB cellA; tM/tN/tK=128/128/128
M尾块32共用B; K尾块64+32; ASL BW156/lat260</x:v>
      </x:c>
      <x:c r="AC129" s="692" t="str">
        <x:v>是</x:v>
      </x:c>
      <x:c r="AD129" s="1282" t="str">
        <x:v>本次实现（本地，尚未推送）：/Users/blacktraker/Programming/gitproj/DV4/SuperNPUBench/benchmark/one-level-arch/kernels/basic_op/matmul/matmul_reuseB_mtail_cellA.hpp:11</x:v>
      </x:c>
    </x:row>
    <x:row r="130" ht="31.5" customHeight="1">
      <x:c r="A130" s="977" t="str">
        <x:v>matmul (ubm)</x:v>
      </x:c>
      <x:c r="B130" s="977" t="str">
        <x:v>FP16</x:v>
      </x:c>
      <x:c r="C130" s="984" t="n">
        <x:v>288</x:v>
      </x:c>
      <x:c r="D130" s="984" t="n">
        <x:v>256</x:v>
      </x:c>
      <x:c r="E130" s="984" t="n">
        <x:v>7392</x:v>
      </x:c>
      <x:c r="F130" s="977" t="str">
        <x:v>[288,7392,256]</x:v>
      </x:c>
      <x:c r="G130" s="977" t="str">
        <x:v>B-major</x:v>
      </x:c>
      <x:c r="H130" s="977" t="str">
        <x:v>reuseB
mtail_cellA</x:v>
      </x:c>
      <x:c r="I130" s="1286" t="n">
        <x:v>128</x:v>
      </x:c>
      <x:c r="J130" s="1286" t="n">
        <x:v>128</x:v>
      </x:c>
      <x:c r="K130" s="1286" t="n">
        <x:v>128</x:v>
      </x:c>
      <x:c r="L130" s="1005" t="n">
        <x:v>8</x:v>
      </x:c>
      <x:c r="M130" s="1005" t="n">
        <x:v>32</x:v>
      </x:c>
      <x:c r="N130" s="1005" t="n">
        <x:v>32</x:v>
      </x:c>
      <x:c r="O130" s="984" t="n">
        <x:v>151845</x:v>
      </x:c>
      <x:c r="P130" s="1006" t="n">
        <x:f>IF(O130="","",O130/('Markdown完整列表'!$B$4*1000))</x:f>
        <x:v>94.903125</x:v>
      </x:c>
      <x:c r="Q130" s="984" t="n">
        <x:v>4096</x:v>
      </x:c>
      <x:c r="R130" s="984" t="n">
        <x:f>C130*D130*E130/Q130</x:f>
        <x:v>133056</x:v>
      </x:c>
      <x:c r="S130" s="1287" t="n">
        <x:f>IF(O130="","",R130/O130)</x:f>
        <x:v>0.8762619776746023</x:v>
      </x:c>
      <x:c r="T130" s="1005"/>
      <x:c r="U130" s="1005"/>
      <x:c r="V130" s="1007"/>
      <x:c r="W130" s="1283" t="str">
        <x:v>PASS</x:v>
      </x:c>
      <x:c r="X130" s="944" t="str">
        <x:v>/Users/blacktraker/Programming/gitproj/DV4/SuperNPUBench/outputs/reuseB_cellA_validtail_restore_20261019/tn128/timing/kernel/matmul/elf/kernel_matmul_matmul_reuseB_B1_M288_N256_K7392_tM128_tN128_tK128_DType__half.elf</x:v>
      </x:c>
      <x:c r="Y130" s="944" t="str">
        <x:v>/Users/blacktraker/Programming/gitproj/DV4/SuperNPUBench/outputs/reuseB_cellA_validtail_restore_20261019/tn128/main.log</x:v>
      </x:c>
      <x:c r="Z130" s="944" t="str">
        <x:v>2026-10-19 源码重新实现并编译，非旧ELF复测。每轮B由M128+M128+M32共用，A均为CellReg；K尾块valid_col=64+32，M32按CUBE_M16有效分片写回。gfrun数值PASS，73728元素，max_abs=0，mismatches=0；check=/Users/blacktraker/Programming/gitproj/DV4/SuperNPUBench/outputs/reuseB_cellA_validtail_restore_20261019/tn128/golden.log；check ELF=/Users/blacktraker/Programming/gitproj/DV4/SuperNPUBench/outputs/reuseB_cellA_validtail_restore_20261019/tn128/check/kernel/matmul/elf/kernel_matmul_matmul_reuseB_B1_M288_N256_K7392_tM128_tN128_tK128_DType__half.elf；timing PASS。shared=32KiB，CellReg含32KiB余量=92KiB/PE。compiler=e6a31efb4cfb17f1f1c33265cbf6dbb61bbba156；model=c668a6388907f503e80954fdfd4d013395d8775d；ELF SHA256=75bb6c4ec3b88b12ac1a96309d81e78fb60b00d42060487f44c452393222ac6c；源码快照=/Users/blacktraker/Programming/gitproj/DV4/SuperNPUBench/outputs/reuseB_cellA_validtail_restore_20261019/source/matmul_reuseB_mtail_cellA.hpp。新源码尚未推送，不能以旧main通用reuseB链接冒充本次实现。</x:v>
      </x:c>
      <x:c r="AA130" s="1034" t="str">
        <x:v>make -B -C /Users/blacktraker/Programming/gitproj/DV4/SuperNPUBench/benchmark/one-level-arch/test/kernel/matmul TESTCASE=matmul_reuseB DTYPE=__half M=288 K=7392 N=256 tM=128 tN=128 tK=128 res_check=off COMPILER_DIR=/Users/blacktraker/Programming/gitproj/DV4/linx-toolchain-build/output/linx_blockisa_llvm_musl/bin OBJ_ROOT=/Users/blacktraker/Programming/gitproj/DV4/SuperNPUBench/outputs/reuseB_cellA_validtail_restore_20261019/tn128/timing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/Users/blacktraker/Programming/gitproj/DV4/SuperNPUBench/outputs/reuseB_cellA_validtail_restore_20261019/tn128/timing/kernel/matmul/elf/kernel_matmul_matmul_reuseB_B1_M288_N256_K7392_tM128_tN128_tK128_DType__half.elf</x:v>
      </x:c>
      <x:c r="AB130" s="944" t="str">
        <x:v>reuseB cellA; tM/tN/tK=128/128/128
M尾块32共用B; K尾块64+32; main BW113/lat330</x:v>
      </x:c>
      <x:c r="AC130" s="692" t="str">
        <x:v>否</x:v>
      </x:c>
      <x:c r="AD130" s="1282" t="str">
        <x:v>本次实现（本地，尚未推送）：/Users/blacktraker/Programming/gitproj/DV4/SuperNPUBench/benchmark/one-level-arch/kernels/basic_op/matmul/matmul_reuseB_mtail_cellA.hpp:11</x:v>
      </x:c>
    </x:row>
    <x:row r="131" ht="31.5" customHeight="1">
      <x:c r="A131" s="977" t="str">
        <x:v>matmul (ubm)</x:v>
      </x:c>
      <x:c r="B131" s="977" t="str">
        <x:v>FP16</x:v>
      </x:c>
      <x:c r="C131" s="984" t="n">
        <x:v>288</x:v>
      </x:c>
      <x:c r="D131" s="984" t="n">
        <x:v>256</x:v>
      </x:c>
      <x:c r="E131" s="984" t="n">
        <x:v>7392</x:v>
      </x:c>
      <x:c r="F131" s="977" t="str">
        <x:v>[288,7392,256]</x:v>
      </x:c>
      <x:c r="G131" s="977" t="str">
        <x:v>B-major</x:v>
      </x:c>
      <x:c r="H131" s="977" t="str">
        <x:v>reuseB
mtail_cellA</x:v>
      </x:c>
      <x:c r="I131" s="1286" t="n">
        <x:v>128</x:v>
      </x:c>
      <x:c r="J131" s="1286" t="n">
        <x:v>256</x:v>
      </x:c>
      <x:c r="K131" s="1286" t="n">
        <x:v>128</x:v>
      </x:c>
      <x:c r="L131" s="1005" t="n">
        <x:v>8</x:v>
      </x:c>
      <x:c r="M131" s="1005" t="n">
        <x:v>64</x:v>
      </x:c>
      <x:c r="N131" s="1005" t="n">
        <x:v>64</x:v>
      </x:c>
      <x:c r="O131" s="984"/>
      <x:c r="P131" s="1006" t="str">
        <x:f>IF(O131="","",O131/('Markdown完整列表'!$B$4*1000))</x:f>
      </x:c>
      <x:c r="Q131" s="984" t="n">
        <x:v>4096</x:v>
      </x:c>
      <x:c r="R131" s="984" t="n">
        <x:f>C131*D131*E131/Q131</x:f>
        <x:v>133056</x:v>
      </x:c>
      <x:c r="S131" s="1287" t="str">
        <x:f>IF(O131="","",R131/O131)</x:f>
      </x:c>
      <x:c r="T131" s="1005"/>
      <x:c r="U131" s="1005"/>
      <x:c r="V131" s="1007"/>
      <x:c r="W131" s="1288" t="str">
        <x:v>ASSERT_FAIL</x:v>
      </x:c>
      <x:c r="X131" s="944" t="str">
        <x:v>/Users/blacktraker/Programming/gitproj/DV4/SuperNPUBench/outputs/reuseB_cellA_validtail_restore_20261019/tn256/timing/kernel/matmul/elf/kernel_matmul_matmul_reuseB_B1_M288_N256_K7392_tM128_tN256_tK128_DType__half.elf</x:v>
      </x:c>
      <x:c r="Y131" s="944" t="str">
        <x:v>/Users/blacktraker/Programming/gitproj/DV4/SuperNPUBench/outputs/reuseB_cellA_validtail_restore_20261019/tn256/asl.log</x:v>
      </x:c>
      <x:c r="Z131" s="944" t="str">
        <x:v>2026-10-19 源码重新实现并编译，非旧ELF复测。每轮B由M128+M128+M32共用，A均为CellReg；K尾块valid_col=64+32，M32按CUBE_M16有效分片写回。gfrun数值PASS，73728元素，max_abs=0，mismatches=0；check=/Users/blacktraker/Programming/gitproj/DV4/SuperNPUBench/outputs/reuseB_cellA_validtail_restore_20261019/tn256/golden.log；check ELF=/Users/blacktraker/Programming/gitproj/DV4/SuperNPUBench/outputs/reuseB_cellA_validtail_restore_20261019/tn256/check/kernel/matmul/elf/kernel_matmul_matmul_reuseB_B1_M288_N256_K7392_tM128_tN256_tK128_DType__half.elf；timing ASSERT_FAIL: Tile register is not enough for the simulator（rename空间）。shared=64KiB，CellReg含32KiB余量=132KiB/PE。compiler=e6a31efb4cfb17f1f1c33265cbf6dbb61bbba156；model=bdbafed55613955d0b8b27438e9e7d2a72dfccd2；ELF SHA256=81b0e880af5b7db8d2570aebd2f310d15b7b86ab10efa51ee105dd9bc4286a09；源码快照=/Users/blacktraker/Programming/gitproj/DV4/SuperNPUBench/outputs/reuseB_cellA_validtail_restore_20261019/source/matmul_reuseB_mtail_cellA.hpp。新源码尚未推送，不能以旧main通用reuseB链接冒充本次实现。</x:v>
      </x:c>
      <x:c r="AA131" s="1034" t="str">
        <x:v>make -B -C /Users/blacktraker/Programming/gitproj/DV4/SuperNPUBench/benchmark/one-level-arch/test/kernel/matmul TESTCASE=matmul_reuseB DTYPE=__half M=288 K=7392 N=256 tM=128 tN=256 tK=128 res_check=off COMPILER_DIR=/Users/blacktraker/Programming/gitproj/DV4/linx-toolchain-build/output/linx_blockisa_llvm_musl/bin OBJ_ROOT=/Users/blacktraker/Programming/gitproj/DV4/SuperNPUBench/outputs/reuseB_cellA_validtail_restore_20261019/tn256/timing
cd /Users/blacktraker/Programming/gitproj/DV4/SuperScalarModel-asl &amp;&amp; ./bin/gfsim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bfu.bhc_nostd=40 -s softcore.multiThreadNum=4 -s core.sharetreg_size_bytes=262144 -s core.sharetreg_ssb_count=64 -s bctrl.tile_size_class_enable=false -f /Users/blacktraker/Programming/gitproj/DV4/SuperNPUBench/outputs/reuseB_cellA_validtail_restore_20261019/tn256/timing/kernel/matmul/elf/kernel_matmul_matmul_reuseB_B1_M288_N256_K7392_tM128_tN256_tK128_DType__half.elf</x:v>
      </x:c>
      <x:c r="AB131" s="944" t="str">
        <x:v>reuseB cellA; tM/tN/tK=128/256/128
M尾块32共用B; K尾块64+32; ASL BW156/lat260</x:v>
      </x:c>
      <x:c r="AC131" s="692" t="str">
        <x:v>否</x:v>
      </x:c>
      <x:c r="AD131" s="1282" t="str">
        <x:v>本次实现（本地，尚未推送）：/Users/blacktraker/Programming/gitproj/DV4/SuperNPUBench/benchmark/one-level-arch/kernels/basic_op/matmul/matmul_reuseB_mtail_cellA.hpp:11</x:v>
      </x:c>
    </x:row>
    <x:row r="132" ht="31.5" customHeight="1">
      <x:c r="A132" s="977" t="str">
        <x:v>matmul (ubm)</x:v>
      </x:c>
      <x:c r="B132" s="977" t="str">
        <x:v>FP16</x:v>
      </x:c>
      <x:c r="C132" s="984" t="n">
        <x:v>288</x:v>
      </x:c>
      <x:c r="D132" s="984" t="n">
        <x:v>256</x:v>
      </x:c>
      <x:c r="E132" s="984" t="n">
        <x:v>7392</x:v>
      </x:c>
      <x:c r="F132" s="977" t="str">
        <x:v>[288,7392,256]</x:v>
      </x:c>
      <x:c r="G132" s="977" t="str">
        <x:v>B-major</x:v>
      </x:c>
      <x:c r="H132" s="977" t="str">
        <x:v>reuseB
mtail_cellA</x:v>
      </x:c>
      <x:c r="I132" s="1286" t="n">
        <x:v>128</x:v>
      </x:c>
      <x:c r="J132" s="1286" t="n">
        <x:v>256</x:v>
      </x:c>
      <x:c r="K132" s="1286" t="n">
        <x:v>128</x:v>
      </x:c>
      <x:c r="L132" s="1005" t="n">
        <x:v>8</x:v>
      </x:c>
      <x:c r="M132" s="1005" t="n">
        <x:v>64</x:v>
      </x:c>
      <x:c r="N132" s="1005" t="n">
        <x:v>64</x:v>
      </x:c>
      <x:c r="O132" s="984"/>
      <x:c r="P132" s="1006" t="str">
        <x:f>IF(O132="","",O132/('Markdown完整列表'!$B$4*1000))</x:f>
      </x:c>
      <x:c r="Q132" s="984" t="n">
        <x:v>4096</x:v>
      </x:c>
      <x:c r="R132" s="984" t="n">
        <x:f>C132*D132*E132/Q132</x:f>
        <x:v>133056</x:v>
      </x:c>
      <x:c r="S132" s="1287" t="str">
        <x:f>IF(O132="","",R132/O132)</x:f>
      </x:c>
      <x:c r="T132" s="1005"/>
      <x:c r="U132" s="1005"/>
      <x:c r="V132" s="1007"/>
      <x:c r="W132" s="1288" t="str">
        <x:v>ASSERT_FAIL</x:v>
      </x:c>
      <x:c r="X132" s="944" t="str">
        <x:v>/Users/blacktraker/Programming/gitproj/DV4/SuperNPUBench/outputs/reuseB_cellA_validtail_restore_20261019/tn256/timing/kernel/matmul/elf/kernel_matmul_matmul_reuseB_B1_M288_N256_K7392_tM128_tN256_tK128_DType__half.elf</x:v>
      </x:c>
      <x:c r="Y132" s="944" t="str">
        <x:v>/Users/blacktraker/Programming/gitproj/DV4/SuperNPUBench/outputs/reuseB_cellA_validtail_restore_20261019/tn256/main.log</x:v>
      </x:c>
      <x:c r="Z132" s="944" t="str">
        <x:v>2026-10-19 源码重新实现并编译，非旧ELF复测。每轮B由M128+M128+M32共用，A均为CellReg；K尾块valid_col=64+32，M32按CUBE_M16有效分片写回。gfrun数值PASS，73728元素，max_abs=0，mismatches=0；check=/Users/blacktraker/Programming/gitproj/DV4/SuperNPUBench/outputs/reuseB_cellA_validtail_restore_20261019/tn256/golden.log；check ELF=/Users/blacktraker/Programming/gitproj/DV4/SuperNPUBench/outputs/reuseB_cellA_validtail_restore_20261019/tn256/check/kernel/matmul/elf/kernel_matmul_matmul_reuseB_B1_M288_N256_K7392_tM128_tN256_tK128_DType__half.elf；timing ASSERT_FAIL: Tile register is not enough for the simulator（rename空间）。shared=64KiB，CellReg含32KiB余量=132KiB/PE。compiler=e6a31efb4cfb17f1f1c33265cbf6dbb61bbba156；model=c668a6388907f503e80954fdfd4d013395d8775d；ELF SHA256=81b0e880af5b7db8d2570aebd2f310d15b7b86ab10efa51ee105dd9bc4286a09；源码快照=/Users/blacktraker/Programming/gitproj/DV4/SuperNPUBench/outputs/reuseB_cellA_validtail_restore_20261019/source/matmul_reuseB_mtail_cellA.hpp。新源码尚未推送，不能以旧main通用reuseB链接冒充本次实现。</x:v>
      </x:c>
      <x:c r="AA132" s="1034" t="str">
        <x:v>make -B -C /Users/blacktraker/Programming/gitproj/DV4/SuperNPUBench/benchmark/one-level-arch/test/kernel/matmul TESTCASE=matmul_reuseB DTYPE=__half M=288 K=7392 N=256 tM=128 tN=256 tK=128 res_check=off COMPILER_DIR=/Users/blacktraker/Programming/gitproj/DV4/linx-toolchain-build/output/linx_blockisa_llvm_musl/bin OBJ_ROOT=/Users/blacktraker/Programming/gitproj/DV4/SuperNPUBench/outputs/reuseB_cellA_validtail_restore_20261019/tn256/timing
cd /Users/blacktraker/Programming/gitproj/DV4/SuperScalarModel-main &amp;&amp; ./bin/gfsim -s softcore.multiThreadNum=4 -s cube.enable_internal_acc=true -s bctrl.vec_cell_sched_enable=true -s core.soc_random=true -s core.soc_bw_limit=113 -s core.soc_lat_mean=330 -s core.sharetreg_size_bytes=262144 -s core.sharetreg_ssb_count=64 -s bctrl.tile_size_class_enable=false -f /Users/blacktraker/Programming/gitproj/DV4/SuperNPUBench/outputs/reuseB_cellA_validtail_restore_20261019/tn256/timing/kernel/matmul/elf/kernel_matmul_matmul_reuseB_B1_M288_N256_K7392_tM128_tN256_tK128_DType__half.elf</x:v>
      </x:c>
      <x:c r="AB132" s="944" t="str">
        <x:v>reuseB cellA; tM/tN/tK=128/256/128
M尾块32共用B; K尾块64+32; main BW113/lat330</x:v>
      </x:c>
      <x:c r="AC132" s="692" t="str">
        <x:v>否</x:v>
      </x:c>
      <x:c r="AD132" s="1282" t="str">
        <x:v>本次实现（本地，尚未推送）：/Users/blacktraker/Programming/gitproj/DV4/SuperNPUBench/benchmark/one-level-arch/kernels/basic_op/matmul/matmul_reuseB_mtail_cellA.hpp:11</x:v>
      </x:c>
    </x:row>
    <x:row r="133" ht="48" customHeight="1">
      <x:c r="A133" s="1162" t="str">
        <x:v>matmul (ubm)</x:v>
      </x:c>
      <x:c r="B133" s="1162" t="str">
        <x:v>HIF4</x:v>
      </x:c>
      <x:c r="C133" s="1163" t="n">
        <x:v>48</x:v>
      </x:c>
      <x:c r="D133" s="1163" t="n">
        <x:v>96</x:v>
      </x:c>
      <x:c r="E133" s="1163" t="n">
        <x:v>7168</x:v>
      </x:c>
      <x:c r="F133" s="1162" t="str">
        <x:v>[48,7168,96]</x:v>
      </x:c>
      <x:c r="G133" s="1162" t="str">
        <x:v>B-major</x:v>
      </x:c>
      <x:c r="H133" s="1164" t="str">
        <x:v>reuseA fullK
C=3</x:v>
      </x:c>
      <x:c r="I133" s="1012" t="n">
        <x:v>128</x:v>
      </x:c>
      <x:c r="J133" s="1012" t="n">
        <x:v>32</x:v>
      </x:c>
      <x:c r="K133" s="1012" t="n">
        <x:v>2048</x:v>
      </x:c>
      <x:c r="L133" s="1165" t="n">
        <x:v>24</x:v>
      </x:c>
      <x:c r="M133" s="1165" t="n">
        <x:v>40</x:v>
      </x:c>
      <x:c r="N133" s="1165" t="n">
        <x:v>40</x:v>
      </x:c>
      <x:c r="O133" s="1163" t="n">
        <x:v>4784</x:v>
      </x:c>
      <x:c r="P133" s="1166" t="n">
        <x:v>2.99</x:v>
      </x:c>
      <x:c r="Q133" s="1163" t="n">
        <x:v>32768</x:v>
      </x:c>
      <x:c r="R133" s="1163" t="n">
        <x:v>1008</x:v>
      </x:c>
      <x:c r="S133" s="1437" t="n">
        <x:v>0.21070234113712374</x:v>
      </x:c>
      <x:c r="T133" s="1165"/>
      <x:c r="U133" s="1165"/>
      <x:c r="V133" s="1167"/>
      <x:c r="W133" s="1168" t="str">
        <x:v>PASS / ASL stash / Group cycles</x:v>
      </x:c>
      <x:c r="X133" s="1164" t="str">
        <x:v>https://github.com/PTO-ISA/SuperNPUBench/blob/main/eval/perf_data/SuperNPUBench_3operators_elf_diss_swimlane_pipeview_20261019/matmul_HIF4_M48_K7168_N96_reuseA_fullK_C3_tM128_tN32_tK2048/matmul_HIF4_M48_K7168_N96_reuseA_fullK_C3_tM128_tN32_tK2048.elf</x:v>
      </x:c>
      <x:c r="Y133" s="1164" t="str">
        <x:v>https://github.com/PTO-ISA/SuperNPUBench/blob/main/eval/perf_data/SuperNPUBench_3operators_elf_diss_swimlane_pipeview_20261019/matmul_HIF4_M48_K7168_N96_reuseA_fullK_C3_tM128_tN32_tK2048/matmul_HIF4_M48_K7168_N96_reuseA_fullK_C3_tM128_tN32_tK2048.gfsim.log</x:v>
      </x:c>
      <x:c r="Z133" s="1164" t="str">
        <x:v>2026-10-22 当前源码重编，gfrun PASS；timing/trace 同一命令。性能口径使用 Group Total Cycles=4784（全程序 Total Cycles=5234），有效 MFU=1008/4784=21.0702%。
配置：HIF4 M/K/N=48/7168/96，tM/tN/tK=128/32/2048，C=3，local A tail，SharedTReg 256B/cycle，SoC BW156/lat260。
模型状态：SuperScalarModel-asl base=bdbafed55613955d0b8b27438e9e7d2a72dfccd2 + 保存的 5 文件调度状态 ad8490782；本次重建 gfsim SHA256=b423fef9a5ff6419360e304027da2fc58d430499c27515803a150b963217e6c1。
ELF SHA256=8e3c2f5f286ac499f690418114a44f3fedbe074ef6c2722299b819d1dc71d137。
SwimLane=https://github.com/PTO-ISA/SuperNPUBench/blob/main/eval/perf_data/SuperNPUBench_3operators_elf_diss_swimlane_pipeview_20261019/matmul_HIF4_M48_K7168_N96_reuseA_fullK_C3_tM128_tN32_tK2048/matmul_HIF4_M48_K7168_N96_reuseA_fullK_C3_tM128_tN32_tK2048.swimlane.json
PipeView=https://github.com/PTO-ISA/SuperNPUBench/blob/main/eval/perf_data/SuperNPUBench_3operators_elf_diss_swimlane_pipeview_20261019/matmul_HIF4_M48_K7168_N96_reuseA_fullK_C3_tM128_tN32_tK2048/matmul_HIF4_M48_K7168_N96_reuseA_fullK_C3_tM128_tN32_tK2048.pipeview.log.out
DISS=https://github.com/PTO-ISA/SuperNPUBench/blob/main/eval/perf_data/SuperNPUBench_3operators_elf_diss_swimlane_pipeview_20261019/matmul_HIF4_M48_K7168_N96_reuseA_fullK_C3_tM128_tN32_tK2048/matmul_HIF4_M48_K7168_N96_reuseA_fullK_C3_tM128_tN32_tK2048.diss</x:v>
      </x:c>
      <x:c r="AA133" s="1169" t="str">
        <x:v>cd /Users/blacktraker/Programming/gitproj/DV4/SuperScalarModel-asl &amp;&amp; ./bin/gfsim \
  -s softcore.multiThreadNum=4 \
  -s dfx.swimCounterSampleInterval=256 \
  -s bctrl.vec_cell_sched_enable=false \
  -s bctrl.vecIssueQDepth=64 \
  -s bctrl.bctrl_bandwidth=8 \
  -s spe.speROBDepth=128 \
  -s cube.l0aSharetregResident=true \
  -s cube.l0aResidentTagNum=8 \
  -s core.sharetreg_bandwidth_bytes=256 \
  -s cube.enable_internal_acc=true \
  -s spe.macroDescriptorFusion=true \
  -s core.soc_random=true \
  -s core.soc_bw_limit=156 \
  -s core.soc_lat_mean=260 \
  -s core.soc_lat_random_seed=1 \
  -s bfu.hwpf_nl_degree=32 \
  -s bfu.hwpf_max_pending_req=32 \
  -s bfu.bhc_pf_nostd=32 \
  -s bfu.bhc_nostd=40 \
  -s core.sharetreg_size_bytes=262144 \
  -s core.sharetreg_ssb_count=64 \
  -s cube.uop_isq_entry_size=64 \
  --conf /Users/blacktraker/Programming/gitproj/DV4/SuperScalarModel-asl/configs/fourpe.conf \
  -f /Users/blacktraker/Programming/gitproj/DV4/SuperNPUBench/eval/perf_data/SuperNPUBench_3operators_elf_diss_swimlane_pipeview_20261019/matmul_HIF4_M48_K7168_N96_reuseA_fullK_C3_tM128_tN32_tK2048/matmul_HIF4_M48_K7168_N96_reuseA_fullK_C3_tM128_tN32_tK2048.elf</x:v>
      </x:c>
      <x:c r="AB133" s="1164" t="str">
        <x:v>reuseA fullK; tM/tN/tK=128/32/2048; C=3; local
ASL bdbafed+ad8490782; SoC156/lat260; SharedTReg256B/cycle; Group Total Cycles</x:v>
      </x:c>
      <x:c r="AC133" s="1170" t="str">
        <x:v>是</x:v>
      </x:c>
      <x:c r="AD133" s="1264" t="str">
        <x:v>https://github.com/PTO-ISA/SuperNPUBench/blob/main/benchmark/one-level-arch/kernels/basic_op/matmul/matmul_lowp_reuseA.hpp#L20</x:v>
      </x:c>
    </x:row>
    <x:row r="134" ht="48" customHeight="1">
      <x:c r="A134" s="1171" t="str">
        <x:v>matmul (ubm)</x:v>
      </x:c>
      <x:c r="B134" s="1171" t="str">
        <x:v>HIF4</x:v>
      </x:c>
      <x:c r="C134" s="1172" t="n">
        <x:v>256</x:v>
      </x:c>
      <x:c r="D134" s="1172" t="n">
        <x:v>1280</x:v>
      </x:c>
      <x:c r="E134" s="1172" t="n">
        <x:v>4096</x:v>
      </x:c>
      <x:c r="F134" s="1171" t="str">
        <x:v>[256,4096,1280]</x:v>
      </x:c>
      <x:c r="G134" s="1171" t="str">
        <x:v>B-major</x:v>
      </x:c>
      <x:c r="H134" s="1173" t="str">
        <x:v>reuseA fullK
C=2</x:v>
      </x:c>
      <x:c r="I134" s="1016" t="n">
        <x:v>128</x:v>
      </x:c>
      <x:c r="J134" s="1016" t="n">
        <x:v>128</x:v>
      </x:c>
      <x:c r="K134" s="1016" t="n">
        <x:v>512</x:v>
      </x:c>
      <x:c r="L134" s="1174" t="n">
        <x:v>12</x:v>
      </x:c>
      <x:c r="M134" s="1174" t="n">
        <x:v>48</x:v>
      </x:c>
      <x:c r="N134" s="1174" t="n">
        <x:v>48</x:v>
      </x:c>
      <x:c r="O134" s="1172" t="n">
        <x:v>46593</x:v>
      </x:c>
      <x:c r="P134" s="1175" t="n">
        <x:v>29.120625</x:v>
      </x:c>
      <x:c r="Q134" s="1172" t="n">
        <x:v>32768</x:v>
      </x:c>
      <x:c r="R134" s="1172" t="n">
        <x:v>40960</x:v>
      </x:c>
      <x:c r="S134" s="1437" t="n">
        <x:v>0.8791020110317</x:v>
      </x:c>
      <x:c r="T134" s="1174"/>
      <x:c r="U134" s="1174"/>
      <x:c r="V134" s="1176"/>
      <x:c r="W134" s="1121" t="str">
        <x:v>PASS / ASL stash / Group cycles</x:v>
      </x:c>
      <x:c r="X134" s="1173" t="str">
        <x:v>https://github.com/PTO-ISA/SuperNPUBench/blob/main/eval/perf_data/SuperNPUBench_3operators_elf_diss_swimlane_pipeview_20261019/matmul_HIF4_M256_K4096_N1280_reuseA_fullK_C2_tM128_tN128_tK512/matmul_HIF4_M256_K4096_N1280_reuseA_fullK_C2_tM128_tN128_tK512.elf</x:v>
      </x:c>
      <x:c r="Y134" s="1173" t="str">
        <x:v>https://github.com/PTO-ISA/SuperNPUBench/blob/main/eval/perf_data/SuperNPUBench_3operators_elf_diss_swimlane_pipeview_20261019/matmul_HIF4_M256_K4096_N1280_reuseA_fullK_C2_tM128_tN128_tK512/matmul_HIF4_M256_K4096_N1280_reuseA_fullK_C2_tM128_tN128_tK512.gfsim.log</x:v>
      </x:c>
      <x:c r="Z134" s="1173" t="str">
        <x:v>2026-10-22 当前源码重编，gfrun PASS；timing/trace 同一命令。性能口径使用 Group Total Cycles=46593（全程序 Total Cycles=47054），有效 MFU=40960/46593=87.9102%。
配置：HIF4 M/K/N=256/4096/1280，tM/tN/tK=128/128/512，C=2，local，SharedTReg 256B/cycle，SoC BW156/lat260。
模型状态：SuperScalarModel-asl base=bdbafed55613955d0b8b27438e9e7d2a72dfccd2 + 保存的 5 文件调度状态 ad8490782；本次重建 gfsim SHA256=b423fef9a5ff6419360e304027da2fc58d430499c27515803a150b963217e6c1。
ELF SHA256=f378223bb3808eac2866529f8ed92b81572135b34b41895a36e6b00a54150fa1。
SwimLane=https://github.com/PTO-ISA/SuperNPUBench/blob/main/eval/perf_data/SuperNPUBench_3operators_elf_diss_swimlane_pipeview_20261019/matmul_HIF4_M256_K4096_N1280_reuseA_fullK_C2_tM128_tN128_tK512/matmul_HIF4_M256_K4096_N1280_reuseA_fullK_C2_tM128_tN128_tK512.swimlane.json
PipeView=https://github.com/PTO-ISA/SuperNPUBench/blob/main/eval/perf_data/SuperNPUBench_3operators_elf_diss_swimlane_pipeview_20261019/matmul_HIF4_M256_K4096_N1280_reuseA_fullK_C2_tM128_tN128_tK512/matmul_HIF4_M256_K4096_N1280_reuseA_fullK_C2_tM128_tN128_tK512.pipeview.log.out
DISS=https://github.com/PTO-ISA/SuperNPUBench/blob/main/eval/perf_data/SuperNPUBench_3operators_elf_diss_swimlane_pipeview_20261019/matmul_HIF4_M256_K4096_N1280_reuseA_fullK_C2_tM128_tN128_tK512/matmul_HIF4_M256_K4096_N1280_reuseA_fullK_C2_tM128_tN128_tK512.diss</x:v>
      </x:c>
      <x:c r="AA134" s="1177" t="str">
        <x:v>cd /Users/blacktraker/Programming/gitproj/DV4/SuperScalarModel-asl &amp;&amp; ./bin/gfsim \
  -s softcore.multiThreadNum=4 \
  -s dfx.swimCounterSampleInterval=256 \
  -s bctrl.vec_cell_sched_enable=false \
  -s bctrl.vecIssueQDepth=64 \
  -s bctrl.bctrl_bandwidth=8 \
  -s spe.speROBDepth=128 \
  -s cube.l0aSharetregResident=true \
  -s cube.l0aResidentTagNum=8 \
  -s core.sharetreg_bandwidth_bytes=256 \
  -s cube.enable_internal_acc=true \
  -s spe.macroDescriptorFusion=true \
  -s core.soc_random=true \
  -s core.soc_bw_limit=156 \
  -s core.soc_lat_mean=260 \
  -s core.soc_lat_random_seed=1 \
  -s bfu.hwpf_nl_degree=32 \
  -s bfu.hwpf_max_pending_req=32 \
  -s bfu.bhc_pf_nostd=32 \
  -s bfu.bhc_nostd=40 \
  -s core.sharetreg_size_bytes=262144 \
  -s core.sharetreg_ssb_count=64 \
  -s cube.uop_isq_entry_size=64 \
  --conf /Users/blacktraker/Programming/gitproj/DV4/SuperScalarModel-asl/configs/fourpe.conf \
  -f /Users/blacktraker/Programming/gitproj/DV4/SuperNPUBench/eval/perf_data/SuperNPUBench_3operators_elf_diss_swimlane_pipeview_20261019/matmul_HIF4_M256_K4096_N1280_reuseA_fullK_C2_tM128_tN128_tK512/matmul_HIF4_M256_K4096_N1280_reuseA_fullK_C2_tM128_tN128_tK512.elf</x:v>
      </x:c>
      <x:c r="AB134" s="1173" t="str">
        <x:v>reuseA fullK; tM/tN/tK=128/128/512; C=2; local
ASL bdbafed+ad8490782; SoC156/lat260; SharedTReg256B/cycle; Group Total Cycles</x:v>
      </x:c>
      <x:c r="AC134" s="1178" t="str">
        <x:v>是</x:v>
      </x:c>
      <x:c r="AD134" s="1265" t="str">
        <x:v>https://github.com/PTO-ISA/SuperNPUBench/blob/main/benchmark/one-level-arch/kernels/basic_op/matmul/matmul_lowp_reuseA_full_cache.hpp#L43</x:v>
      </x:c>
    </x:row>
  </x:sheetData>
  <x:mergeCells>
    <x:mergeCell ref="A6:G6"/>
    <x:mergeCell ref="H6:N6"/>
    <x:mergeCell ref="O6:V6"/>
    <x:mergeCell ref="W6:AC6"/>
    <x:mergeCell ref="AA8:AA60"/>
    <x:mergeCell ref="AA61:AA82"/>
    <x:mergeCell ref="AA83:AA104"/>
    <x:mergeCell ref="AA106:AA107"/>
  </x:mergeCells>
  <x:hyperlinks>
    <x:hyperlink xmlns:r="http://schemas.openxmlformats.org/officeDocument/2006/relationships" ref="AD8" r:id="Rb0b6bd8ef7624478"/>
    <x:hyperlink xmlns:r="http://schemas.openxmlformats.org/officeDocument/2006/relationships" ref="AD9" r:id="R1bf7f0374b394228"/>
    <x:hyperlink xmlns:r="http://schemas.openxmlformats.org/officeDocument/2006/relationships" ref="AD10" r:id="R795dda06887d40d1"/>
    <x:hyperlink xmlns:r="http://schemas.openxmlformats.org/officeDocument/2006/relationships" ref="AD11" r:id="Rdb552a64558d4cde"/>
    <x:hyperlink xmlns:r="http://schemas.openxmlformats.org/officeDocument/2006/relationships" ref="AD12" r:id="R695f7b6cd92142ed"/>
    <x:hyperlink xmlns:r="http://schemas.openxmlformats.org/officeDocument/2006/relationships" ref="AD13" r:id="R4248e15c339341d6"/>
    <x:hyperlink xmlns:r="http://schemas.openxmlformats.org/officeDocument/2006/relationships" ref="AD14" r:id="Rb706a72e888448e6"/>
    <x:hyperlink xmlns:r="http://schemas.openxmlformats.org/officeDocument/2006/relationships" ref="AD15" r:id="R815240619cd54ebc"/>
    <x:hyperlink xmlns:r="http://schemas.openxmlformats.org/officeDocument/2006/relationships" ref="AD16" r:id="Raa089e06d15549d2"/>
    <x:hyperlink xmlns:r="http://schemas.openxmlformats.org/officeDocument/2006/relationships" ref="AD17" r:id="Rcb93f1a207584de2"/>
    <x:hyperlink xmlns:r="http://schemas.openxmlformats.org/officeDocument/2006/relationships" ref="AD18" r:id="R7dfc3fd14a0c4d1b"/>
    <x:hyperlink xmlns:r="http://schemas.openxmlformats.org/officeDocument/2006/relationships" ref="AD19" r:id="R4cc5665d7c0f481c"/>
    <x:hyperlink xmlns:r="http://schemas.openxmlformats.org/officeDocument/2006/relationships" ref="AD20" r:id="R664c9457f0a540e0"/>
    <x:hyperlink xmlns:r="http://schemas.openxmlformats.org/officeDocument/2006/relationships" ref="AD21" r:id="Rb821d1c348a74895"/>
    <x:hyperlink xmlns:r="http://schemas.openxmlformats.org/officeDocument/2006/relationships" ref="AD22" r:id="R0e5e148187594052"/>
    <x:hyperlink xmlns:r="http://schemas.openxmlformats.org/officeDocument/2006/relationships" ref="AD23" r:id="R860953d4048f4c11"/>
    <x:hyperlink xmlns:r="http://schemas.openxmlformats.org/officeDocument/2006/relationships" ref="AD24" r:id="R4b314bb1023e41ca"/>
    <x:hyperlink xmlns:r="http://schemas.openxmlformats.org/officeDocument/2006/relationships" ref="AD25" r:id="R5fb0d7b1faf745d8"/>
    <x:hyperlink xmlns:r="http://schemas.openxmlformats.org/officeDocument/2006/relationships" ref="AD26" r:id="R04fdd1f554c94126"/>
    <x:hyperlink xmlns:r="http://schemas.openxmlformats.org/officeDocument/2006/relationships" ref="AD27" r:id="R887c1cf1a22d4da8"/>
    <x:hyperlink xmlns:r="http://schemas.openxmlformats.org/officeDocument/2006/relationships" ref="AD28" r:id="R7565ec45cfb740af"/>
    <x:hyperlink xmlns:r="http://schemas.openxmlformats.org/officeDocument/2006/relationships" ref="AD29" r:id="R50acac60b22b4562"/>
    <x:hyperlink xmlns:r="http://schemas.openxmlformats.org/officeDocument/2006/relationships" ref="AD30" r:id="R372e09a492c34922"/>
    <x:hyperlink xmlns:r="http://schemas.openxmlformats.org/officeDocument/2006/relationships" ref="AD31" r:id="R13227166e1524fbe"/>
    <x:hyperlink xmlns:r="http://schemas.openxmlformats.org/officeDocument/2006/relationships" ref="AD32" r:id="R248496879a9b4869"/>
    <x:hyperlink xmlns:r="http://schemas.openxmlformats.org/officeDocument/2006/relationships" ref="AD33" r:id="Rb2b0a38b9a9147f6"/>
    <x:hyperlink xmlns:r="http://schemas.openxmlformats.org/officeDocument/2006/relationships" ref="AD34" r:id="R9c0797aa8e4848b1"/>
    <x:hyperlink xmlns:r="http://schemas.openxmlformats.org/officeDocument/2006/relationships" ref="AD35" r:id="R4e4b3ea7c8d241d3"/>
    <x:hyperlink xmlns:r="http://schemas.openxmlformats.org/officeDocument/2006/relationships" ref="AD36" r:id="Rb60da97fd65a4f32"/>
    <x:hyperlink xmlns:r="http://schemas.openxmlformats.org/officeDocument/2006/relationships" ref="AD37" r:id="R40fe60fa9c3d4994"/>
    <x:hyperlink xmlns:r="http://schemas.openxmlformats.org/officeDocument/2006/relationships" ref="AD38" r:id="R879dc5eb58894798"/>
    <x:hyperlink xmlns:r="http://schemas.openxmlformats.org/officeDocument/2006/relationships" ref="AD39" r:id="R5367a2bfce2e4d14"/>
    <x:hyperlink xmlns:r="http://schemas.openxmlformats.org/officeDocument/2006/relationships" ref="AD40" r:id="R52e26440a5cc4375"/>
    <x:hyperlink xmlns:r="http://schemas.openxmlformats.org/officeDocument/2006/relationships" ref="AD41" r:id="R2d976bc37ac44a14"/>
    <x:hyperlink xmlns:r="http://schemas.openxmlformats.org/officeDocument/2006/relationships" ref="AD42" r:id="Rc8ac8b74e8c64074"/>
    <x:hyperlink xmlns:r="http://schemas.openxmlformats.org/officeDocument/2006/relationships" ref="AD43" r:id="Rddf78dc94c6e4c33"/>
    <x:hyperlink xmlns:r="http://schemas.openxmlformats.org/officeDocument/2006/relationships" ref="AD44" r:id="R265cbe53d1924444"/>
    <x:hyperlink xmlns:r="http://schemas.openxmlformats.org/officeDocument/2006/relationships" ref="AD45" r:id="R0f7f39b7309f41ce"/>
    <x:hyperlink xmlns:r="http://schemas.openxmlformats.org/officeDocument/2006/relationships" ref="AD46" r:id="R9db425a2cd874d91"/>
    <x:hyperlink xmlns:r="http://schemas.openxmlformats.org/officeDocument/2006/relationships" ref="AD47" r:id="Rb0dce5fdce014bbd"/>
    <x:hyperlink xmlns:r="http://schemas.openxmlformats.org/officeDocument/2006/relationships" ref="AD48" r:id="R9faf7477f5fc4cc5"/>
    <x:hyperlink xmlns:r="http://schemas.openxmlformats.org/officeDocument/2006/relationships" ref="AD49" r:id="Rdf56003e7cd24055"/>
    <x:hyperlink xmlns:r="http://schemas.openxmlformats.org/officeDocument/2006/relationships" ref="AD50" r:id="R7d9071d351124491"/>
    <x:hyperlink xmlns:r="http://schemas.openxmlformats.org/officeDocument/2006/relationships" ref="AD51" r:id="R5b50561c6e7f417c"/>
    <x:hyperlink xmlns:r="http://schemas.openxmlformats.org/officeDocument/2006/relationships" ref="AD52" r:id="R214539bcacbb4ffe"/>
    <x:hyperlink xmlns:r="http://schemas.openxmlformats.org/officeDocument/2006/relationships" ref="AD53" r:id="R5bffda62d768427b"/>
    <x:hyperlink xmlns:r="http://schemas.openxmlformats.org/officeDocument/2006/relationships" ref="AD54" r:id="R1b118a9b8b1b47d5"/>
    <x:hyperlink xmlns:r="http://schemas.openxmlformats.org/officeDocument/2006/relationships" ref="AD55" r:id="R7324ebb987b24442"/>
    <x:hyperlink xmlns:r="http://schemas.openxmlformats.org/officeDocument/2006/relationships" ref="AD56" r:id="R4c40342ea27043f9"/>
    <x:hyperlink xmlns:r="http://schemas.openxmlformats.org/officeDocument/2006/relationships" ref="AD57" r:id="R14319d78aab649e4"/>
    <x:hyperlink xmlns:r="http://schemas.openxmlformats.org/officeDocument/2006/relationships" ref="AD58" r:id="Rf1d93f66c10b4f83"/>
    <x:hyperlink xmlns:r="http://schemas.openxmlformats.org/officeDocument/2006/relationships" ref="AD59" r:id="R3d7167df1e5d4657"/>
    <x:hyperlink xmlns:r="http://schemas.openxmlformats.org/officeDocument/2006/relationships" ref="AD60" r:id="R40baf70e6d91430d"/>
    <x:hyperlink xmlns:r="http://schemas.openxmlformats.org/officeDocument/2006/relationships" ref="AD61" r:id="R1930b4ef08754a29"/>
    <x:hyperlink xmlns:r="http://schemas.openxmlformats.org/officeDocument/2006/relationships" ref="AD62" r:id="R49b69e50762b4e8b"/>
    <x:hyperlink xmlns:r="http://schemas.openxmlformats.org/officeDocument/2006/relationships" ref="AD63" r:id="R0f9441d7d5bb4ccd"/>
    <x:hyperlink xmlns:r="http://schemas.openxmlformats.org/officeDocument/2006/relationships" ref="AD64" r:id="Ra848627b1abc42d8"/>
    <x:hyperlink xmlns:r="http://schemas.openxmlformats.org/officeDocument/2006/relationships" ref="AD65" r:id="R87be6fa55e2c44bb"/>
    <x:hyperlink xmlns:r="http://schemas.openxmlformats.org/officeDocument/2006/relationships" ref="AD66" r:id="R062594633c7b45cc"/>
    <x:hyperlink xmlns:r="http://schemas.openxmlformats.org/officeDocument/2006/relationships" ref="AD67" r:id="R5d2e4fcab7a94acc"/>
    <x:hyperlink xmlns:r="http://schemas.openxmlformats.org/officeDocument/2006/relationships" ref="AD68" r:id="Ra7cc6a1a98134d8a"/>
    <x:hyperlink xmlns:r="http://schemas.openxmlformats.org/officeDocument/2006/relationships" ref="AD69" r:id="Rd4a9435965f2488a"/>
    <x:hyperlink xmlns:r="http://schemas.openxmlformats.org/officeDocument/2006/relationships" ref="AD70" r:id="R05882b4825cc4577"/>
    <x:hyperlink xmlns:r="http://schemas.openxmlformats.org/officeDocument/2006/relationships" ref="AD71" r:id="R99cc51c7e07d41e6"/>
    <x:hyperlink xmlns:r="http://schemas.openxmlformats.org/officeDocument/2006/relationships" ref="AD72" r:id="Rcbf02fac684449a5"/>
    <x:hyperlink xmlns:r="http://schemas.openxmlformats.org/officeDocument/2006/relationships" ref="AD73" r:id="Rd68e9bbf129d41af"/>
    <x:hyperlink xmlns:r="http://schemas.openxmlformats.org/officeDocument/2006/relationships" ref="AD74" r:id="R6a49dafc511b4d21"/>
    <x:hyperlink xmlns:r="http://schemas.openxmlformats.org/officeDocument/2006/relationships" ref="AD75" r:id="Rfcd0f4d0714a4d1d"/>
    <x:hyperlink xmlns:r="http://schemas.openxmlformats.org/officeDocument/2006/relationships" ref="AD76" r:id="R79d9ca4030434e9f"/>
    <x:hyperlink xmlns:r="http://schemas.openxmlformats.org/officeDocument/2006/relationships" ref="AD77" r:id="Rdfaf5de47f664474"/>
    <x:hyperlink xmlns:r="http://schemas.openxmlformats.org/officeDocument/2006/relationships" ref="AD78" r:id="R90ff30325d7742c2"/>
    <x:hyperlink xmlns:r="http://schemas.openxmlformats.org/officeDocument/2006/relationships" ref="AD79" r:id="R944d6ecb32ad4209"/>
    <x:hyperlink xmlns:r="http://schemas.openxmlformats.org/officeDocument/2006/relationships" ref="AD80" r:id="R7818e005d8384101"/>
    <x:hyperlink xmlns:r="http://schemas.openxmlformats.org/officeDocument/2006/relationships" ref="AD81" r:id="R06376c01102849f6"/>
    <x:hyperlink xmlns:r="http://schemas.openxmlformats.org/officeDocument/2006/relationships" ref="AD82" r:id="R6aff807c7ec4414e"/>
    <x:hyperlink xmlns:r="http://schemas.openxmlformats.org/officeDocument/2006/relationships" ref="AD83" r:id="R504f30690b364703"/>
    <x:hyperlink xmlns:r="http://schemas.openxmlformats.org/officeDocument/2006/relationships" ref="AD84" r:id="R4e32ebaa78954733"/>
    <x:hyperlink xmlns:r="http://schemas.openxmlformats.org/officeDocument/2006/relationships" ref="AD85" r:id="Rfd1718e5900c40ea"/>
    <x:hyperlink xmlns:r="http://schemas.openxmlformats.org/officeDocument/2006/relationships" ref="AD86" r:id="R42dfe3c6fb3c4956"/>
    <x:hyperlink xmlns:r="http://schemas.openxmlformats.org/officeDocument/2006/relationships" ref="AD87" r:id="Rc2a8fc09fb984e3b"/>
    <x:hyperlink xmlns:r="http://schemas.openxmlformats.org/officeDocument/2006/relationships" ref="AD88" r:id="Rcc30757cad3b4a18"/>
    <x:hyperlink xmlns:r="http://schemas.openxmlformats.org/officeDocument/2006/relationships" ref="AD89" r:id="R1ea9483618884e5d"/>
    <x:hyperlink xmlns:r="http://schemas.openxmlformats.org/officeDocument/2006/relationships" ref="AD90" r:id="R4ce57cdb9c5a49f5"/>
    <x:hyperlink xmlns:r="http://schemas.openxmlformats.org/officeDocument/2006/relationships" ref="AD91" r:id="R653372e564f14b89"/>
    <x:hyperlink xmlns:r="http://schemas.openxmlformats.org/officeDocument/2006/relationships" ref="AD92" r:id="Rfec490b87e124cd7"/>
    <x:hyperlink xmlns:r="http://schemas.openxmlformats.org/officeDocument/2006/relationships" ref="AD93" r:id="Reb5c03bd35be402c"/>
    <x:hyperlink xmlns:r="http://schemas.openxmlformats.org/officeDocument/2006/relationships" ref="AD94" r:id="Rcfb559bd58494e29"/>
    <x:hyperlink xmlns:r="http://schemas.openxmlformats.org/officeDocument/2006/relationships" ref="AD95" r:id="R4e4e51986e934b49"/>
    <x:hyperlink xmlns:r="http://schemas.openxmlformats.org/officeDocument/2006/relationships" ref="AD96" r:id="R91414a76e58d46c0"/>
    <x:hyperlink xmlns:r="http://schemas.openxmlformats.org/officeDocument/2006/relationships" ref="AD97" r:id="R1aad2bfd03fb4bc6"/>
    <x:hyperlink xmlns:r="http://schemas.openxmlformats.org/officeDocument/2006/relationships" ref="AD98" r:id="R6b29f2244547414b"/>
    <x:hyperlink xmlns:r="http://schemas.openxmlformats.org/officeDocument/2006/relationships" ref="AD99" r:id="R78099d57e0eb48bc"/>
    <x:hyperlink xmlns:r="http://schemas.openxmlformats.org/officeDocument/2006/relationships" ref="AD100" r:id="R15cd4e0fb1e44a07"/>
    <x:hyperlink xmlns:r="http://schemas.openxmlformats.org/officeDocument/2006/relationships" ref="AD101" r:id="Rb2ea188a6bb24861"/>
    <x:hyperlink xmlns:r="http://schemas.openxmlformats.org/officeDocument/2006/relationships" ref="AD102" r:id="R5a95a6667b314eb6"/>
    <x:hyperlink xmlns:r="http://schemas.openxmlformats.org/officeDocument/2006/relationships" ref="AD103" r:id="Re2798a614630449c"/>
    <x:hyperlink xmlns:r="http://schemas.openxmlformats.org/officeDocument/2006/relationships" ref="AD104" r:id="Rc7ae9f0c37df469a"/>
    <x:hyperlink xmlns:r="http://schemas.openxmlformats.org/officeDocument/2006/relationships" ref="AD105" r:id="R47f799cdecc54c02"/>
    <x:hyperlink xmlns:r="http://schemas.openxmlformats.org/officeDocument/2006/relationships" ref="AD106" r:id="R2f17c6c0551f42b5"/>
    <x:hyperlink xmlns:r="http://schemas.openxmlformats.org/officeDocument/2006/relationships" ref="AD107" r:id="R1d0663fe3d224861"/>
    <x:hyperlink xmlns:r="http://schemas.openxmlformats.org/officeDocument/2006/relationships" ref="AD111" r:id="Rfcec35c52cd043dd"/>
    <x:hyperlink xmlns:r="http://schemas.openxmlformats.org/officeDocument/2006/relationships" ref="AD112" r:id="Rd0ac24f893b6436b"/>
    <x:hyperlink xmlns:r="http://schemas.openxmlformats.org/officeDocument/2006/relationships" ref="AD119" r:id="Rf04e45849936412e"/>
    <x:hyperlink xmlns:r="http://schemas.openxmlformats.org/officeDocument/2006/relationships" ref="AD120" r:id="R0254aadb704d4487"/>
    <x:hyperlink xmlns:r="http://schemas.openxmlformats.org/officeDocument/2006/relationships" ref="AD121" r:id="Rf0ac146957c0414d"/>
    <x:hyperlink xmlns:r="http://schemas.openxmlformats.org/officeDocument/2006/relationships" ref="AD122" r:id="R82fd04477f9a498e"/>
    <x:hyperlink xmlns:r="http://schemas.openxmlformats.org/officeDocument/2006/relationships" ref="AD123" r:id="R22ec8e27701144ae"/>
    <x:hyperlink xmlns:r="http://schemas.openxmlformats.org/officeDocument/2006/relationships" ref="AD124" r:id="R4af5d48da1304b7d"/>
    <x:hyperlink xmlns:r="http://schemas.openxmlformats.org/officeDocument/2006/relationships" ref="AD125" r:id="R96b26b5dd6d34f8a"/>
    <x:hyperlink xmlns:r="http://schemas.openxmlformats.org/officeDocument/2006/relationships" ref="AD126" r:id="Rc2bfc422f05241c7"/>
    <x:hyperlink xmlns:r="http://schemas.openxmlformats.org/officeDocument/2006/relationships" ref="AD127" r:id="Rc60324401d214c93"/>
    <x:hyperlink xmlns:r="http://schemas.openxmlformats.org/officeDocument/2006/relationships" ref="AD128" r:id="R6c60691002cc41c2"/>
    <x:hyperlink xmlns:r="http://schemas.openxmlformats.org/officeDocument/2006/relationships" ref="AD133" r:id="R5468fd4e22344190"/>
    <x:hyperlink xmlns:r="http://schemas.openxmlformats.org/officeDocument/2006/relationships" ref="AD134" r:id="R202c6ac5d9c1461e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5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55" hidden="0" customWidth="1"/>
    <x:col min="20" max="20" width="55" hidden="0" customWidth="1"/>
    <x:col min="21" max="21" width="180" hidden="0" customWidth="1"/>
    <x:col min="22" max="22" width="55" hidden="0" customWidth="1"/>
    <x:col min="23" max="23" width="55" hidden="0" customWidth="1"/>
    <x:col min="24" max="24" width="55" hidden="0" customWidth="1"/>
  </x:cols>
  <x:sheetData>
    <x:row r="2">
      <x:c r="A2" s="1" t="str">
        <x:v>FA 原始性能数据：历史、ASL 与 Tile 配置</x:v>
      </x:c>
    </x:row>
    <x:row r="4">
      <x:c r="A4" t="str">
        <x:v>Sq=128/256 分开记录，不按周期跨 Sq 择优。AlgoD 为 MXFP4，未单独验证 HIF4；零输入且未 RES_CHECK，完成结果仍有 wakeup 告警。MFU=理论 Cube cycles/cycles，非 MAX(Cube,Vector)/cycles。</x:v>
      </x:c>
    </x:row>
    <x:row r="7" ht="32" customHeight="1">
      <x:c r="A7" s="1185" t="str">
        <x:v>category</x:v>
      </x:c>
      <x:c r="B7" s="1185" t="str">
        <x:v>cube quant</x:v>
      </x:c>
      <x:c r="C7" s="1185" t="str">
        <x:v>vector quant</x:v>
      </x:c>
      <x:c r="D7" s="1185" t="str">
        <x:v>HeadDim</x:v>
      </x:c>
      <x:c r="E7" s="1185" t="str">
        <x:v>shape</x:v>
      </x:c>
      <x:c r="F7" s="1185" t="str">
        <x:v>排布</x:v>
      </x:c>
      <x:c r="G7" s="1185" t="str">
        <x:v>Sq</x:v>
      </x:c>
      <x:c r="H7" s="1185" t="str">
        <x:v>Skv</x:v>
      </x:c>
      <x:c r="I7" s="1185" t="str">
        <x:v>实现 / Tile</x:v>
      </x:c>
      <x:c r="J7" s="1185" t="str">
        <x:v>cycles</x:v>
      </x:c>
      <x:c r="K7" s="1185" t="str">
        <x:v>time (us)</x:v>
      </x:c>
      <x:c r="L7" s="1185" t="str">
        <x:v>Peak MAC/cycle</x:v>
      </x:c>
      <x:c r="M7" s="1185" t="str">
        <x:v>理论 cycles（Cube）</x:v>
      </x:c>
      <x:c r="N7" s="1185" t="str">
        <x:v>理论 cycles（Vector）</x:v>
      </x:c>
      <x:c r="O7" s="1185" t="str">
        <x:v>MFU（Cube）</x:v>
      </x:c>
      <x:c r="P7" s="1185" t="str">
        <x:v>DV200 time (us)</x:v>
      </x:c>
      <x:c r="Q7" s="1185" t="str">
        <x:v>time / DV200</x:v>
      </x:c>
      <x:c r="R7" s="1185" t="str">
        <x:v>状态</x:v>
      </x:c>
      <x:c r="S7" s="1185" t="str">
        <x:v>复现命令</x:v>
      </x:c>
      <x:c r="T7" s="1185" t="str">
        <x:v>证据 / 说明</x:v>
      </x:c>
      <x:c r="U7" s="1185" t="str">
        <x:v>函数体 GitHub（main 优先）</x:v>
      </x:c>
      <x:c r="V7" s="1185" t="str">
        <x:v>来源文件</x:v>
      </x:c>
      <x:c r="W7" s="1185" t="str">
        <x:v>来源行</x:v>
      </x:c>
      <x:c r="X7" s="1185" t="str">
        <x:v>主表入选</x:v>
      </x:c>
    </x:row>
    <x:row r="8" ht="48" customHeight="1">
      <x:c r="A8" s="1193" t="str">
        <x:v>FA</x:v>
      </x:c>
      <x:c r="B8" s="1193" t="str">
        <x:v>mxfp4/hif4一阶</x:v>
      </x:c>
      <x:c r="C8" s="1193" t="str">
        <x:v>bf16</x:v>
      </x:c>
      <x:c r="D8" s="1193" t="n">
        <x:v>256</x:v>
      </x:c>
      <x:c r="E8" s="1193" t="str">
        <x:v>[1,8,65536,256]</x:v>
      </x:c>
      <x:c r="F8" s="1193" t="str">
        <x:v>BNSD</x:v>
      </x:c>
      <x:c r="G8" s="1193" t="n">
        <x:v>128</x:v>
      </x:c>
      <x:c r="H8" s="1193" t="n">
        <x:v>65536</x:v>
      </x:c>
      <x:c r="I8" s="1194" t="str">
        <x:v>fa_lowp_algC_final; Tm=128; Tk=128</x:v>
      </x:c>
      <x:c r="J8" s="1195" t="n">
        <x:v>236216</x:v>
      </x:c>
      <x:c r="K8" s="1196" t="n">
        <x:f>J8/('Markdown完整列表'!$B$4*1000)</x:f>
        <x:v>147.635</x:v>
      </x:c>
      <x:c r="L8" s="1195" t="n">
        <x:v>32768</x:v>
      </x:c>
      <x:c r="M8" s="1195" t="n">
        <x:f>2*G8*H8*D8/L8</x:f>
        <x:v>131072</x:v>
      </x:c>
      <x:c r="N8" s="1195"/>
      <x:c r="O8" s="1197" t="n">
        <x:f>M8/J8</x:f>
        <x:v>0.5548819724320114</x:v>
      </x:c>
      <x:c r="P8" s="1196" t="n">
        <x:v>217.23</x:v>
      </x:c>
      <x:c r="Q8" s="1198" t="n">
        <x:v>0.6796252819592137</x:v>
      </x:c>
      <x:c r="R8" s="1193" t="str">
        <x:v>PASS</x:v>
      </x:c>
      <x:c r="S8" s="1193"/>
      <x:c r="T8" s="1193" t="str">
        <x:v>更新编译器/模型实测；MFU=55.49%；model=929fb91c；compiler=e6a31efb；kernel sha256=c9a422c5f876143bee739b7cc97b8ce5a9e391eb28d8753ce0e7b99afbf39f97；ELF=/Users/blacktraker/Programming/gitproj/DV4/SuperNPUBench/outputs/fp4_main_table_refresh_20261012/build/FA_MXFP4_D256/kernel/fa/elf/kernel_fa_fa_lowp_algC_final_Sq128_Skv65536_Tm128_Tk128_qD256_vD256_X1_Y1_CubeMXFP4_VectorBF16.elf；反汇编=/Users/blacktraker/Programming/gitproj/DV4/SuperNPUBench/outputs/fp4_main_table_refresh_20261012/build/FA_MXFP4_D256/kernel/fa/elf/kernel_fa_fa_lowp_algC_final_Sq128_Skv65536_Tm128_Tk128_qD256_vD256_X1_Y1_CubeMXFP4_VectorBF16.elf.diss；gfsim log=/Users/blacktraker/Programming/gitproj/DV4/SuperNPUBench/outputs/fp4_main_table_refresh_20261012/logs/FA_MXFP4_D256.gfsim.log</x:v>
      </x:c>
      <x:c r="U8" s="1271" t="str">
        <x:v>https://github.com/PTO-ISA/SuperNPUBench/blob/main/benchmark/one-level-arch/kernels/basic_op/fa/fa_lowp_algC_final.hpp#L29</x:v>
      </x:c>
      <x:c r="V8" s="1193" t="str">
        <x:v>/Users/blacktraker/Programming/gitproj/DV4/SuperNPUBench/eval/perf_data/operator_performance_full_list_20261019_matmul_fullKcache_C23_tK_sweep.xlsx</x:v>
      </x:c>
      <x:c r="W8" s="1193" t="n">
        <x:v>10</x:v>
      </x:c>
      <x:c r="X8" s="1193" t="str">
        <x:v>否</x:v>
      </x:c>
    </x:row>
    <x:row r="9" ht="48" customHeight="1">
      <x:c r="A9" s="1193" t="str">
        <x:v>FA</x:v>
      </x:c>
      <x:c r="B9" s="1193" t="str">
        <x:v>mxfp4/hif4一阶</x:v>
      </x:c>
      <x:c r="C9" s="1193" t="str">
        <x:v>bf16</x:v>
      </x:c>
      <x:c r="D9" s="1193" t="n">
        <x:v>192</x:v>
      </x:c>
      <x:c r="E9" s="1193" t="str">
        <x:v>[1,8,65536,128+64]</x:v>
      </x:c>
      <x:c r="F9" s="1193" t="str">
        <x:v>BNSD</x:v>
      </x:c>
      <x:c r="G9" s="1193" t="n">
        <x:v>128</x:v>
      </x:c>
      <x:c r="H9" s="1193" t="n">
        <x:v>65536</x:v>
      </x:c>
      <x:c r="I9" s="1194" t="str">
        <x:v>fa_lowp_algC_final; Tm=128; Tk=128</x:v>
      </x:c>
      <x:c r="J9" s="1195"/>
      <x:c r="K9" s="1196"/>
      <x:c r="L9" s="1195" t="n">
        <x:v>32768</x:v>
      </x:c>
      <x:c r="M9" s="1195"/>
      <x:c r="N9" s="1195"/>
      <x:c r="O9" s="1197"/>
      <x:c r="P9" s="1196" t="n">
        <x:v>133.76</x:v>
      </x:c>
      <x:c r="Q9" s="1198"/>
      <x:c r="R9" s="1193" t="str">
        <x:v>ASSERT_FAIL</x:v>
      </x:c>
      <x:c r="S9" s="1193"/>
      <x:c r="T9" s="1193" t="str">
        <x:v>更新编译器/模型后仍为 ASSERT_FAIL，无有效 cycles/MFU；model=929fb91c；compiler=e6a31efb；ELF=/Users/blacktraker/Programming/gitproj/DV4/SuperNPUBench/outputs/fp4_main_table_refresh_20261012/build/FA_MXFP4_D192/kernel/fa/elf/kernel_fa_fa_lowp_algC_final_Sq128_Skv65536_Tm128_Tk128_qD192_vD192_X1_Y1_CubeMXFP4_VectorBF16.elf；反汇编=/Users/blacktraker/Programming/gitproj/DV4/SuperNPUBench/outputs/fp4_main_table_refresh_20261012/build/FA_MXFP4_D192/kernel/fa/elf/kernel_fa_fa_lowp_algC_final_Sq128_Skv65536_Tm128_Tk128_qD192_vD192_X1_Y1_CubeMXFP4_VectorBF16.elf.diss；gfsim log=/Users/blacktraker/Programming/gitproj/DV4/SuperNPUBench/outputs/fp4_main_table_refresh_20261012/logs/FA_MXFP4_D192.gfsim.log</x:v>
      </x:c>
      <x:c r="U9" s="1271" t="str">
        <x:v>https://github.com/PTO-ISA/SuperNPUBench/blob/main/benchmark/one-level-arch/kernels/basic_op/fa/fa_lowp_algC_final.hpp#L29</x:v>
      </x:c>
      <x:c r="V9" s="1193" t="str">
        <x:v>/Users/blacktraker/Programming/gitproj/DV4/SuperNPUBench/eval/perf_data/operator_performance_full_list_20261019_matmul_fullKcache_C23_tK_sweep.xlsx</x:v>
      </x:c>
      <x:c r="W9" s="1193" t="n">
        <x:v>11</x:v>
      </x:c>
      <x:c r="X9" s="1193" t="str">
        <x:v>否</x:v>
      </x:c>
    </x:row>
    <x:row r="10" ht="48" customHeight="1">
      <x:c r="A10" s="1193" t="str">
        <x:v>FA</x:v>
      </x:c>
      <x:c r="B10" s="1193" t="str">
        <x:v>mxfp4/hif4一阶</x:v>
      </x:c>
      <x:c r="C10" s="1193" t="str">
        <x:v>bf16</x:v>
      </x:c>
      <x:c r="D10" s="1193" t="n">
        <x:v>128</x:v>
      </x:c>
      <x:c r="E10" s="1193" t="str">
        <x:v>[1,8,65536,128]</x:v>
      </x:c>
      <x:c r="F10" s="1193" t="str">
        <x:v>BNSD</x:v>
      </x:c>
      <x:c r="G10" s="1193" t="n">
        <x:v>128</x:v>
      </x:c>
      <x:c r="H10" s="1193" t="n">
        <x:v>65536</x:v>
      </x:c>
      <x:c r="I10" s="1194" t="str">
        <x:v>fa_lowp_algC_final; Tm=128; Tk=128</x:v>
      </x:c>
      <x:c r="J10" s="1195" t="n">
        <x:v>140869</x:v>
      </x:c>
      <x:c r="K10" s="1196" t="n">
        <x:f>J10/('Markdown完整列表'!$B$4*1000)</x:f>
        <x:v>88.043125</x:v>
      </x:c>
      <x:c r="L10" s="1195" t="n">
        <x:v>32768</x:v>
      </x:c>
      <x:c r="M10" s="1195" t="n">
        <x:f>2*G10*H10*D10/L10</x:f>
        <x:v>65536</x:v>
      </x:c>
      <x:c r="N10" s="1195"/>
      <x:c r="O10" s="1197" t="n">
        <x:f>M10/J10</x:f>
        <x:v>0.4652265580077945</x:v>
      </x:c>
      <x:c r="P10" s="1196" t="n">
        <x:v>123.79</x:v>
      </x:c>
      <x:c r="Q10" s="1198" t="n">
        <x:v>0.711229703530172</x:v>
      </x:c>
      <x:c r="R10" s="1193" t="str">
        <x:v>PASS</x:v>
      </x:c>
      <x:c r="S10" s="1193"/>
      <x:c r="T10" s="1193" t="str">
        <x:v>更新编译器/模型实测；MFU=46.52%；model=929fb91c；compiler=e6a31efb；kernel sha256=41eaff89bbf5ec6e5245b15d265e1c80632ce2102f53e090f988f64297801d2e；ELF=/Users/blacktraker/Programming/gitproj/DV4/SuperNPUBench/outputs/fp4_main_table_refresh_20261012/build/FA_MXFP4_D128/kernel/fa/elf/kernel_fa_fa_lowp_algC_final_Sq128_Skv65536_Tm128_Tk128_X1_Y1_CubeMXFP4_VectorBF16.elf；反汇编=/Users/blacktraker/Programming/gitproj/DV4/SuperNPUBench/outputs/fp4_main_table_refresh_20261012/build/FA_MXFP4_D128/kernel/fa/elf/kernel_fa_fa_lowp_algC_final_Sq128_Skv65536_Tm128_Tk128_X1_Y1_CubeMXFP4_VectorBF16.elf.diss；gfsim log=/Users/blacktraker/Programming/gitproj/DV4/SuperNPUBench/outputs/fp4_main_table_refresh_20261012/logs/FA_MXFP4_D128.gfsim.log</x:v>
      </x:c>
      <x:c r="U10" s="1271" t="str">
        <x:v>https://github.com/PTO-ISA/SuperNPUBench/blob/main/benchmark/one-level-arch/kernels/basic_op/fa/fa_lowp_algC_final.hpp#L29</x:v>
      </x:c>
      <x:c r="V10" s="1193" t="str">
        <x:v>/Users/blacktraker/Programming/gitproj/DV4/SuperNPUBench/eval/perf_data/operator_performance_full_list_20261019_matmul_fullKcache_C23_tK_sweep.xlsx</x:v>
      </x:c>
      <x:c r="W10" s="1193" t="n">
        <x:v>12</x:v>
      </x:c>
      <x:c r="X10" s="1193" t="str">
        <x:v>否</x:v>
      </x:c>
    </x:row>
    <x:row r="11" ht="48" customHeight="1">
      <x:c r="A11" s="1193" t="str">
        <x:v>FA</x:v>
      </x:c>
      <x:c r="B11" s="1193" t="str">
        <x:v>mxfp4/hif4一阶</x:v>
      </x:c>
      <x:c r="C11" s="1193" t="str">
        <x:v>bf16</x:v>
      </x:c>
      <x:c r="D11" s="1193" t="n">
        <x:v>64</x:v>
      </x:c>
      <x:c r="E11" s="1193" t="str">
        <x:v>[1,8,65536,64]</x:v>
      </x:c>
      <x:c r="F11" s="1193" t="str">
        <x:v>BNSD</x:v>
      </x:c>
      <x:c r="G11" s="1193" t="n">
        <x:v>128</x:v>
      </x:c>
      <x:c r="H11" s="1193" t="n">
        <x:v>65536</x:v>
      </x:c>
      <x:c r="I11" s="1194" t="str">
        <x:v>fa_lowp_algC_final; Tm=128; Tk=128</x:v>
      </x:c>
      <x:c r="J11" s="1195" t="n">
        <x:v>124191</x:v>
      </x:c>
      <x:c r="K11" s="1196" t="n">
        <x:f>J11/('Markdown完整列表'!$B$4*1000)</x:f>
        <x:v>77.619375</x:v>
      </x:c>
      <x:c r="L11" s="1195" t="n">
        <x:v>32768</x:v>
      </x:c>
      <x:c r="M11" s="1195" t="n">
        <x:f>2*G11*H11*D11/L11</x:f>
        <x:v>32768</x:v>
      </x:c>
      <x:c r="N11" s="1195"/>
      <x:c r="O11" s="1197" t="n">
        <x:f>M11/J11</x:f>
        <x:v>0.26385164786498216</x:v>
      </x:c>
      <x:c r="P11" s="1196" t="n">
        <x:v>114.52</x:v>
      </x:c>
      <x:c r="Q11" s="1198" t="n">
        <x:v>0.6777800820817326</x:v>
      </x:c>
      <x:c r="R11" s="1193" t="str">
        <x:v>PASS</x:v>
      </x:c>
      <x:c r="S11" s="1193"/>
      <x:c r="T11" s="1193" t="str">
        <x:v>更新编译器/模型实测；MFU=26.39%；model=929fb91c；compiler=e6a31efb；kernel sha256=830bc6a0469f18ff88f17388fdbd5e474d2fd67fd4d4e8a6e40a654c510e05ea；ELF=/Users/blacktraker/Programming/gitproj/DV4/SuperNPUBench/outputs/fp4_main_table_refresh_20261012/build/FA_MXFP4_D64/kernel/fa/elf/kernel_fa_fa_lowp_algC_final_Sq128_Skv65536_Tm128_Tk128_qD64_vD64_X1_Y1_CubeMXFP4_VectorBF16.elf；反汇编=/Users/blacktraker/Programming/gitproj/DV4/SuperNPUBench/outputs/fp4_main_table_refresh_20261012/build/FA_MXFP4_D64/kernel/fa/elf/kernel_fa_fa_lowp_algC_final_Sq128_Skv65536_Tm128_Tk128_qD64_vD64_X1_Y1_CubeMXFP4_VectorBF16.elf.diss；gfsim log=/Users/blacktraker/Programming/gitproj/DV4/SuperNPUBench/outputs/fp4_main_table_refresh_20261012/logs/FA_MXFP4_D64.gfsim.log</x:v>
      </x:c>
      <x:c r="U11" s="1271" t="str">
        <x:v>https://github.com/PTO-ISA/SuperNPUBench/blob/main/benchmark/one-level-arch/kernels/basic_op/fa/fa_lowp_algC_final.hpp#L29</x:v>
      </x:c>
      <x:c r="V11" s="1193" t="str">
        <x:v>/Users/blacktraker/Programming/gitproj/DV4/SuperNPUBench/eval/perf_data/operator_performance_full_list_20261019_matmul_fullKcache_C23_tK_sweep.xlsx</x:v>
      </x:c>
      <x:c r="W11" s="1193" t="n">
        <x:v>13</x:v>
      </x:c>
      <x:c r="X11" s="1193" t="str">
        <x:v>否</x:v>
      </x:c>
    </x:row>
    <x:row r="12" ht="48" customHeight="1">
      <x:c r="A12" s="1199" t="str">
        <x:v>FA</x:v>
      </x:c>
      <x:c r="B12" s="1199" t="str">
        <x:v>mxfp4/hif4一阶</x:v>
      </x:c>
      <x:c r="C12" s="1199" t="str">
        <x:v>bf16</x:v>
      </x:c>
      <x:c r="D12" s="1199" t="n">
        <x:v>256</x:v>
      </x:c>
      <x:c r="E12" s="1199" t="str">
        <x:v>[1,8,65536,256]</x:v>
      </x:c>
      <x:c r="F12" s="1199" t="str">
        <x:v>BNSD</x:v>
      </x:c>
      <x:c r="G12" s="1199" t="n">
        <x:v>256</x:v>
      </x:c>
      <x:c r="H12" s="1199" t="n">
        <x:v>65536</x:v>
      </x:c>
      <x:c r="I12" s="1200" t="str">
        <x:v>AlgoD double-Q; Tm=128; Tk=256; MXFP4/BF16</x:v>
      </x:c>
      <x:c r="J12" s="1201" t="n">
        <x:v>285589</x:v>
      </x:c>
      <x:c r="K12" s="1202" t="n">
        <x:f>J12/('Markdown完整列表'!$B$4*1000)</x:f>
        <x:v>178.493125</x:v>
      </x:c>
      <x:c r="L12" s="1201" t="n">
        <x:v>32768</x:v>
      </x:c>
      <x:c r="M12" s="1201" t="n">
        <x:f>2*G12*H12*D12/L12</x:f>
        <x:v>262144</x:v>
      </x:c>
      <x:c r="N12" s="1201" t="n">
        <x:v>138242</x:v>
      </x:c>
      <x:c r="O12" s="1203" t="n">
        <x:f>M12/J12</x:f>
        <x:v>0.9179065020011274</x:v>
      </x:c>
      <x:c r="P12" s="1202" t="n">
        <x:v>217.23</x:v>
      </x:c>
      <x:c r="Q12" s="1204" t="str">
        <x:v>n.a.</x:v>
      </x:c>
      <x:c r="R12" s="1199" t="str">
        <x:v>完成，有告警</x:v>
      </x:c>
      <x:c r="S12" s="1199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/Users/blacktraker/Programming/gitproj/DV4/SuperNPUBench/outputs/algoc_algod_doubleq_compare_20261019/algD_D256.elf</x:v>
      </x:c>
      <x:c r="T12" s="1199" t="str">
        <x:v>2026-10-19 AlgoD double-Q。实际MXFP4，未单独验证HIF4。零输入、未做RES_CHECK。wakeup error=26，周期仅供参考。MFU按Sq=256；dv200仍为历史Sq=128，时间比不适用。model=bdbafed55613+ASSEMBLE修复；compiler=e6a31efb4cfb。ELF SHA256=e2e39ffbb1f9bfcb9754c8798c89208598f476205e28d4278da05240c40bc65b。日志=/Users/blacktraker/Programming/gitproj/DV4/SuperNPUBench/outputs/algoc_algod_doubleq_compare_20261019/algD_D256.log。驱动=/Users/blacktraker/Programming/gitproj/DV4/SuperNPUBench/outputs/algoc_algod_doubleq_compare_20261019/compare.cpp</x:v>
      </x:c>
      <x:c r="U12" s="1269" t="str">
        <x:v>https://github.com/PTO-ISA/SuperNPUBench/blob/a96a6ec94723ce4d78ae8cb6938e6b65d6b7ac48/eval/perf_data/source_snapshots/20261019/fa_lowp_algD.hpp#L74</x:v>
      </x:c>
      <x:c r="V12" s="1199" t="str">
        <x:v>/Users/blacktraker/Programming/gitproj/DV4/SuperNPUBench/outputs/algoc_algod_doubleq_compare_20261019/operator_performance_FA_AlgoD_doubleQ_codepaths_20261019.xlsx</x:v>
      </x:c>
      <x:c r="W12" s="1199" t="n">
        <x:v>10</x:v>
      </x:c>
      <x:c r="X12" s="1199" t="str">
        <x:v>是</x:v>
      </x:c>
    </x:row>
    <x:row r="13" ht="48" customHeight="1">
      <x:c r="A13" s="1199" t="str">
        <x:v>FA</x:v>
      </x:c>
      <x:c r="B13" s="1199" t="str">
        <x:v>mxfp4/hif4一阶</x:v>
      </x:c>
      <x:c r="C13" s="1199" t="str">
        <x:v>bf16</x:v>
      </x:c>
      <x:c r="D13" s="1199" t="n">
        <x:v>192</x:v>
      </x:c>
      <x:c r="E13" s="1199" t="str">
        <x:v>[1,8,65536,128+64]</x:v>
      </x:c>
      <x:c r="F13" s="1199" t="str">
        <x:v>BNSD</x:v>
      </x:c>
      <x:c r="G13" s="1199" t="n">
        <x:v>256</x:v>
      </x:c>
      <x:c r="H13" s="1199" t="n">
        <x:v>65536</x:v>
      </x:c>
      <x:c r="I13" s="1200" t="str">
        <x:v>AlgoD double-Q; Tm=128; Tk=256; MXFP4/BF16</x:v>
      </x:c>
      <x:c r="J13" s="1201"/>
      <x:c r="K13" s="1202"/>
      <x:c r="L13" s="1201" t="n">
        <x:v>32768</x:v>
      </x:c>
      <x:c r="M13" s="1201"/>
      <x:c r="N13" s="1201"/>
      <x:c r="O13" s="1203"/>
      <x:c r="P13" s="1202" t="n">
        <x:v>133.76</x:v>
      </x:c>
      <x:c r="Q13" s="1204"/>
      <x:c r="R13" s="1199" t="str">
        <x:v>ASSERT_FAIL</x:v>
      </x:c>
      <x:c r="S13" s="1199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/Users/blacktraker/Programming/gitproj/DV4/SuperNPUBench/outputs/algoc_algod_doubleq_compare_20261019/algD_D192.elf</x:v>
      </x:c>
      <x:c r="T13" s="1199" t="str">
        <x:v>2026-10-19 AlgoD double-Q。实际MXFP4，未单独验证HIF4。零输入、未做RES_CHECK。无有效周期。ASSERTION FAILED: rowBits != 0u &amp;&amp; (static_cast&lt;uint64_t&gt;(capacity) * 8u) % rowBits == 0u。MFU按Sq=256；dv200仍为历史Sq=128，时间比不适用。model=bdbafed55613+ASSEMBLE修复；compiler=e6a31efb4cfb。ELF SHA256=ded77503f852a94fc338aab627869ae4eef44e1d6c4fd436e452ac67fae76e92。日志=/Users/blacktraker/Programming/gitproj/DV4/SuperNPUBench/outputs/algoc_algod_doubleq_compare_20261019/algD_D192.log。驱动=/Users/blacktraker/Programming/gitproj/DV4/SuperNPUBench/outputs/algoc_algod_doubleq_compare_20261019/compare.cpp</x:v>
      </x:c>
      <x:c r="U13" s="1269" t="str">
        <x:v>https://github.com/PTO-ISA/SuperNPUBench/blob/a96a6ec94723ce4d78ae8cb6938e6b65d6b7ac48/eval/perf_data/source_snapshots/20261019/fa_lowp_algD.hpp#L74</x:v>
      </x:c>
      <x:c r="V13" s="1199" t="str">
        <x:v>/Users/blacktraker/Programming/gitproj/DV4/SuperNPUBench/outputs/algoc_algod_doubleq_compare_20261019/operator_performance_FA_AlgoD_doubleQ_codepaths_20261019.xlsx</x:v>
      </x:c>
      <x:c r="W13" s="1199" t="n">
        <x:v>11</x:v>
      </x:c>
      <x:c r="X13" s="1199" t="str">
        <x:v>是</x:v>
      </x:c>
    </x:row>
    <x:row r="14" ht="48" customHeight="1">
      <x:c r="A14" s="1199" t="str">
        <x:v>FA</x:v>
      </x:c>
      <x:c r="B14" s="1199" t="str">
        <x:v>mxfp4/hif4一阶</x:v>
      </x:c>
      <x:c r="C14" s="1199" t="str">
        <x:v>bf16</x:v>
      </x:c>
      <x:c r="D14" s="1199" t="n">
        <x:v>128</x:v>
      </x:c>
      <x:c r="E14" s="1199" t="str">
        <x:v>[1,8,65536,128]</x:v>
      </x:c>
      <x:c r="F14" s="1199" t="str">
        <x:v>BNSD</x:v>
      </x:c>
      <x:c r="G14" s="1199" t="n">
        <x:v>256</x:v>
      </x:c>
      <x:c r="H14" s="1199" t="n">
        <x:v>65536</x:v>
      </x:c>
      <x:c r="I14" s="1200" t="str">
        <x:v>AlgoD double-Q; Tm=128; Tk=256; MXFP4/BF16</x:v>
      </x:c>
      <x:c r="J14" s="1201" t="n">
        <x:v>143998</x:v>
      </x:c>
      <x:c r="K14" s="1202" t="n">
        <x:f>J14/('Markdown完整列表'!$B$4*1000)</x:f>
        <x:v>89.99875</x:v>
      </x:c>
      <x:c r="L14" s="1201" t="n">
        <x:v>32768</x:v>
      </x:c>
      <x:c r="M14" s="1201" t="n">
        <x:f>2*G14*H14*D14/L14</x:f>
        <x:v>131072</x:v>
      </x:c>
      <x:c r="N14" s="1201" t="n">
        <x:v>137732</x:v>
      </x:c>
      <x:c r="O14" s="1203" t="n">
        <x:f>M14/J14</x:f>
        <x:v>0.9102348643731163</x:v>
      </x:c>
      <x:c r="P14" s="1202" t="n">
        <x:v>123.79</x:v>
      </x:c>
      <x:c r="Q14" s="1204" t="str">
        <x:v>n.a.</x:v>
      </x:c>
      <x:c r="R14" s="1199" t="str">
        <x:v>完成，有告警</x:v>
      </x:c>
      <x:c r="S14" s="1199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/Users/blacktraker/Programming/gitproj/DV4/SuperNPUBench/outputs/algoc_algod_doubleq_compare_20261019/algD_D128.elf</x:v>
      </x:c>
      <x:c r="T14" s="1199" t="str">
        <x:v>2026-10-19 AlgoD double-Q。实际MXFP4，未单独验证HIF4。零输入、未做RES_CHECK。wakeup error=75，周期仅供参考。MFU按Sq=256；dv200仍为历史Sq=128，时间比不适用。model=bdbafed55613+ASSEMBLE修复；compiler=e6a31efb4cfb。ELF SHA256=db317107d203cac3b782cd45085b035ff1e3af712f0b63e0bf5ddadee944eb38。日志=/Users/blacktraker/Programming/gitproj/DV4/SuperNPUBench/outputs/algoc_algod_doubleq_compare_20261019/algD_D128.log。驱动=/Users/blacktraker/Programming/gitproj/DV4/SuperNPUBench/outputs/algoc_algod_doubleq_compare_20261019/compare.cpp</x:v>
      </x:c>
      <x:c r="U14" s="1269" t="str">
        <x:v>https://github.com/PTO-ISA/SuperNPUBench/blob/a96a6ec94723ce4d78ae8cb6938e6b65d6b7ac48/eval/perf_data/source_snapshots/20261019/fa_lowp_algD.hpp#L74</x:v>
      </x:c>
      <x:c r="V14" s="1199" t="str">
        <x:v>/Users/blacktraker/Programming/gitproj/DV4/SuperNPUBench/outputs/algoc_algod_doubleq_compare_20261019/operator_performance_FA_AlgoD_doubleQ_codepaths_20261019.xlsx</x:v>
      </x:c>
      <x:c r="W14" s="1199" t="n">
        <x:v>12</x:v>
      </x:c>
      <x:c r="X14" s="1199" t="str">
        <x:v>是</x:v>
      </x:c>
    </x:row>
    <x:row r="15" ht="48" customHeight="1">
      <x:c r="A15" s="1199" t="str">
        <x:v>FA</x:v>
      </x:c>
      <x:c r="B15" s="1199" t="str">
        <x:v>mxfp4/hif4一阶</x:v>
      </x:c>
      <x:c r="C15" s="1199" t="str">
        <x:v>bf16</x:v>
      </x:c>
      <x:c r="D15" s="1199" t="n">
        <x:v>64</x:v>
      </x:c>
      <x:c r="E15" s="1199" t="str">
        <x:v>[1,8,65536,64]</x:v>
      </x:c>
      <x:c r="F15" s="1199" t="str">
        <x:v>BNSD</x:v>
      </x:c>
      <x:c r="G15" s="1199" t="n">
        <x:v>256</x:v>
      </x:c>
      <x:c r="H15" s="1199" t="n">
        <x:v>65536</x:v>
      </x:c>
      <x:c r="I15" s="1200" t="str">
        <x:v>AlgoD double-Q; Tm=128; Tk=256; MXFP4/BF16</x:v>
      </x:c>
      <x:c r="J15" s="1201" t="n">
        <x:v>143253</x:v>
      </x:c>
      <x:c r="K15" s="1202" t="n">
        <x:f>J15/('Markdown完整列表'!$B$4*1000)</x:f>
        <x:v>89.533125</x:v>
      </x:c>
      <x:c r="L15" s="1201" t="n">
        <x:v>32768</x:v>
      </x:c>
      <x:c r="M15" s="1201" t="n">
        <x:f>2*G15*H15*D15/L15</x:f>
        <x:v>65536</x:v>
      </x:c>
      <x:c r="N15" s="1201" t="n">
        <x:v>137476</x:v>
      </x:c>
      <x:c r="O15" s="1203" t="n">
        <x:f>M15/J15</x:f>
        <x:v>0.45748431097429026</x:v>
      </x:c>
      <x:c r="P15" s="1202" t="n">
        <x:v>114.52</x:v>
      </x:c>
      <x:c r="Q15" s="1204" t="str">
        <x:v>n.a.</x:v>
      </x:c>
      <x:c r="R15" s="1199" t="str">
        <x:v>完成，有告警</x:v>
      </x:c>
      <x:c r="S15" s="1199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dfx.swimCounterSampleInterval=256 bctrl.vec_cell_sched_enable=false bctrl.vecIssueQDepth=64 bctrl.bctrl_bandwidth=8 spe.speROBDepth=128 cube.l0aSharetregResident=true cube.l0aResidentTagNum=8 core.sharetreg_bandwidth_bytes=256 cube.enable_internal_acc=true spe.macroDescriptorFusion=true core.soc_random=true core.soc_bw_limit=156 core.soc_lat_mean=260 core.soc_lat_random_seed=1 bfu.hwpf_nl_degree=32 bfu.hwpf_max_pending_req=32 bfu.bhc_pf_nostd=32 bfu.bhc_nostd=40 core.sharetreg_size_bytes=262144 core.sharetreg_ssb_count=64 --conf /Users/blacktraker/Programming/gitproj/DV4/SuperScalarModel-asl/configs/fourpe.conf -f /Users/blacktraker/Programming/gitproj/DV4/SuperNPUBench/outputs/algoc_algod_doubleq_compare_20261019/algD_D64.elf</x:v>
      </x:c>
      <x:c r="T15" s="1199" t="str">
        <x:v>2026-10-19 AlgoD double-Q。实际MXFP4，未单独验证HIF4。零输入、未做RES_CHECK。wakeup error=73，周期仅供参考。MFU按Sq=256；dv200仍为历史Sq=128，时间比不适用。model=bdbafed55613+ASSEMBLE修复；compiler=e6a31efb4cfb。ELF SHA256=bf9b0bd70ded13a4c02e0c4ed3207d72f2f26d4d339f139114b7562afc2773db。日志=/Users/blacktraker/Programming/gitproj/DV4/SuperNPUBench/outputs/algoc_algod_doubleq_compare_20261019/algD_D64.log。驱动=/Users/blacktraker/Programming/gitproj/DV4/SuperNPUBench/outputs/algoc_algod_doubleq_compare_20261019/compare.cpp</x:v>
      </x:c>
      <x:c r="U15" s="1269" t="str">
        <x:v>https://github.com/PTO-ISA/SuperNPUBench/blob/a96a6ec94723ce4d78ae8cb6938e6b65d6b7ac48/eval/perf_data/source_snapshots/20261019/fa_lowp_algD.hpp#L74</x:v>
      </x:c>
      <x:c r="V15" s="1199" t="str">
        <x:v>/Users/blacktraker/Programming/gitproj/DV4/SuperNPUBench/outputs/algoc_algod_doubleq_compare_20261019/operator_performance_FA_AlgoD_doubleQ_codepaths_20261019.xlsx</x:v>
      </x:c>
      <x:c r="W15" s="1199" t="n">
        <x:v>13</x:v>
      </x:c>
      <x:c r="X15" s="1199" t="str">
        <x:v>是</x:v>
      </x:c>
    </x:row>
    <x:row r="16" ht="48" customHeight="1">
      <x:c r="A16" s="1211" t="str">
        <x:v>FA</x:v>
      </x:c>
      <x:c r="B16" s="1211" t="str">
        <x:v>fp8</x:v>
      </x:c>
      <x:c r="C16" s="1211" t="str">
        <x:v>fp32</x:v>
      </x:c>
      <x:c r="D16" s="1211" t="n">
        <x:v>256</x:v>
      </x:c>
      <x:c r="E16" s="1211" t="str">
        <x:v>[1,8192,8,256]</x:v>
      </x:c>
      <x:c r="F16" s="1211" t="str">
        <x:v>BSND</x:v>
      </x:c>
      <x:c r="G16" s="1211" t="n">
        <x:v>128</x:v>
      </x:c>
      <x:c r="H16" s="1211" t="n">
        <x:v>8192</x:v>
      </x:c>
      <x:c r="I16" s="1212" t="str">
        <x:v>fa_gmma_opt; Tm=128; Tk=128</x:v>
      </x:c>
      <x:c r="J16" s="1213" t="n">
        <x:v>69732</x:v>
      </x:c>
      <x:c r="K16" s="1214" t="n">
        <x:f>J16/('Markdown完整列表'!$B$4*1000)</x:f>
        <x:v>43.5825</x:v>
      </x:c>
      <x:c r="L16" s="1213" t="n">
        <x:v>8192</x:v>
      </x:c>
      <x:c r="M16" s="1213" t="n">
        <x:f>2*G16*H16*D16/L16</x:f>
        <x:v>65536</x:v>
      </x:c>
      <x:c r="N16" s="1213"/>
      <x:c r="O16" s="1215" t="n">
        <x:f>M16/J16</x:f>
        <x:v>0.939826765330121</x:v>
      </x:c>
      <x:c r="P16" s="1214" t="n">
        <x:v>46.82</x:v>
      </x:c>
      <x:c r="Q16" s="1216" t="n">
        <x:f>K16/P16</x:f>
        <x:v>0.9308521999145665</x:v>
      </x:c>
      <x:c r="R16" s="1211" t="str">
        <x:v>PASS</x:v>
      </x:c>
      <x:c r="S16" s="1211"/>
      <x:c r="T16" s="1211" t="str">
        <x:v>标准精度实测路径已替换为 fa_gmma_opt。 /Users/blacktraker/Programming/gitproj/DV4/SuperNPUBench/outputs/fa_gmma_opt_refresh_20261009/cases/fa_fp8_fp32_d256/gfsim.log</x:v>
      </x:c>
      <x:c r="U16" s="1268" t="str">
        <x:v>https://github.com/PTO-ISA/SuperNPUBench/blob/main/benchmark/one-level-arch/kernels/basic_op/fa/fa_gmma_kchains.hpp#L40</x:v>
      </x:c>
      <x:c r="V16" s="1211" t="str">
        <x:v>/Users/blacktraker/Programming/gitproj/DV4/SuperNPUBench/outputs/lowp_fullcache_C23_tK_sweep_20261019/table_update/before_nonhif4_FA_merge.xlsx</x:v>
      </x:c>
      <x:c r="W16" s="1211" t="n">
        <x:v>14</x:v>
      </x:c>
      <x:c r="X16" s="1211" t="str">
        <x:v>否</x:v>
      </x:c>
    </x:row>
    <x:row r="17" ht="48" customHeight="1">
      <x:c r="A17" s="1211" t="str">
        <x:v>FA</x:v>
      </x:c>
      <x:c r="B17" s="1211" t="str">
        <x:v>fp8</x:v>
      </x:c>
      <x:c r="C17" s="1211" t="str">
        <x:v>fp32</x:v>
      </x:c>
      <x:c r="D17" s="1211" t="n">
        <x:v>256</x:v>
      </x:c>
      <x:c r="E17" s="1211" t="str">
        <x:v>[1,8192,8,256]</x:v>
      </x:c>
      <x:c r="F17" s="1211" t="str">
        <x:v>BSND</x:v>
      </x:c>
      <x:c r="G17" s="1211" t="n">
        <x:v>128</x:v>
      </x:c>
      <x:c r="H17" s="1211" t="n">
        <x:v>8192</x:v>
      </x:c>
      <x:c r="I17" s="1212" t="str">
        <x:v>fa_gmma_opt; Tm=128; Tk=128</x:v>
      </x:c>
      <x:c r="J17" s="1213" t="n">
        <x:v>69022</x:v>
      </x:c>
      <x:c r="K17" s="1214" t="n">
        <x:f>J17/('Markdown完整列表'!$B$4*1000)</x:f>
        <x:v>43.13875</x:v>
      </x:c>
      <x:c r="L17" s="1213" t="n">
        <x:v>8192</x:v>
      </x:c>
      <x:c r="M17" s="1213" t="n">
        <x:f>2*G17*H17*D17/L17</x:f>
        <x:v>65536</x:v>
      </x:c>
      <x:c r="N17" s="1213" t="n">
        <x:v>17152</x:v>
      </x:c>
      <x:c r="O17" s="1215" t="n">
        <x:f>M17/J17</x:f>
        <x:v>0.9494943641157891</x:v>
      </x:c>
      <x:c r="P17" s="1214" t="n">
        <x:v>46.82</x:v>
      </x:c>
      <x:c r="Q17" s="1216" t="n">
        <x:f>K17/P17</x:f>
        <x:v>0.9213744126441692</x:v>
      </x:c>
      <x:c r="R17" s="1211" t="str">
        <x:v>PASS</x:v>
      </x:c>
      <x:c r="S17" s="1211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/Users/blacktraker/Programming/gitproj/DV4/SuperNPUBench/outputs/fa_kchains_softmax_rollback_20261019/cases/row14/build/kernel/fa/elf/kernel_fa_fa_gmma_opt_Sq128_Skv8192_Tm128_Tk128_qD256_vD256_X1_Y1_CubeFP8_VectorFP32.elf</x:v>
      </x:c>
      <x:c r="T17" s="1211" t="str">
        <x:v>2026-10-19 ASL gfsim复测 PASS。保留原ELF，未重编。model=bdbafed55613955d0b8b27438e9e7d2a72dfccd2; ELF SHA256=060fd0524bd98412782a9a78c9ff2990f7d20ddd2c7af40fadbc8f800661b1fa; log=/Users/blacktraker/Programming/gitproj/DV4/SuperNPUBench/outputs/fa_asl_refresh_20261019/row14.log</x:v>
      </x:c>
      <x:c r="U17" s="1268" t="str">
        <x:v>https://github.com/PTO-ISA/SuperNPUBench/blob/main/benchmark/one-level-arch/kernels/basic_op/fa/fa_gmma_kchains.hpp#L40</x:v>
      </x:c>
      <x:c r="V17" s="1211" t="str">
        <x:v>/Users/blacktraker/Programming/gitproj/DV4/SuperNPUBench/outputs/fa_asl_refresh_20261019/operator_performance_full_list_20261019_FA_ASL_refresh_code_paths_Tk64.xlsx</x:v>
      </x:c>
      <x:c r="W17" s="1211" t="n">
        <x:v>14</x:v>
      </x:c>
      <x:c r="X17" s="1211" t="str">
        <x:v>是</x:v>
      </x:c>
    </x:row>
    <x:row r="18" ht="48" customHeight="1">
      <x:c r="A18" s="1211" t="str">
        <x:v>FA</x:v>
      </x:c>
      <x:c r="B18" s="1211" t="str">
        <x:v>fp8</x:v>
      </x:c>
      <x:c r="C18" s="1211" t="str">
        <x:v>fp32</x:v>
      </x:c>
      <x:c r="D18" s="1211" t="n">
        <x:v>128</x:v>
      </x:c>
      <x:c r="E18" s="1211" t="str">
        <x:v>[1,8192,8,128]</x:v>
      </x:c>
      <x:c r="F18" s="1211" t="str">
        <x:v>BSND</x:v>
      </x:c>
      <x:c r="G18" s="1211" t="n">
        <x:v>128</x:v>
      </x:c>
      <x:c r="H18" s="1211" t="n">
        <x:v>8192</x:v>
      </x:c>
      <x:c r="I18" s="1212" t="str">
        <x:v>fa_gmma_opt; Tm=128; Tk=128</x:v>
      </x:c>
      <x:c r="J18" s="1213" t="n">
        <x:v>41579</x:v>
      </x:c>
      <x:c r="K18" s="1214" t="n">
        <x:f>J18/('Markdown完整列表'!$B$4*1000)</x:f>
        <x:v>25.986875</x:v>
      </x:c>
      <x:c r="L18" s="1213" t="n">
        <x:v>8192</x:v>
      </x:c>
      <x:c r="M18" s="1213" t="n">
        <x:f>2*G18*H18*D18/L18</x:f>
        <x:v>32768</x:v>
      </x:c>
      <x:c r="N18" s="1213"/>
      <x:c r="O18" s="1215" t="n">
        <x:f>M18/J18</x:f>
        <x:v>0.7880901416580486</x:v>
      </x:c>
      <x:c r="P18" s="1214" t="n">
        <x:v>29.96</x:v>
      </x:c>
      <x:c r="Q18" s="1216" t="n">
        <x:f>K18/P18</x:f>
        <x:v>0.8673856809078772</x:v>
      </x:c>
      <x:c r="R18" s="1211" t="str">
        <x:v>PASS</x:v>
      </x:c>
      <x:c r="S18" s="1211"/>
      <x:c r="T18" s="1211" t="str">
        <x:v>标准精度实测路径已替换为 fa_gmma_opt。 /Users/blacktraker/Programming/gitproj/DV4/SuperNPUBench/outputs/fa_gmma_opt_refresh_20261009/cases/fa_fp8_fp32_d128/gfsim.log</x:v>
      </x:c>
      <x:c r="U18" s="1268" t="str">
        <x:v>https://github.com/PTO-ISA/SuperNPUBench/blob/main/benchmark/one-level-arch/kernels/basic_op/fa/fa_gmma_kchains.hpp#L40</x:v>
      </x:c>
      <x:c r="V18" s="1211" t="str">
        <x:v>/Users/blacktraker/Programming/gitproj/DV4/SuperNPUBench/outputs/lowp_fullcache_C23_tK_sweep_20261019/table_update/before_nonhif4_FA_merge.xlsx</x:v>
      </x:c>
      <x:c r="W18" s="1211" t="n">
        <x:v>16</x:v>
      </x:c>
      <x:c r="X18" s="1211" t="str">
        <x:v>否</x:v>
      </x:c>
    </x:row>
    <x:row r="19" ht="48" customHeight="1">
      <x:c r="A19" s="1211" t="str">
        <x:v>FA</x:v>
      </x:c>
      <x:c r="B19" s="1211" t="str">
        <x:v>fp8</x:v>
      </x:c>
      <x:c r="C19" s="1211" t="str">
        <x:v>fp32</x:v>
      </x:c>
      <x:c r="D19" s="1211" t="n">
        <x:v>128</x:v>
      </x:c>
      <x:c r="E19" s="1211" t="str">
        <x:v>[1,8192,8,128]</x:v>
      </x:c>
      <x:c r="F19" s="1211" t="str">
        <x:v>BSND</x:v>
      </x:c>
      <x:c r="G19" s="1211" t="n">
        <x:v>128</x:v>
      </x:c>
      <x:c r="H19" s="1211" t="n">
        <x:v>8192</x:v>
      </x:c>
      <x:c r="I19" s="1212" t="str">
        <x:v>fa_gmma_opt; Tm=128; Tk=128</x:v>
      </x:c>
      <x:c r="J19" s="1213" t="n">
        <x:v>35290</x:v>
      </x:c>
      <x:c r="K19" s="1214" t="n">
        <x:f>J19/('Markdown完整列表'!$B$4*1000)</x:f>
        <x:v>22.05625</x:v>
      </x:c>
      <x:c r="L19" s="1213" t="n">
        <x:v>8192</x:v>
      </x:c>
      <x:c r="M19" s="1213" t="n">
        <x:f>2*G19*H19*D19/L19</x:f>
        <x:v>32768</x:v>
      </x:c>
      <x:c r="N19" s="1213" t="n">
        <x:v>16896</x:v>
      </x:c>
      <x:c r="O19" s="1215" t="n">
        <x:f>M19/J19</x:f>
        <x:v>0.9285349957495042</x:v>
      </x:c>
      <x:c r="P19" s="1214" t="n">
        <x:v>29.96</x:v>
      </x:c>
      <x:c r="Q19" s="1216" t="n">
        <x:f>K19/P19</x:f>
        <x:v>0.7361899198931908</x:v>
      </x:c>
      <x:c r="R19" s="1211" t="str">
        <x:v>PASS</x:v>
      </x:c>
      <x:c r="S19" s="1211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/Users/blacktraker/Programming/gitproj/DV4/SuperNPUBench/outputs/fa_kchains_softmax_rollback_20261019/cases/row16/build/kernel/fa/elf/kernel_fa_fa_gmma_opt_Sq128_Skv8192_Tm128_Tk128_X1_Y1_CubeFP8_VectorFP32.elf</x:v>
      </x:c>
      <x:c r="T19" s="1211" t="str">
        <x:v>2026-10-19 ASL gfsim复测 PASS。保留原ELF，未重编。model=bdbafed55613955d0b8b27438e9e7d2a72dfccd2; ELF SHA256=9b4a762543ca92ce074bd00f86b660ee3d6597bee39452c714bdbe7df0130a4d; log=/Users/blacktraker/Programming/gitproj/DV4/SuperNPUBench/outputs/fa_asl_refresh_20261019/row16.log</x:v>
      </x:c>
      <x:c r="U19" s="1268" t="str">
        <x:v>https://github.com/PTO-ISA/SuperNPUBench/blob/main/benchmark/one-level-arch/kernels/basic_op/fa/fa_gmma_kchains.hpp#L40</x:v>
      </x:c>
      <x:c r="V19" s="1211" t="str">
        <x:v>/Users/blacktraker/Programming/gitproj/DV4/SuperNPUBench/outputs/fa_asl_refresh_20261019/operator_performance_full_list_20261019_FA_ASL_refresh_code_paths_Tk64.xlsx</x:v>
      </x:c>
      <x:c r="W19" s="1211" t="n">
        <x:v>16</x:v>
      </x:c>
      <x:c r="X19" s="1211" t="str">
        <x:v>是</x:v>
      </x:c>
    </x:row>
    <x:row r="20" ht="48" customHeight="1">
      <x:c r="A20" s="1211" t="str">
        <x:v>FA</x:v>
      </x:c>
      <x:c r="B20" s="1211" t="str">
        <x:v>fp8</x:v>
      </x:c>
      <x:c r="C20" s="1211" t="str">
        <x:v>fp32</x:v>
      </x:c>
      <x:c r="D20" s="1211" t="n">
        <x:v>64</x:v>
      </x:c>
      <x:c r="E20" s="1211" t="str">
        <x:v>[1,8192,8,64]</x:v>
      </x:c>
      <x:c r="F20" s="1211" t="str">
        <x:v>BSND</x:v>
      </x:c>
      <x:c r="G20" s="1211" t="n">
        <x:v>128</x:v>
      </x:c>
      <x:c r="H20" s="1211" t="n">
        <x:v>8192</x:v>
      </x:c>
      <x:c r="I20" s="1212" t="str">
        <x:v>fa_gmma_opt; Tm=128; Tk=128</x:v>
      </x:c>
      <x:c r="J20" s="1213" t="n">
        <x:v>39616</x:v>
      </x:c>
      <x:c r="K20" s="1214" t="n">
        <x:f>J20/('Markdown完整列表'!$B$4*1000)</x:f>
        <x:v>24.76</x:v>
      </x:c>
      <x:c r="L20" s="1213" t="n">
        <x:v>8192</x:v>
      </x:c>
      <x:c r="M20" s="1213" t="n">
        <x:f>2*G20*H20*D20/L20</x:f>
        <x:v>16384</x:v>
      </x:c>
      <x:c r="N20" s="1213"/>
      <x:c r="O20" s="1215" t="n">
        <x:f>M20/J20</x:f>
        <x:v>0.4135702746365105</x:v>
      </x:c>
      <x:c r="P20" s="1214" t="n">
        <x:v>29.39</x:v>
      </x:c>
      <x:c r="Q20" s="1216" t="n">
        <x:f>K20/P20</x:f>
        <x:v>0.8424634229329704</x:v>
      </x:c>
      <x:c r="R20" s="1211" t="str">
        <x:v>PASS</x:v>
      </x:c>
      <x:c r="S20" s="1211"/>
      <x:c r="T20" s="1211" t="str">
        <x:v>标准精度实测路径已替换为 fa_gmma_opt。 /Users/blacktraker/Programming/gitproj/DV4/SuperNPUBench/outputs/fa_gmma_opt_refresh_20261009/cases/fa_fp8_fp32_d64/gfsim.log</x:v>
      </x:c>
      <x:c r="U20" s="1268" t="str">
        <x:v>https://github.com/PTO-ISA/SuperNPUBench/blob/main/benchmark/one-level-arch/kernels/basic_op/fa/fa_gmma_kchains.hpp#L40</x:v>
      </x:c>
      <x:c r="V20" s="1211" t="str">
        <x:v>/Users/blacktraker/Programming/gitproj/DV4/SuperNPUBench/outputs/lowp_fullcache_C23_tK_sweep_20261019/table_update/before_nonhif4_FA_merge.xlsx</x:v>
      </x:c>
      <x:c r="W20" s="1211" t="n">
        <x:v>17</x:v>
      </x:c>
      <x:c r="X20" s="1211" t="str">
        <x:v>否</x:v>
      </x:c>
    </x:row>
    <x:row r="21" ht="48" customHeight="1">
      <x:c r="A21" s="1211" t="str">
        <x:v>FA</x:v>
      </x:c>
      <x:c r="B21" s="1211" t="str">
        <x:v>fp8</x:v>
      </x:c>
      <x:c r="C21" s="1211" t="str">
        <x:v>fp32</x:v>
      </x:c>
      <x:c r="D21" s="1211" t="n">
        <x:v>64</x:v>
      </x:c>
      <x:c r="E21" s="1211" t="str">
        <x:v>[1,8192,8,64]</x:v>
      </x:c>
      <x:c r="F21" s="1211" t="str">
        <x:v>BSND</x:v>
      </x:c>
      <x:c r="G21" s="1211" t="n">
        <x:v>128</x:v>
      </x:c>
      <x:c r="H21" s="1211" t="n">
        <x:v>8192</x:v>
      </x:c>
      <x:c r="I21" s="1212" t="str">
        <x:v>fa_gmma_opt; Tm=128; Tk=128</x:v>
      </x:c>
      <x:c r="J21" s="1213" t="n">
        <x:v>23045</x:v>
      </x:c>
      <x:c r="K21" s="1214" t="n">
        <x:f>J21/('Markdown完整列表'!$B$4*1000)</x:f>
        <x:v>14.403125</x:v>
      </x:c>
      <x:c r="L21" s="1213" t="n">
        <x:v>8192</x:v>
      </x:c>
      <x:c r="M21" s="1213" t="n">
        <x:f>2*G21*H21*D21/L21</x:f>
        <x:v>16384</x:v>
      </x:c>
      <x:c r="N21" s="1213" t="n">
        <x:v>16768</x:v>
      </x:c>
      <x:c r="O21" s="1215" t="n">
        <x:f>M21/J21</x:f>
        <x:v>0.7109568236059883</x:v>
      </x:c>
      <x:c r="P21" s="1214" t="n">
        <x:v>29.39</x:v>
      </x:c>
      <x:c r="Q21" s="1216" t="n">
        <x:f>K21/P21</x:f>
        <x:v>0.49006890098673017</x:v>
      </x:c>
      <x:c r="R21" s="1211" t="str">
        <x:v>PASS</x:v>
      </x:c>
      <x:c r="S21" s="1211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/Users/blacktraker/Programming/gitproj/DV4/SuperNPUBench/outputs/fa_kchains_softmax_rollback_20261019/cases/row17/build/kernel/fa/elf/kernel_fa_fa_gmma_opt_Sq128_Skv8192_Tm128_Tk128_qD64_vD64_X1_Y1_CubeFP8_VectorFP32.elf</x:v>
      </x:c>
      <x:c r="T21" s="1211" t="str">
        <x:v>2026-10-19 ASL gfsim复测 PASS。保留原ELF，未重编。model=bdbafed55613955d0b8b27438e9e7d2a72dfccd2; ELF SHA256=63c0a9b7b4b04234c0f2bcee16c07a507f1bb01705ab1c0bcdce8c4e68a4456f; log=/Users/blacktraker/Programming/gitproj/DV4/SuperNPUBench/outputs/fa_asl_refresh_20261019/row17.log</x:v>
      </x:c>
      <x:c r="U21" s="1268" t="str">
        <x:v>https://github.com/PTO-ISA/SuperNPUBench/blob/main/benchmark/one-level-arch/kernels/basic_op/fa/fa_gmma_kchains.hpp#L40</x:v>
      </x:c>
      <x:c r="V21" s="1211" t="str">
        <x:v>/Users/blacktraker/Programming/gitproj/DV4/SuperNPUBench/outputs/fa_asl_refresh_20261019/operator_performance_full_list_20261019_FA_ASL_refresh_code_paths_Tk64.xlsx</x:v>
      </x:c>
      <x:c r="W21" s="1211" t="n">
        <x:v>17</x:v>
      </x:c>
      <x:c r="X21" s="1211" t="str">
        <x:v>是</x:v>
      </x:c>
    </x:row>
    <x:row r="22" ht="48" customHeight="1">
      <x:c r="A22" s="1217" t="str">
        <x:v>FA</x:v>
      </x:c>
      <x:c r="B22" s="1217" t="str">
        <x:v>fp8</x:v>
      </x:c>
      <x:c r="C22" s="1217" t="str">
        <x:v>bf16</x:v>
      </x:c>
      <x:c r="D22" s="1217" t="n">
        <x:v>256</x:v>
      </x:c>
      <x:c r="E22" s="1217" t="str">
        <x:v>[1,8192,8,256]</x:v>
      </x:c>
      <x:c r="F22" s="1217" t="str">
        <x:v>BSND</x:v>
      </x:c>
      <x:c r="G22" s="1217" t="n">
        <x:v>128</x:v>
      </x:c>
      <x:c r="H22" s="1217" t="n">
        <x:v>8192</x:v>
      </x:c>
      <x:c r="I22" s="1218" t="str">
        <x:v>fa_gmma_opt; Tm=128; Tk=128</x:v>
      </x:c>
      <x:c r="J22" s="1219" t="n">
        <x:v>69488</x:v>
      </x:c>
      <x:c r="K22" s="1220" t="n">
        <x:f>J22/('Markdown完整列表'!$B$4*1000)</x:f>
        <x:v>43.43</x:v>
      </x:c>
      <x:c r="L22" s="1219" t="n">
        <x:v>8192</x:v>
      </x:c>
      <x:c r="M22" s="1219" t="n">
        <x:f>2*G22*H22*D22/L22</x:f>
        <x:v>65536</x:v>
      </x:c>
      <x:c r="N22" s="1219"/>
      <x:c r="O22" s="1221" t="n">
        <x:f>M22/J22</x:f>
        <x:v>0.9431268708266175</x:v>
      </x:c>
      <x:c r="P22" s="1220" t="n">
        <x:v>46.8</x:v>
      </x:c>
      <x:c r="Q22" s="1222" t="n">
        <x:f>K22/P22</x:f>
        <x:v>0.927991452991453</x:v>
      </x:c>
      <x:c r="R22" s="1217" t="str">
        <x:v>PASS</x:v>
      </x:c>
      <x:c r="S22" s="1217"/>
      <x:c r="T22" s="1217" t="str">
        <x:v>Tk sweep 最优：Tk=128 为 69,488 cycles；旧 Tk=256 为 77,487 cycles，cycle 降低 10.32%。公式：time=cycles/1600；MFU=(2×128×8192×256/8192)/cycles=65536/cycles。证据：/Users/blacktraker/Programming/gitproj/DV4/SuperNPUBench/outputs/fa_fp8_bf16_d256_tk_sweep_20261009/cases/tm128_tk128/gfsim.log</x:v>
      </x:c>
      <x:c r="U22" s="1269" t="str">
        <x:v>https://github.com/PTO-ISA/SuperNPUBench/blob/main/benchmark/one-level-arch/kernels/basic_op/fa/fa_gmma_kchains.hpp#L40</x:v>
      </x:c>
      <x:c r="V22" s="1217" t="str">
        <x:v>/Users/blacktraker/Programming/gitproj/DV4/SuperNPUBench/outputs/lowp_fullcache_C23_tK_sweep_20261019/table_update/before_nonhif4_FA_merge.xlsx</x:v>
      </x:c>
      <x:c r="W22" s="1217" t="n">
        <x:v>18</x:v>
      </x:c>
      <x:c r="X22" s="1217" t="str">
        <x:v>否</x:v>
      </x:c>
    </x:row>
    <x:row r="23" ht="48" customHeight="1">
      <x:c r="A23" s="1217" t="str">
        <x:v>FA</x:v>
      </x:c>
      <x:c r="B23" s="1217" t="str">
        <x:v>fp8</x:v>
      </x:c>
      <x:c r="C23" s="1217" t="str">
        <x:v>bf16</x:v>
      </x:c>
      <x:c r="D23" s="1217" t="n">
        <x:v>256</x:v>
      </x:c>
      <x:c r="E23" s="1217" t="str">
        <x:v>[1,8192,8,256]</x:v>
      </x:c>
      <x:c r="F23" s="1217" t="str">
        <x:v>BSND</x:v>
      </x:c>
      <x:c r="G23" s="1217" t="n">
        <x:v>128</x:v>
      </x:c>
      <x:c r="H23" s="1217" t="n">
        <x:v>8192</x:v>
      </x:c>
      <x:c r="I23" s="1218" t="str">
        <x:v>fa_gmma_opt; Tm=128; Tk=128</x:v>
      </x:c>
      <x:c r="J23" s="1219" t="n">
        <x:v>68867</x:v>
      </x:c>
      <x:c r="K23" s="1220" t="n">
        <x:f>J23/('Markdown完整列表'!$B$4*1000)</x:f>
        <x:v>43.041875</x:v>
      </x:c>
      <x:c r="L23" s="1219" t="n">
        <x:v>8192</x:v>
      </x:c>
      <x:c r="M23" s="1219" t="n">
        <x:f>2*G23*H23*D23/L23</x:f>
        <x:v>65536</x:v>
      </x:c>
      <x:c r="N23" s="1219" t="n">
        <x:v>8960</x:v>
      </x:c>
      <x:c r="O23" s="1221" t="n">
        <x:f>M23/J23</x:f>
        <x:v>0.9516314054627034</x:v>
      </x:c>
      <x:c r="P23" s="1220" t="n">
        <x:v>46.8</x:v>
      </x:c>
      <x:c r="Q23" s="1222" t="n">
        <x:f>K23/P23</x:f>
        <x:v>0.9196981837606838</x:v>
      </x:c>
      <x:c r="R23" s="1217" t="str">
        <x:v>PASS</x:v>
      </x:c>
      <x:c r="S23" s="1217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/Users/blacktraker/Programming/gitproj/DV4/SuperNPUBench/outputs/fa_kchains_softmax_rollback_20261019/cases/row18/build/kernel/fa/elf/kernel_fa_fa_gmma_opt_Sq128_Skv8192_Tm128_Tk128_qD256_vD256_X1_Y1_CubeFP8_VectorBF16.elf</x:v>
      </x:c>
      <x:c r="T23" s="1217" t="str">
        <x:v>2026-10-19 ASL gfsim复测 PASS。保留原ELF，未重编。model=bdbafed55613955d0b8b27438e9e7d2a72dfccd2; ELF SHA256=be1172f1260e65901e2070125df8b78d68dbc31a357ccd8bb15e2c8480876ac2; log=/Users/blacktraker/Programming/gitproj/DV4/SuperNPUBench/outputs/fa_asl_refresh_20261019/row18.log</x:v>
      </x:c>
      <x:c r="U23" s="1269" t="str">
        <x:v>https://github.com/PTO-ISA/SuperNPUBench/blob/main/benchmark/one-level-arch/kernels/basic_op/fa/fa_gmma_kchains.hpp#L40</x:v>
      </x:c>
      <x:c r="V23" s="1217" t="str">
        <x:v>/Users/blacktraker/Programming/gitproj/DV4/SuperNPUBench/outputs/fa_asl_refresh_20261019/operator_performance_full_list_20261019_FA_ASL_refresh_code_paths_Tk64.xlsx</x:v>
      </x:c>
      <x:c r="W23" s="1217" t="n">
        <x:v>18</x:v>
      </x:c>
      <x:c r="X23" s="1217" t="str">
        <x:v>是</x:v>
      </x:c>
    </x:row>
    <x:row r="24" ht="48" customHeight="1">
      <x:c r="A24" s="1217" t="str">
        <x:v>FA</x:v>
      </x:c>
      <x:c r="B24" s="1217" t="str">
        <x:v>fp8</x:v>
      </x:c>
      <x:c r="C24" s="1217" t="str">
        <x:v>bf16</x:v>
      </x:c>
      <x:c r="D24" s="1217" t="n">
        <x:v>128</x:v>
      </x:c>
      <x:c r="E24" s="1217" t="str">
        <x:v>[1,8192,8,128]</x:v>
      </x:c>
      <x:c r="F24" s="1217" t="str">
        <x:v>BSND</x:v>
      </x:c>
      <x:c r="G24" s="1217" t="n">
        <x:v>128</x:v>
      </x:c>
      <x:c r="H24" s="1217" t="n">
        <x:v>8192</x:v>
      </x:c>
      <x:c r="I24" s="1218" t="str">
        <x:v>fa_gmma_opt; Tm=128; Tk=256</x:v>
      </x:c>
      <x:c r="J24" s="1219" t="n">
        <x:v>35883</x:v>
      </x:c>
      <x:c r="K24" s="1220" t="n">
        <x:f>J24/('Markdown完整列表'!$B$4*1000)</x:f>
        <x:v>22.426875</x:v>
      </x:c>
      <x:c r="L24" s="1219" t="n">
        <x:v>8192</x:v>
      </x:c>
      <x:c r="M24" s="1219" t="n">
        <x:f>2*G24*H24*D24/L24</x:f>
        <x:v>32768</x:v>
      </x:c>
      <x:c r="N24" s="1219"/>
      <x:c r="O24" s="1221" t="n">
        <x:f>M24/J24</x:f>
        <x:v>0.9131900900147703</x:v>
      </x:c>
      <x:c r="P24" s="1220" t="n">
        <x:v>23.94</x:v>
      </x:c>
      <x:c r="Q24" s="1222" t="n">
        <x:f>K24/P24</x:f>
        <x:v>0.9367951127819548</x:v>
      </x:c>
      <x:c r="R24" s="1217" t="str">
        <x:v>PASS</x:v>
      </x:c>
      <x:c r="S24" s="1217"/>
      <x:c r="T24" s="1217" t="str">
        <x:v>标准精度实测路径已替换为 fa_gmma_opt。 融合 RowMax dtype 已按 PTO #346 跟随 final D。 /Users/blacktraker/Programming/gitproj/DV4/SuperNPUBench/outputs/fa_gmma_opt_refresh_20261009/cases/fa_fp8_bf16_d128/gfsim.log</x:v>
      </x:c>
      <x:c r="U24" s="1269" t="str">
        <x:v>https://github.com/PTO-ISA/SuperNPUBench/blob/main/benchmark/one-level-arch/kernels/basic_op/fa/fa_gmma_kchains.hpp#L40</x:v>
      </x:c>
      <x:c r="V24" s="1217" t="str">
        <x:v>/Users/blacktraker/Programming/gitproj/DV4/SuperNPUBench/outputs/lowp_fullcache_C23_tK_sweep_20261019/table_update/before_nonhif4_FA_merge.xlsx</x:v>
      </x:c>
      <x:c r="W24" s="1217" t="n">
        <x:v>20</x:v>
      </x:c>
      <x:c r="X24" s="1217" t="str">
        <x:v>否</x:v>
      </x:c>
    </x:row>
    <x:row r="25" ht="48" customHeight="1">
      <x:c r="A25" s="1217" t="str">
        <x:v>FA</x:v>
      </x:c>
      <x:c r="B25" s="1217" t="str">
        <x:v>fp8</x:v>
      </x:c>
      <x:c r="C25" s="1217" t="str">
        <x:v>bf16</x:v>
      </x:c>
      <x:c r="D25" s="1217" t="n">
        <x:v>128</x:v>
      </x:c>
      <x:c r="E25" s="1217" t="str">
        <x:v>[1,8192,8,128]</x:v>
      </x:c>
      <x:c r="F25" s="1217" t="str">
        <x:v>BSND</x:v>
      </x:c>
      <x:c r="G25" s="1217" t="n">
        <x:v>128</x:v>
      </x:c>
      <x:c r="H25" s="1217" t="n">
        <x:v>8192</x:v>
      </x:c>
      <x:c r="I25" s="1218" t="str">
        <x:v>fa_gmma_opt; Tm=128; Tk=256</x:v>
      </x:c>
      <x:c r="J25" s="1219" t="n">
        <x:v>35213</x:v>
      </x:c>
      <x:c r="K25" s="1220" t="n">
        <x:f>J25/('Markdown完整列表'!$B$4*1000)</x:f>
        <x:v>22.008125</x:v>
      </x:c>
      <x:c r="L25" s="1219" t="n">
        <x:v>8192</x:v>
      </x:c>
      <x:c r="M25" s="1219" t="n">
        <x:f>2*G25*H25*D25/L25</x:f>
        <x:v>32768</x:v>
      </x:c>
      <x:c r="N25" s="1219" t="n">
        <x:v>8576</x:v>
      </x:c>
      <x:c r="O25" s="1221" t="n">
        <x:f>M25/J25</x:f>
        <x:v>0.9305654161815239</x:v>
      </x:c>
      <x:c r="P25" s="1220" t="n">
        <x:v>23.94</x:v>
      </x:c>
      <x:c r="Q25" s="1222" t="n">
        <x:f>K25/P25</x:f>
        <x:v>0.9193034670008353</x:v>
      </x:c>
      <x:c r="R25" s="1217" t="str">
        <x:v>PASS</x:v>
      </x:c>
      <x:c r="S25" s="1217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/Users/blacktraker/Programming/gitproj/DV4/SuperNPUBench/outputs/fa_kchains_softmax_rollback_20261019/cases/row20/build/kernel/fa/elf/kernel_fa_fa_gmma_opt_Sq128_Skv8192_Tm128_Tk256_X1_Y1_CubeFP8_VectorBF16.elf</x:v>
      </x:c>
      <x:c r="T25" s="1217" t="str">
        <x:v>2026-10-19 ASL gfsim复测 PASS。保留原ELF，未重编。model=bdbafed55613955d0b8b27438e9e7d2a72dfccd2; ELF SHA256=65059329f86dce5bcc68ccbc1f910774ac00ac5cc807f72764a12f4fa326ba0b; log=/Users/blacktraker/Programming/gitproj/DV4/SuperNPUBench/outputs/fa_asl_refresh_20261019/row20.log</x:v>
      </x:c>
      <x:c r="U25" s="1269" t="str">
        <x:v>https://github.com/PTO-ISA/SuperNPUBench/blob/main/benchmark/one-level-arch/kernels/basic_op/fa/fa_gmma_kchains.hpp#L40</x:v>
      </x:c>
      <x:c r="V25" s="1217" t="str">
        <x:v>/Users/blacktraker/Programming/gitproj/DV4/SuperNPUBench/outputs/fa_asl_refresh_20261019/operator_performance_full_list_20261019_FA_ASL_refresh_code_paths_Tk64.xlsx</x:v>
      </x:c>
      <x:c r="W25" s="1217" t="n">
        <x:v>20</x:v>
      </x:c>
      <x:c r="X25" s="1217" t="str">
        <x:v>是</x:v>
      </x:c>
    </x:row>
    <x:row r="26" ht="48" customHeight="1">
      <x:c r="A26" s="1217" t="str">
        <x:v>FA</x:v>
      </x:c>
      <x:c r="B26" s="1217" t="str">
        <x:v>fp8</x:v>
      </x:c>
      <x:c r="C26" s="1217" t="str">
        <x:v>bf16</x:v>
      </x:c>
      <x:c r="D26" s="1217" t="n">
        <x:v>64</x:v>
      </x:c>
      <x:c r="E26" s="1217" t="str">
        <x:v>[1,8192,8,64]</x:v>
      </x:c>
      <x:c r="F26" s="1217" t="str">
        <x:v>BSND</x:v>
      </x:c>
      <x:c r="G26" s="1217" t="n">
        <x:v>128</x:v>
      </x:c>
      <x:c r="H26" s="1217" t="n">
        <x:v>8192</x:v>
      </x:c>
      <x:c r="I26" s="1218" t="str">
        <x:v>fa_gmma_opt; Tm=128; Tk=256</x:v>
      </x:c>
      <x:c r="J26" s="1219" t="n">
        <x:v>22792</x:v>
      </x:c>
      <x:c r="K26" s="1220" t="n">
        <x:f>J26/('Markdown完整列表'!$B$4*1000)</x:f>
        <x:v>14.245</x:v>
      </x:c>
      <x:c r="L26" s="1219" t="n">
        <x:v>8192</x:v>
      </x:c>
      <x:c r="M26" s="1219" t="n">
        <x:f>2*G26*H26*D26/L26</x:f>
        <x:v>16384</x:v>
      </x:c>
      <x:c r="N26" s="1219"/>
      <x:c r="O26" s="1221" t="n">
        <x:f>M26/J26</x:f>
        <x:v>0.7188487188487188</x:v>
      </x:c>
      <x:c r="P26" s="1220" t="n">
        <x:v>16.12</x:v>
      </x:c>
      <x:c r="Q26" s="1222" t="n">
        <x:f>K26/P26</x:f>
        <x:v>0.8836848635235731</x:v>
      </x:c>
      <x:c r="R26" s="1217" t="str">
        <x:v>PASS</x:v>
      </x:c>
      <x:c r="S26" s="1217"/>
      <x:c r="T26" s="1217" t="str">
        <x:v>标准精度实测路径已替换为 fa_gmma_opt。 融合 RowMax dtype 已按 PTO #346 跟随 final D。 /Users/blacktraker/Programming/gitproj/DV4/SuperNPUBench/outputs/fa_gmma_opt_refresh_20261009/cases/fa_fp8_bf16_d64/gfsim.log</x:v>
      </x:c>
      <x:c r="U26" s="1269" t="str">
        <x:v>https://github.com/PTO-ISA/SuperNPUBench/blob/main/benchmark/one-level-arch/kernels/basic_op/fa/fa_gmma_kchains.hpp#L40</x:v>
      </x:c>
      <x:c r="V26" s="1217" t="str">
        <x:v>/Users/blacktraker/Programming/gitproj/DV4/SuperNPUBench/outputs/lowp_fullcache_C23_tK_sweep_20261019/table_update/before_nonhif4_FA_merge.xlsx</x:v>
      </x:c>
      <x:c r="W26" s="1217" t="n">
        <x:v>21</x:v>
      </x:c>
      <x:c r="X26" s="1217" t="str">
        <x:v>否</x:v>
      </x:c>
    </x:row>
    <x:row r="27" ht="48" customHeight="1">
      <x:c r="A27" s="1217" t="str">
        <x:v>FA</x:v>
      </x:c>
      <x:c r="B27" s="1217" t="str">
        <x:v>fp8</x:v>
      </x:c>
      <x:c r="C27" s="1217" t="str">
        <x:v>bf16</x:v>
      </x:c>
      <x:c r="D27" s="1217" t="n">
        <x:v>64</x:v>
      </x:c>
      <x:c r="E27" s="1217" t="str">
        <x:v>[1,8192,8,64]</x:v>
      </x:c>
      <x:c r="F27" s="1217" t="str">
        <x:v>BSND</x:v>
      </x:c>
      <x:c r="G27" s="1217" t="n">
        <x:v>128</x:v>
      </x:c>
      <x:c r="H27" s="1217" t="n">
        <x:v>8192</x:v>
      </x:c>
      <x:c r="I27" s="1218" t="str">
        <x:v>fa_gmma_opt; Tm=128; Tk=256</x:v>
      </x:c>
      <x:c r="J27" s="1219" t="n">
        <x:v>18523</x:v>
      </x:c>
      <x:c r="K27" s="1220" t="n">
        <x:f>J27/('Markdown完整列表'!$B$4*1000)</x:f>
        <x:v>11.576875</x:v>
      </x:c>
      <x:c r="L27" s="1219" t="n">
        <x:v>8192</x:v>
      </x:c>
      <x:c r="M27" s="1219" t="n">
        <x:f>2*G27*H27*D27/L27</x:f>
        <x:v>16384</x:v>
      </x:c>
      <x:c r="N27" s="1219" t="n">
        <x:v>8448</x:v>
      </x:c>
      <x:c r="O27" s="1221" t="n">
        <x:f>M27/J27</x:f>
        <x:v>0.8845219456891432</x:v>
      </x:c>
      <x:c r="P27" s="1220" t="n">
        <x:v>16.12</x:v>
      </x:c>
      <x:c r="Q27" s="1222" t="n">
        <x:f>K27/P27</x:f>
        <x:v>0.7181684243176177</x:v>
      </x:c>
      <x:c r="R27" s="1217" t="str">
        <x:v>PASS</x:v>
      </x:c>
      <x:c r="S27" s="1217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/Users/blacktraker/Programming/gitproj/DV4/SuperNPUBench/outputs/fa_kchains_softmax_rollback_20261019/cases/row21/build/kernel/fa/elf/kernel_fa_fa_gmma_opt_Sq128_Skv8192_Tm128_Tk256_qD64_vD64_X1_Y1_CubeFP8_VectorBF16.elf</x:v>
      </x:c>
      <x:c r="T27" s="1217" t="str">
        <x:v>2026-10-19 ASL gfsim复测 PASS。保留原ELF，未重编。model=bdbafed55613955d0b8b27438e9e7d2a72dfccd2; ELF SHA256=abd7e0c899b9ef8bbc5cc05f0993fa53dbc887459df1b80385f068ed0c2a79ed; log=/Users/blacktraker/Programming/gitproj/DV4/SuperNPUBench/outputs/fa_asl_refresh_20261019/row21.log</x:v>
      </x:c>
      <x:c r="U27" s="1269" t="str">
        <x:v>https://github.com/PTO-ISA/SuperNPUBench/blob/main/benchmark/one-level-arch/kernels/basic_op/fa/fa_gmma_kchains.hpp#L40</x:v>
      </x:c>
      <x:c r="V27" s="1217" t="str">
        <x:v>/Users/blacktraker/Programming/gitproj/DV4/SuperNPUBench/outputs/fa_asl_refresh_20261019/operator_performance_full_list_20261019_FA_ASL_refresh_code_paths_Tk64.xlsx</x:v>
      </x:c>
      <x:c r="W27" s="1217" t="n">
        <x:v>21</x:v>
      </x:c>
      <x:c r="X27" s="1217" t="str">
        <x:v>是</x:v>
      </x:c>
    </x:row>
    <x:row r="28" ht="48" customHeight="1">
      <x:c r="A28" s="1223" t="str">
        <x:v>FA</x:v>
      </x:c>
      <x:c r="B28" s="1223" t="str">
        <x:v>bf16</x:v>
      </x:c>
      <x:c r="C28" s="1223" t="str">
        <x:v>fp32</x:v>
      </x:c>
      <x:c r="D28" s="1223" t="n">
        <x:v>256</x:v>
      </x:c>
      <x:c r="E28" s="1223" t="str">
        <x:v>[1,8192,8,256]</x:v>
      </x:c>
      <x:c r="F28" s="1223" t="str">
        <x:v>BSND</x:v>
      </x:c>
      <x:c r="G28" s="1223" t="n">
        <x:v>128</x:v>
      </x:c>
      <x:c r="H28" s="1223" t="n">
        <x:v>8192</x:v>
      </x:c>
      <x:c r="I28" s="1224" t="str">
        <x:v>fa_gmma_opt; Tm=128; Tk=128</x:v>
      </x:c>
      <x:c r="J28" s="1225" t="n">
        <x:v>157898</x:v>
      </x:c>
      <x:c r="K28" s="1226" t="n">
        <x:f>J28/('Markdown完整列表'!$B$4*1000)</x:f>
        <x:v>98.68625</x:v>
      </x:c>
      <x:c r="L28" s="1225" t="n">
        <x:v>4096</x:v>
      </x:c>
      <x:c r="M28" s="1225" t="n">
        <x:f>2*G28*H28*D28/L28</x:f>
        <x:v>131072</x:v>
      </x:c>
      <x:c r="N28" s="1225"/>
      <x:c r="O28" s="1227" t="n">
        <x:f>M28/J28</x:f>
        <x:v>0.8301055111527695</x:v>
      </x:c>
      <x:c r="P28" s="1226"/>
      <x:c r="Q28" s="1228"/>
      <x:c r="R28" s="1223" t="str">
        <x:v>PASS</x:v>
      </x:c>
      <x:c r="S28" s="1223"/>
      <x:c r="T28" s="1223" t="str">
        <x:v>标准精度实测路径已替换为 fa_gmma_opt。 /Users/blacktraker/Programming/gitproj/DV4/SuperNPUBench/outputs/fa_gmma_opt_refresh_20261009/cases/fa_bf16_fp32_d256/gfsim.log</x:v>
      </x:c>
      <x:c r="U28" s="1270" t="str">
        <x:v>https://github.com/PTO-ISA/SuperNPUBench/blob/main/benchmark/one-level-arch/kernels/basic_op/fa/fa_gmma_kchains.hpp#L40</x:v>
      </x:c>
      <x:c r="V28" s="1223" t="str">
        <x:v>/Users/blacktraker/Programming/gitproj/DV4/SuperNPUBench/outputs/lowp_fullcache_C23_tK_sweep_20261019/table_update/before_nonhif4_FA_merge.xlsx</x:v>
      </x:c>
      <x:c r="W28" s="1223" t="n">
        <x:v>22</x:v>
      </x:c>
      <x:c r="X28" s="1223" t="str">
        <x:v>否</x:v>
      </x:c>
    </x:row>
    <x:row r="29" ht="48" customHeight="1">
      <x:c r="A29" s="1223" t="str">
        <x:v>FA</x:v>
      </x:c>
      <x:c r="B29" s="1223" t="str">
        <x:v>bf16</x:v>
      </x:c>
      <x:c r="C29" s="1223" t="str">
        <x:v>fp32</x:v>
      </x:c>
      <x:c r="D29" s="1223" t="n">
        <x:v>256</x:v>
      </x:c>
      <x:c r="E29" s="1223" t="str">
        <x:v>[1,8192,8,256]</x:v>
      </x:c>
      <x:c r="F29" s="1223" t="str">
        <x:v>BSND</x:v>
      </x:c>
      <x:c r="G29" s="1223" t="n">
        <x:v>128</x:v>
      </x:c>
      <x:c r="H29" s="1223" t="n">
        <x:v>8192</x:v>
      </x:c>
      <x:c r="I29" s="1224" t="str">
        <x:v>fa_gmma_opt; Tm=128; Tk=64</x:v>
      </x:c>
      <x:c r="J29" s="1225" t="n">
        <x:v>134777</x:v>
      </x:c>
      <x:c r="K29" s="1226" t="n">
        <x:f>J29/('Markdown完整列表'!$B$4*1000)</x:f>
        <x:v>84.235625</x:v>
      </x:c>
      <x:c r="L29" s="1225" t="n">
        <x:v>4096</x:v>
      </x:c>
      <x:c r="M29" s="1225" t="n">
        <x:f>2*G29*H29*D29/L29</x:f>
        <x:v>131072</x:v>
      </x:c>
      <x:c r="N29" s="1225" t="n">
        <x:v>17408</x:v>
      </x:c>
      <x:c r="O29" s="1227" t="n">
        <x:f>M29/J29</x:f>
        <x:v>0.9725101463899627</x:v>
      </x:c>
      <x:c r="P29" s="1226"/>
      <x:c r="Q29" s="1228"/>
      <x:c r="R29" s="1223" t="str">
        <x:v>PASS</x:v>
      </x:c>
      <x:c r="S29" s="1223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/Users/blacktraker/Programming/gitproj/DV4/SuperNPUBench/outputs/fa_bf16_fp32_d256_tk_sweep_20261019/tk64/build/kernel/fa/elf/kernel_fa_fa_gmma_opt_Sq128_Skv8192_Tm128_Tk64_qD256_vD256_X1_Y1_CubeBF16_VectorFP32.elf</x:v>
      </x:c>
      <x:c r="T29" s="1223" t="str">
        <x:v>2026-10-19 ASL Tk择优：Tk=64，PASS。保留原ELF，未重编。model=bdbafed55613955d0b8b27438e9e7d2a72dfccd2; ELF SHA256=a909c1d775a53f85623f725d3579ffd6485dd0758f08ee69bee6bf49c5811551; log=/Users/blacktraker/Programming/gitproj/DV4/SuperNPUBench/outputs/fa_bf16_fp32_d256_asl_custom_20261019/tk64.log。旧Tk=128记录保留于FA原始数据。</x:v>
      </x:c>
      <x:c r="U29" s="1270" t="str">
        <x:v>https://github.com/PTO-ISA/SuperNPUBench/blob/main/benchmark/one-level-arch/kernels/basic_op/fa/fa_gmma_kchains.hpp#L40</x:v>
      </x:c>
      <x:c r="V29" s="1223" t="str">
        <x:v>/Users/blacktraker/Programming/gitproj/DV4/SuperNPUBench/outputs/fa_asl_refresh_20261019/operator_performance_full_list_20261019_FA_ASL_refresh_code_paths_Tk64.xlsx</x:v>
      </x:c>
      <x:c r="W29" s="1223" t="n">
        <x:v>22</x:v>
      </x:c>
      <x:c r="X29" s="1223" t="str">
        <x:v>是</x:v>
      </x:c>
    </x:row>
    <x:row r="30" ht="48" customHeight="1">
      <x:c r="A30" s="1223" t="str">
        <x:v>FA</x:v>
      </x:c>
      <x:c r="B30" s="1223" t="str">
        <x:v>bf16</x:v>
      </x:c>
      <x:c r="C30" s="1223" t="str">
        <x:v>fp32</x:v>
      </x:c>
      <x:c r="D30" s="1223" t="n">
        <x:v>128</x:v>
      </x:c>
      <x:c r="E30" s="1223" t="str">
        <x:v>[1,8192,8,128]</x:v>
      </x:c>
      <x:c r="F30" s="1223" t="str">
        <x:v>BSND</x:v>
      </x:c>
      <x:c r="G30" s="1223" t="n">
        <x:v>128</x:v>
      </x:c>
      <x:c r="H30" s="1223" t="n">
        <x:v>8192</x:v>
      </x:c>
      <x:c r="I30" s="1224" t="str">
        <x:v>fa_gmma_opt; Tm=128; Tk=128</x:v>
      </x:c>
      <x:c r="J30" s="1225" t="n">
        <x:v>69102</x:v>
      </x:c>
      <x:c r="K30" s="1226" t="n">
        <x:f>J30/('Markdown完整列表'!$B$4*1000)</x:f>
        <x:v>43.18875</x:v>
      </x:c>
      <x:c r="L30" s="1225" t="n">
        <x:v>4096</x:v>
      </x:c>
      <x:c r="M30" s="1225" t="n">
        <x:f>2*G30*H30*D30/L30</x:f>
        <x:v>65536</x:v>
      </x:c>
      <x:c r="N30" s="1225"/>
      <x:c r="O30" s="1227" t="n">
        <x:f>M30/J30</x:f>
        <x:v>0.9483951260455559</x:v>
      </x:c>
      <x:c r="P30" s="1226"/>
      <x:c r="Q30" s="1228"/>
      <x:c r="R30" s="1223" t="str">
        <x:v>PASS</x:v>
      </x:c>
      <x:c r="S30" s="1223"/>
      <x:c r="T30" s="1223" t="str">
        <x:v>标准精度实测路径已替换为 fa_gmma_opt。 /Users/blacktraker/Programming/gitproj/DV4/SuperNPUBench/outputs/fa_gmma_opt_refresh_20261009/cases/fa_bf16_fp32_d128/gfsim.log</x:v>
      </x:c>
      <x:c r="U30" s="1270" t="str">
        <x:v>https://github.com/PTO-ISA/SuperNPUBench/blob/main/benchmark/one-level-arch/kernels/basic_op/fa/fa_gmma_kchains.hpp#L40</x:v>
      </x:c>
      <x:c r="V30" s="1223" t="str">
        <x:v>/Users/blacktraker/Programming/gitproj/DV4/SuperNPUBench/outputs/lowp_fullcache_C23_tK_sweep_20261019/table_update/before_nonhif4_FA_merge.xlsx</x:v>
      </x:c>
      <x:c r="W30" s="1223" t="n">
        <x:v>24</x:v>
      </x:c>
      <x:c r="X30" s="1223" t="str">
        <x:v>否</x:v>
      </x:c>
    </x:row>
    <x:row r="31" ht="48" customHeight="1">
      <x:c r="A31" s="1223" t="str">
        <x:v>FA</x:v>
      </x:c>
      <x:c r="B31" s="1223" t="str">
        <x:v>bf16</x:v>
      </x:c>
      <x:c r="C31" s="1223" t="str">
        <x:v>fp32</x:v>
      </x:c>
      <x:c r="D31" s="1223" t="n">
        <x:v>128</x:v>
      </x:c>
      <x:c r="E31" s="1223" t="str">
        <x:v>[1,8192,8,128]</x:v>
      </x:c>
      <x:c r="F31" s="1223" t="str">
        <x:v>BSND</x:v>
      </x:c>
      <x:c r="G31" s="1223" t="n">
        <x:v>128</x:v>
      </x:c>
      <x:c r="H31" s="1223" t="n">
        <x:v>8192</x:v>
      </x:c>
      <x:c r="I31" s="1224" t="str">
        <x:v>fa_gmma_opt; Tm=128; Tk=128</x:v>
      </x:c>
      <x:c r="J31" s="1225" t="n">
        <x:v>68326</x:v>
      </x:c>
      <x:c r="K31" s="1226" t="n">
        <x:f>J31/('Markdown完整列表'!$B$4*1000)</x:f>
        <x:v>42.70375</x:v>
      </x:c>
      <x:c r="L31" s="1225" t="n">
        <x:v>4096</x:v>
      </x:c>
      <x:c r="M31" s="1225" t="n">
        <x:f>2*G31*H31*D31/L31</x:f>
        <x:v>65536</x:v>
      </x:c>
      <x:c r="N31" s="1225" t="n">
        <x:v>16896</x:v>
      </x:c>
      <x:c r="O31" s="1227" t="n">
        <x:f>M31/J31</x:f>
        <x:v>0.9591663495594649</x:v>
      </x:c>
      <x:c r="P31" s="1226"/>
      <x:c r="Q31" s="1228"/>
      <x:c r="R31" s="1223" t="str">
        <x:v>PASS</x:v>
      </x:c>
      <x:c r="S31" s="1223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/Users/blacktraker/Programming/gitproj/DV4/SuperNPUBench/outputs/fa_kchains_softmax_rollback_20261019/cases/row24/build/kernel/fa/elf/kernel_fa_fa_gmma_opt_Sq128_Skv8192_Tm128_Tk128_X1_Y1_CubeBF16_VectorFP32.elf</x:v>
      </x:c>
      <x:c r="T31" s="1223" t="str">
        <x:v>2026-10-19 ASL gfsim复测 PASS。保留原ELF，未重编。model=bdbafed55613955d0b8b27438e9e7d2a72dfccd2; ELF SHA256=3d47f7d95240f9944fa6a43ab466810d6358a53ae5a07bf8cbfe47915f1a5059; log=/Users/blacktraker/Programming/gitproj/DV4/SuperNPUBench/outputs/fa_asl_refresh_20261019/row24.log</x:v>
      </x:c>
      <x:c r="U31" s="1270" t="str">
        <x:v>https://github.com/PTO-ISA/SuperNPUBench/blob/main/benchmark/one-level-arch/kernels/basic_op/fa/fa_gmma_kchains.hpp#L40</x:v>
      </x:c>
      <x:c r="V31" s="1223" t="str">
        <x:v>/Users/blacktraker/Programming/gitproj/DV4/SuperNPUBench/outputs/fa_asl_refresh_20261019/operator_performance_full_list_20261019_FA_ASL_refresh_code_paths_Tk64.xlsx</x:v>
      </x:c>
      <x:c r="W31" s="1223" t="n">
        <x:v>24</x:v>
      </x:c>
      <x:c r="X31" s="1223" t="str">
        <x:v>是</x:v>
      </x:c>
    </x:row>
    <x:row r="32" ht="48" customHeight="1">
      <x:c r="A32" s="1223" t="str">
        <x:v>FA</x:v>
      </x:c>
      <x:c r="B32" s="1223" t="str">
        <x:v>bf16</x:v>
      </x:c>
      <x:c r="C32" s="1223" t="str">
        <x:v>fp32</x:v>
      </x:c>
      <x:c r="D32" s="1223" t="n">
        <x:v>64</x:v>
      </x:c>
      <x:c r="E32" s="1223" t="str">
        <x:v>[1,8192,8,64]</x:v>
      </x:c>
      <x:c r="F32" s="1223" t="str">
        <x:v>BSND</x:v>
      </x:c>
      <x:c r="G32" s="1223" t="n">
        <x:v>128</x:v>
      </x:c>
      <x:c r="H32" s="1223" t="n">
        <x:v>8192</x:v>
      </x:c>
      <x:c r="I32" s="1224" t="str">
        <x:v>fa_gmma_opt; Tm=128; Tk=128</x:v>
      </x:c>
      <x:c r="J32" s="1225" t="n">
        <x:v>40950</x:v>
      </x:c>
      <x:c r="K32" s="1226" t="n">
        <x:f>J32/('Markdown完整列表'!$B$4*1000)</x:f>
        <x:v>25.59375</x:v>
      </x:c>
      <x:c r="L32" s="1225" t="n">
        <x:v>4096</x:v>
      </x:c>
      <x:c r="M32" s="1225" t="n">
        <x:f>2*G32*H32*D32/L32</x:f>
        <x:v>32768</x:v>
      </x:c>
      <x:c r="N32" s="1225"/>
      <x:c r="O32" s="1227" t="n">
        <x:f>M32/J32</x:f>
        <x:v>0.8001953601953602</x:v>
      </x:c>
      <x:c r="P32" s="1226"/>
      <x:c r="Q32" s="1228"/>
      <x:c r="R32" s="1223" t="str">
        <x:v>PASS</x:v>
      </x:c>
      <x:c r="S32" s="1223"/>
      <x:c r="T32" s="1223" t="str">
        <x:v>标准精度实测路径已替换为 fa_gmma_opt。 /Users/blacktraker/Programming/gitproj/DV4/SuperNPUBench/outputs/fa_gmma_opt_refresh_20261009/cases/fa_bf16_fp32_d64/gfsim.log</x:v>
      </x:c>
      <x:c r="U32" s="1270" t="str">
        <x:v>https://github.com/PTO-ISA/SuperNPUBench/blob/main/benchmark/one-level-arch/kernels/basic_op/fa/fa_gmma_kchains.hpp#L40</x:v>
      </x:c>
      <x:c r="V32" s="1223" t="str">
        <x:v>/Users/blacktraker/Programming/gitproj/DV4/SuperNPUBench/outputs/lowp_fullcache_C23_tK_sweep_20261019/table_update/before_nonhif4_FA_merge.xlsx</x:v>
      </x:c>
      <x:c r="W32" s="1223" t="n">
        <x:v>25</x:v>
      </x:c>
      <x:c r="X32" s="1223" t="str">
        <x:v>否</x:v>
      </x:c>
    </x:row>
    <x:row r="33" ht="48" customHeight="1">
      <x:c r="A33" s="1223" t="str">
        <x:v>FA</x:v>
      </x:c>
      <x:c r="B33" s="1223" t="str">
        <x:v>bf16</x:v>
      </x:c>
      <x:c r="C33" s="1223" t="str">
        <x:v>fp32</x:v>
      </x:c>
      <x:c r="D33" s="1223" t="n">
        <x:v>64</x:v>
      </x:c>
      <x:c r="E33" s="1223" t="str">
        <x:v>[1,8192,8,64]</x:v>
      </x:c>
      <x:c r="F33" s="1223" t="str">
        <x:v>BSND</x:v>
      </x:c>
      <x:c r="G33" s="1223" t="n">
        <x:v>128</x:v>
      </x:c>
      <x:c r="H33" s="1223" t="n">
        <x:v>8192</x:v>
      </x:c>
      <x:c r="I33" s="1224" t="str">
        <x:v>fa_gmma_opt; Tm=128; Tk=128</x:v>
      </x:c>
      <x:c r="J33" s="1225" t="n">
        <x:v>35282</x:v>
      </x:c>
      <x:c r="K33" s="1226" t="n">
        <x:f>J33/('Markdown完整列表'!$B$4*1000)</x:f>
        <x:v>22.05125</x:v>
      </x:c>
      <x:c r="L33" s="1225" t="n">
        <x:v>4096</x:v>
      </x:c>
      <x:c r="M33" s="1225" t="n">
        <x:f>2*G33*H33*D33/L33</x:f>
        <x:v>32768</x:v>
      </x:c>
      <x:c r="N33" s="1225" t="n">
        <x:v>16768</x:v>
      </x:c>
      <x:c r="O33" s="1227" t="n">
        <x:f>M33/J33</x:f>
        <x:v>0.9287455359673488</x:v>
      </x:c>
      <x:c r="P33" s="1226"/>
      <x:c r="Q33" s="1228"/>
      <x:c r="R33" s="1223" t="str">
        <x:v>PASS</x:v>
      </x:c>
      <x:c r="S33" s="1223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/Users/blacktraker/Programming/gitproj/DV4/SuperNPUBench/outputs/fa_kchains_softmax_rollback_20261019/cases/row25/build/kernel/fa/elf/kernel_fa_fa_gmma_opt_Sq128_Skv8192_Tm128_Tk128_qD64_vD64_X1_Y1_CubeBF16_VectorFP32.elf</x:v>
      </x:c>
      <x:c r="T33" s="1223" t="str">
        <x:v>2026-10-19 ASL gfsim复测 PASS。保留原ELF，未重编。model=bdbafed55613955d0b8b27438e9e7d2a72dfccd2; ELF SHA256=d778632a23cd52ec449090c656ec9d680e0af6f780617bc625e117ba415e76fb; log=/Users/blacktraker/Programming/gitproj/DV4/SuperNPUBench/outputs/fa_asl_refresh_20261019/row25.log</x:v>
      </x:c>
      <x:c r="U33" s="1270" t="str">
        <x:v>https://github.com/PTO-ISA/SuperNPUBench/blob/main/benchmark/one-level-arch/kernels/basic_op/fa/fa_gmma_kchains.hpp#L40</x:v>
      </x:c>
      <x:c r="V33" s="1223" t="str">
        <x:v>/Users/blacktraker/Programming/gitproj/DV4/SuperNPUBench/outputs/fa_asl_refresh_20261019/operator_performance_full_list_20261019_FA_ASL_refresh_code_paths_Tk64.xlsx</x:v>
      </x:c>
      <x:c r="W33" s="1223" t="n">
        <x:v>25</x:v>
      </x:c>
      <x:c r="X33" s="1223" t="str">
        <x:v>是</x:v>
      </x:c>
    </x:row>
    <x:row r="34" ht="48" customHeight="1">
      <x:c r="A34" s="1223" t="str">
        <x:v>FA</x:v>
      </x:c>
      <x:c r="B34" s="1223" t="str">
        <x:v>bf16</x:v>
      </x:c>
      <x:c r="C34" s="1223" t="str">
        <x:v>fp32</x:v>
      </x:c>
      <x:c r="D34" s="1223" t="n">
        <x:v>256</x:v>
      </x:c>
      <x:c r="E34" s="1223" t="str">
        <x:v>[1,8192,8,256]</x:v>
      </x:c>
      <x:c r="F34" s="1223" t="str">
        <x:v>BSND</x:v>
      </x:c>
      <x:c r="G34" s="1223" t="n">
        <x:v>128</x:v>
      </x:c>
      <x:c r="H34" s="1223" t="n">
        <x:v>8192</x:v>
      </x:c>
      <x:c r="I34" s="1224" t="str">
        <x:v>fa_gmma_opt; Tm=128; Tk=128</x:v>
      </x:c>
      <x:c r="J34" s="1225" t="n">
        <x:v>137365</x:v>
      </x:c>
      <x:c r="K34" s="1226" t="n">
        <x:f>J34/('Markdown完整列表'!$B$4*1000)</x:f>
        <x:v>85.853125</x:v>
      </x:c>
      <x:c r="L34" s="1225" t="n">
        <x:v>4096</x:v>
      </x:c>
      <x:c r="M34" s="1225" t="n">
        <x:f>2*G34*H34*D34/L34</x:f>
        <x:v>131072</x:v>
      </x:c>
      <x:c r="N34" s="1225" t="n">
        <x:v>17152</x:v>
      </x:c>
      <x:c r="O34" s="1227" t="n">
        <x:f>M34/J34</x:f>
        <x:v>0.9541877479707349</x:v>
      </x:c>
      <x:c r="P34" s="1226"/>
      <x:c r="Q34" s="1228"/>
      <x:c r="R34" s="1223" t="str">
        <x:v>PASS</x:v>
      </x:c>
      <x:c r="S34" s="1223" t="str">
        <x:v>cd /Users/blacktraker/Programming/gitproj/DV4/SuperScalarModel-asl &amp;&amp; ./bin/gfsim -s softcore.multiThreadNum=4 -s core.sharetreg_size_bytes=262144 -s core.sharetreg_ssb_count=64 -s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core.soc_lat_mean=260 -s core.soc_lat_random_seed=1 -s bfu.hwpf_nl_degree=32 -s bfu.hwpf_max_pending_req=32 -s bfu.bhc_pf_nostd=32 -s bfu.bhc_nostd=40 -f /Users/blacktraker/Programming/gitproj/DV4/SuperNPUBench/outputs/fa_kchains_softmax_rollback_20261019/cases/row22/build/kernel/fa/elf/kernel_fa_fa_gmma_opt_Sq128_Skv8192_Tm128_Tk128_qD256_vD256_X1_Y1_CubeBF16_VectorFP32.elf</x:v>
      </x:c>
      <x:c r="T34" s="1223" t="str">
        <x:v>2026-10-19 ASL gfsim复测 PASS。保留原ELF，未重编。model=bdbafed55613955d0b8b27438e9e7d2a72dfccd2; ELF SHA256=2ffab1554a41e78868f0103adb594904a5a3090d3341772f6e8fb17f7526a122; log=/Users/blacktraker/Programming/gitproj/DV4/SuperNPUBench/outputs/fa_asl_refresh_20261019/row22.log</x:v>
      </x:c>
      <x:c r="U34" s="1270" t="str">
        <x:v>https://github.com/PTO-ISA/SuperNPUBench/blob/main/benchmark/one-level-arch/kernels/basic_op/fa/fa_gmma_kchains.hpp#L40</x:v>
      </x:c>
      <x:c r="V34" s="1223" t="str">
        <x:v>/Users/blacktraker/Programming/gitproj/DV4/SuperNPUBench/outputs/fa_asl_refresh_20261019/operator_performance_full_list_20261019_FA_ASL_refresh_code_paths_Tk64.xlsx [FA原始数据]</x:v>
      </x:c>
      <x:c r="W34" s="1223" t="n">
        <x:v>2</x:v>
      </x:c>
      <x:c r="X34" s="1223" t="str">
        <x:v>否</x:v>
      </x:c>
    </x:row>
    <x:row r="35" ht="48" customHeight="1">
      <x:c r="A35" s="1205" t="str">
        <x:v>FA</x:v>
      </x:c>
      <x:c r="B35" s="1205" t="str">
        <x:v>mxfp4/hif4一阶</x:v>
      </x:c>
      <x:c r="C35" s="1205" t="str">
        <x:v>bf16</x:v>
      </x:c>
      <x:c r="D35" s="1205" t="n">
        <x:v>256</x:v>
      </x:c>
      <x:c r="E35" s="1205" t="str">
        <x:v>[1,8,65536,256]</x:v>
      </x:c>
      <x:c r="F35" s="1205" t="str">
        <x:v>BNSD</x:v>
      </x:c>
      <x:c r="G35" s="1205" t="n">
        <x:v>256</x:v>
      </x:c>
      <x:c r="H35" s="1205" t="n">
        <x:v>65536</x:v>
      </x:c>
      <x:c r="I35" s="1206" t="str">
        <x:v>AlgoD double-Q; Sq=256; Skv=65536; QD=VD=256
Tm=128; Tk=256; 新命令 BW156/lat300; diver=10000; size-class关</x:v>
      </x:c>
      <x:c r="J35" s="1207" t="n">
        <x:v>1088358</x:v>
      </x:c>
      <x:c r="K35" s="1208" t="n">
        <x:f>IF(J35="","",J35/('Markdown完整列表'!$B$4*1000))</x:f>
        <x:v>680.22375</x:v>
      </x:c>
      <x:c r="L35" s="1207" t="n">
        <x:v>32768</x:v>
      </x:c>
      <x:c r="M35" s="1207" t="n">
        <x:v>262144</x:v>
      </x:c>
      <x:c r="N35" s="1207" t="n">
        <x:v>138244</x:v>
      </x:c>
      <x:c r="O35" s="1209" t="n">
        <x:f>IF(J35="","",M35/J35)</x:f>
        <x:v>0.2408619222718995</x:v>
      </x:c>
      <x:c r="P35" s="1208" t="n">
        <x:v>217.23</x:v>
      </x:c>
      <x:c r="Q35" s="1210" t="str">
        <x:v>n.a.</x:v>
      </x:c>
      <x:c r="R35" s="1205" t="str">
        <x:v>完成，有告警</x:v>
      </x:c>
      <x:c r="S35" s="1205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/Users/blacktraker/Programming/gitproj/DV4/SuperNPUBench/outputs/algoc_algod_doubleq_compare_20261019/algD_D256.elf</x:v>
      </x:c>
      <x:c r="T35" s="1205" t="str"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e2e39ffbb1f9bfcb9754c8798c89208598f476205e28d4278da05240c40bc65b；ELF=/Users/blacktraker/Programming/gitproj/DV4/SuperNPUBench/outputs/algoc_algod_doubleq_compare_20261019/algD_D256.elf；log=/Users/blacktraker/Programming/gitproj/DV4/SuperNPUBench/outputs/fa_lat300_diver10000_20261020/row10.log。wakeup error=24。有告警，完成周期仅供参考。 实际MXFP4，未单独验证HIF4。零输入，未做RES_CHECK。Sq256与历史DV200 Sq128口径不同，时间比不适用。原GFSIM_*环境保留，见复现命令。</x:v>
      </x:c>
      <x:c r="U35" s="1269" t="str">
        <x:v>https://github.com/PTO-ISA/SuperNPUBench/blob/a96a6ec94723ce4d78ae8cb6938e6b65d6b7ac48/eval/perf_data/source_snapshots/20261019/fa_lowp_algD.hpp#L74</x:v>
      </x:c>
      <x:c r="V35" s="1205" t="str">
        <x:v>/Users/blacktraker/Programming/gitproj/DV4/SuperNPUBench/outputs/fa_lat300_diver10000_20261020/workbook_before.xlsx</x:v>
      </x:c>
      <x:c r="W35" s="1205" t="n">
        <x:v>10</x:v>
      </x:c>
      <x:c r="X35" s="1205" t="str">
        <x:v>对比</x:v>
      </x:c>
    </x:row>
    <x:row r="36" ht="48" customHeight="1">
      <x:c r="A36" s="1205" t="str">
        <x:v>FA</x:v>
      </x:c>
      <x:c r="B36" s="1205" t="str">
        <x:v>mxfp4/hif4一阶</x:v>
      </x:c>
      <x:c r="C36" s="1205" t="str">
        <x:v>bf16</x:v>
      </x:c>
      <x:c r="D36" s="1205" t="n">
        <x:v>192</x:v>
      </x:c>
      <x:c r="E36" s="1205" t="str">
        <x:v>[1,8,65536,128+64]</x:v>
      </x:c>
      <x:c r="F36" s="1205" t="str">
        <x:v>BNSD</x:v>
      </x:c>
      <x:c r="G36" s="1205" t="n">
        <x:v>256</x:v>
      </x:c>
      <x:c r="H36" s="1205" t="n">
        <x:v>65536</x:v>
      </x:c>
      <x:c r="I36" s="1206" t="str">
        <x:v>AlgoD double-Q; Sq=256; Skv=65536; QD=VD=192
Tm=128; Tk=256; 新命令 BW156/lat300; diver=10000; size-class关</x:v>
      </x:c>
      <x:c r="J36" s="1207"/>
      <x:c r="K36" s="1208" t="str">
        <x:f>IF(J36="","",J36/('Markdown完整列表'!$B$4*1000))</x:f>
      </x:c>
      <x:c r="L36" s="1207" t="n">
        <x:v>32768</x:v>
      </x:c>
      <x:c r="M36" s="1207" t="n">
        <x:v>196608</x:v>
      </x:c>
      <x:c r="N36" s="1207"/>
      <x:c r="O36" s="1209" t="str">
        <x:f>IF(J36="","",M36/J36)</x:f>
      </x:c>
      <x:c r="P36" s="1208" t="n">
        <x:v>133.76</x:v>
      </x:c>
      <x:c r="Q36" s="1210" t="str">
        <x:v>n.a.</x:v>
      </x:c>
      <x:c r="R36" s="1205" t="str">
        <x:v>ASSERT_FAIL</x:v>
      </x:c>
      <x:c r="S36" s="1205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/Users/blacktraker/Programming/gitproj/DV4/SuperNPUBench/outputs/algoc_algod_doubleq_compare_20261019/algD_D192.elf</x:v>
      </x:c>
      <x:c r="T36" s="1205" t="str"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ded77503f852a94fc338aab627869ae4eef44e1d6c4fd436e452ac67fae76e92；ELF=/Users/blacktraker/Programming/gitproj/DV4/SuperNPUBench/outputs/algoc_algod_doubleq_compare_20261019/algD_D192.elf；log=/Users/blacktraker/Programming/gitproj/DV4/SuperNPUBench/outputs/fa_lat300_diver10000_20261020/row11.log。wakeup error=0。[gfsim] caught std::exception: ASSERTION FAILED: rowBits != 0u &amp;&amp; (static_cast&lt;uint64_t&gt;(capacity) * 8u) % rowBits == 0u 实际MXFP4，未单独验证HIF4。零输入，未做RES_CHECK。Sq256与历史DV200 Sq128口径不同，时间比不适用。原GFSIM_*环境保留，见复现命令。</x:v>
      </x:c>
      <x:c r="U36" s="1269" t="str">
        <x:v>https://github.com/PTO-ISA/SuperNPUBench/blob/a96a6ec94723ce4d78ae8cb6938e6b65d6b7ac48/eval/perf_data/source_snapshots/20261019/fa_lowp_algD.hpp#L74</x:v>
      </x:c>
      <x:c r="V36" s="1205" t="str">
        <x:v>/Users/blacktraker/Programming/gitproj/DV4/SuperNPUBench/outputs/fa_lat300_diver10000_20261020/workbook_before.xlsx</x:v>
      </x:c>
      <x:c r="W36" s="1205" t="n">
        <x:v>11</x:v>
      </x:c>
      <x:c r="X36" s="1205" t="str">
        <x:v>对比</x:v>
      </x:c>
    </x:row>
    <x:row r="37" ht="48" customHeight="1">
      <x:c r="A37" s="1205" t="str">
        <x:v>FA</x:v>
      </x:c>
      <x:c r="B37" s="1205" t="str">
        <x:v>mxfp4/hif4一阶</x:v>
      </x:c>
      <x:c r="C37" s="1205" t="str">
        <x:v>bf16</x:v>
      </x:c>
      <x:c r="D37" s="1205" t="n">
        <x:v>128</x:v>
      </x:c>
      <x:c r="E37" s="1205" t="str">
        <x:v>[1,8,65536,128]</x:v>
      </x:c>
      <x:c r="F37" s="1205" t="str">
        <x:v>BNSD</x:v>
      </x:c>
      <x:c r="G37" s="1205" t="n">
        <x:v>256</x:v>
      </x:c>
      <x:c r="H37" s="1205" t="n">
        <x:v>65536</x:v>
      </x:c>
      <x:c r="I37" s="1206" t="str">
        <x:v>AlgoD double-Q; Sq=256; Skv=65536; QD=VD=128
Tm=128; Tk=256; 新命令 BW156/lat300; diver=10000; size-class关</x:v>
      </x:c>
      <x:c r="J37" s="1207" t="n">
        <x:v>187835</x:v>
      </x:c>
      <x:c r="K37" s="1208" t="n">
        <x:f>IF(J37="","",J37/('Markdown完整列表'!$B$4*1000))</x:f>
        <x:v>117.396875</x:v>
      </x:c>
      <x:c r="L37" s="1207" t="n">
        <x:v>32768</x:v>
      </x:c>
      <x:c r="M37" s="1207" t="n">
        <x:v>131072</x:v>
      </x:c>
      <x:c r="N37" s="1207" t="n">
        <x:v>137734</x:v>
      </x:c>
      <x:c r="O37" s="1209" t="n">
        <x:f>IF(J37="","",M37/J37)</x:f>
        <x:v>0.6978039236564005</x:v>
      </x:c>
      <x:c r="P37" s="1208" t="n">
        <x:v>123.79</x:v>
      </x:c>
      <x:c r="Q37" s="1210" t="str">
        <x:v>n.a.</x:v>
      </x:c>
      <x:c r="R37" s="1205" t="str">
        <x:v>完成，有告警</x:v>
      </x:c>
      <x:c r="S37" s="1205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/Users/blacktraker/Programming/gitproj/DV4/SuperNPUBench/outputs/algoc_algod_doubleq_compare_20261019/algD_D128.elf</x:v>
      </x:c>
      <x:c r="T37" s="1205" t="str">
        <x:v>2026-10-20 同ELF新命令对比，未重编。BW156/lat300，read/write_latency_diver=10000，SharedTReg带宽128B/cycle，tile_size_class_enable=false；shared含scale上限=94208B。model=bdbafed55613955d0b8b27438e9e7d2a72dfccd2；gfsim SHA256=6fe43c9f135981a296b515a46475a71649a4227fdaf1eb2f15abbd1f5930bf93；ELF SHA256=db317107d203cac3b782cd45085b035ff1e3af712f0b63e0bf5ddadee944eb38；ELF=/Users/blacktraker/Programming/gitproj/DV4/SuperNPUBench/outputs/algoc_algod_doubleq_compare_20261019/algD_D128.elf；log=/Users/blacktraker/Programming/gitproj/DV4/SuperNPUBench/outputs/fa_lat300_diver10000_20261020/row12.log。wakeup error=36。有告警，完成周期仅供参考。 实际MXFP4，未单独验证HIF4。零输入，未做RES_CHECK。Sq256与历史DV200 Sq128口径不同，时间比不适用。原GFSIM_*环境保留，见复现命令。</x:v>
      </x:c>
      <x:c r="U37" s="1269" t="str">
        <x:v>https://github.com/PTO-ISA/SuperNPUBench/blob/a96a6ec94723ce4d78ae8cb6938e6b65d6b7ac48/eval/perf_data/source_snapshots/20261019/fa_lowp_algD.hpp#L74</x:v>
      </x:c>
      <x:c r="V37" s="1205" t="str">
        <x:v>/Users/blacktraker/Programming/gitproj/DV4/SuperNPUBench/outputs/fa_lat300_diver10000_20261020/workbook_before.xlsx</x:v>
      </x:c>
      <x:c r="W37" s="1205" t="n">
        <x:v>12</x:v>
      </x:c>
      <x:c r="X37" s="1205" t="str">
        <x:v>对比</x:v>
      </x:c>
    </x:row>
    <x:row r="38" ht="48" customHeight="1">
      <x:c r="A38" s="1205" t="str">
        <x:v>FA</x:v>
      </x:c>
      <x:c r="B38" s="1205" t="str">
        <x:v>mxfp4/hif4一阶</x:v>
      </x:c>
      <x:c r="C38" s="1205" t="str">
        <x:v>bf16</x:v>
      </x:c>
      <x:c r="D38" s="1205" t="n">
        <x:v>64</x:v>
      </x:c>
      <x:c r="E38" s="1205" t="str">
        <x:v>[1,8,65536,64]</x:v>
      </x:c>
      <x:c r="F38" s="1205" t="str">
        <x:v>BNSD</x:v>
      </x:c>
      <x:c r="G38" s="1205" t="n">
        <x:v>256</x:v>
      </x:c>
      <x:c r="H38" s="1205" t="n">
        <x:v>65536</x:v>
      </x:c>
      <x:c r="I38" s="1206" t="str">
        <x:v>AlgoD double-Q; Sq=256; Skv=65536; QD=VD=64
Tm=128; Tk=256; 新命令 BW156/lat300; diver=10000; size-class关</x:v>
      </x:c>
      <x:c r="J38" s="1207" t="n">
        <x:v>187801</x:v>
      </x:c>
      <x:c r="K38" s="1208" t="n">
        <x:f>IF(J38="","",J38/('Markdown完整列表'!$B$4*1000))</x:f>
        <x:v>117.375625</x:v>
      </x:c>
      <x:c r="L38" s="1207" t="n">
        <x:v>32768</x:v>
      </x:c>
      <x:c r="M38" s="1207" t="n">
        <x:v>65536</x:v>
      </x:c>
      <x:c r="N38" s="1207" t="n">
        <x:v>137460</x:v>
      </x:c>
      <x:c r="O38" s="1209" t="n">
        <x:f>IF(J38="","",M38/J38)</x:f>
        <x:v>0.34896512798121415</x:v>
      </x:c>
      <x:c r="P38" s="1208" t="n">
        <x:v>114.52</x:v>
      </x:c>
      <x:c r="Q38" s="1210" t="str">
        <x:v>n.a.</x:v>
      </x:c>
      <x:c r="R38" s="1205" t="str">
        <x:v>完成，有告警</x:v>
      </x:c>
      <x:c r="S38" s="1205" t="str">
        <x:v>cd /Users/blacktraker/Programming/gitproj/DV4/SuperScalarModel-asl &amp;&amp; env GFSIM_VEC_L2_POLL=1 GFSIM_CMD_DISPATCH_BLOCKS=2 GFSIM_FUSION_TILE_BINDERS=1 GFSIM_CMD_DEFER_VEC_CAPACITY=1 GFSIM_VEC_L2_RENAME=1 GFSIM_VEC_L2_DEPTH=16 GFSIM_CMD_HOL_PROBE=1 GFSIM_VEC_RESOURCE_IQ=1 GFSIM_VEC_L1_INIT=1 GFSIM_VEC_L1_DEPTH=64 GFSIM_VEC_ROB_DEPTH=64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/Users/blacktraker/Programming/gitproj/DV4/SuperNPUBench/outputs/algoc_algod_doubleq_compare_20261019/algD_D64.elf</x:v>
      </x:c>
      <x:c r="T38" s="1205" t="str">
        <x:v>2026-10-20 同ELF新命令对比，未重编。BW156/lat300，read/write_latency_diver=10000，SharedTReg带宽128B/cycle，tile_size_class_enable=false；shared含scale上限=61440B。model=bdbafed55613955d0b8b27438e9e7d2a72dfccd2；gfsim SHA256=6fe43c9f135981a296b515a46475a71649a4227fdaf1eb2f15abbd1f5930bf93；ELF SHA256=bf9b0bd70ded13a4c02e0c4ed3207d72f2f26d4d339f139114b7562afc2773db；ELF=/Users/blacktraker/Programming/gitproj/DV4/SuperNPUBench/outputs/algoc_algod_doubleq_compare_20261019/algD_D64.elf；log=/Users/blacktraker/Programming/gitproj/DV4/SuperNPUBench/outputs/fa_lat300_diver10000_20261020/row13.log。wakeup error=104。有告警，完成周期仅供参考。 实际MXFP4，未单独验证HIF4。零输入，未做RES_CHECK。Sq256与历史DV200 Sq128口径不同，时间比不适用。原GFSIM_*环境保留，见复现命令。</x:v>
      </x:c>
      <x:c r="U38" s="1269" t="str">
        <x:v>https://github.com/PTO-ISA/SuperNPUBench/blob/a96a6ec94723ce4d78ae8cb6938e6b65d6b7ac48/eval/perf_data/source_snapshots/20261019/fa_lowp_algD.hpp#L74</x:v>
      </x:c>
      <x:c r="V38" s="1205" t="str">
        <x:v>/Users/blacktraker/Programming/gitproj/DV4/SuperNPUBench/outputs/fa_lat300_diver10000_20261020/workbook_before.xlsx</x:v>
      </x:c>
      <x:c r="W38" s="1205" t="n">
        <x:v>13</x:v>
      </x:c>
      <x:c r="X38" s="1205" t="str">
        <x:v>对比</x:v>
      </x:c>
    </x:row>
    <x:row r="39" ht="48" customHeight="1">
      <x:c r="A39" s="1329" t="str">
        <x:v>FA</x:v>
      </x:c>
      <x:c r="B39" s="1329" t="str">
        <x:v>fp8</x:v>
      </x:c>
      <x:c r="C39" s="1329" t="str">
        <x:v>fp32</x:v>
      </x:c>
      <x:c r="D39" s="1329" t="n">
        <x:v>256</x:v>
      </x:c>
      <x:c r="E39" s="1329" t="str">
        <x:v>[1,8192,8,256]</x:v>
      </x:c>
      <x:c r="F39" s="1329" t="str">
        <x:v>BSND</x:v>
      </x:c>
      <x:c r="G39" s="1329" t="n">
        <x:v>128</x:v>
      </x:c>
      <x:c r="H39" s="1329" t="n">
        <x:v>8192</x:v>
      </x:c>
      <x:c r="I39" s="1330" t="str">
        <x:v>fa_gmma_opt; Sq=128; Skv=8192; QD=VD=256
Tm=128; Tk=128; 新命令 BW156/lat300; diver=10000; size-class关</x:v>
      </x:c>
      <x:c r="J39" s="1331" t="n">
        <x:v>70106</x:v>
      </x:c>
      <x:c r="K39" s="1332" t="n">
        <x:f>IF(J39="","",J39/('Markdown完整列表'!$B$4*1000))</x:f>
        <x:v>43.81625</x:v>
      </x:c>
      <x:c r="L39" s="1331" t="n">
        <x:v>8192</x:v>
      </x:c>
      <x:c r="M39" s="1331" t="n">
        <x:v>65536</x:v>
      </x:c>
      <x:c r="N39" s="1331" t="n">
        <x:v>17152</x:v>
      </x:c>
      <x:c r="O39" s="1333" t="n">
        <x:f>IF(J39="","",M39/J39)</x:f>
        <x:v>0.9348129974609877</x:v>
      </x:c>
      <x:c r="P39" s="1332" t="n">
        <x:v>46.82</x:v>
      </x:c>
      <x:c r="Q39" s="1334" t="n">
        <x:f>IF(K39="","",K39/P39)</x:f>
        <x:v>0.9358447244767193</x:v>
      </x:c>
      <x:c r="R39" s="1329" t="str">
        <x:v>PASS</x:v>
      </x:c>
      <x:c r="S39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/Users/blacktraker/Programming/gitproj/DV4/SuperNPUBench/outputs/fa_kchains_softmax_rollback_20261019/cases/row14/build/kernel/fa/elf/kernel_fa_fa_gmma_opt_Sq128_Skv8192_Tm128_Tk128_qD256_vD256_X1_Y1_CubeFP8_VectorFP32.elf</x:v>
      </x:c>
      <x:c r="T39" s="1329" t="str"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060fd0524bd98412782a9a78c9ff2990f7d20ddd2c7af40fadbc8f800661b1fa；ELF=/Users/blacktraker/Programming/gitproj/DV4/SuperNPUBench/outputs/fa_kchains_softmax_rollback_20261019/cases/row14/build/kernel/fa/elf/kernel_fa_fa_gmma_opt_Sq128_Skv8192_Tm128_Tk128_qD256_vD256_X1_Y1_CubeFP8_VectorFP32.elf；log=/Users/blacktraker/Programming/gitproj/DV4/SuperNPUBench/outputs/fa_lat300_diver10000_20261020/row14.log。wakeup error=0。</x:v>
      </x:c>
      <x:c r="U39" s="1270" t="str">
        <x:v>https://github.com/PTO-ISA/SuperNPUBench/blob/main/benchmark/one-level-arch/kernels/basic_op/fa/fa_gmma_kchains.hpp#L40</x:v>
      </x:c>
      <x:c r="V39" s="1329" t="str">
        <x:v>/Users/blacktraker/Programming/gitproj/DV4/SuperNPUBench/outputs/fa_lat300_diver10000_20261020/workbook_before.xlsx</x:v>
      </x:c>
      <x:c r="W39" s="1329" t="n">
        <x:v>14</x:v>
      </x:c>
      <x:c r="X39" s="1329" t="str">
        <x:v>对比</x:v>
      </x:c>
    </x:row>
    <x:row r="40" ht="48" customHeight="1">
      <x:c r="A40" s="1329" t="str">
        <x:v>FA</x:v>
      </x:c>
      <x:c r="B40" s="1329" t="str">
        <x:v>fp8</x:v>
      </x:c>
      <x:c r="C40" s="1329" t="str">
        <x:v>fp32</x:v>
      </x:c>
      <x:c r="D40" s="1329" t="n">
        <x:v>192</x:v>
      </x:c>
      <x:c r="E40" s="1329" t="str">
        <x:v>[1,8192,8,128+64]</x:v>
      </x:c>
      <x:c r="F40" s="1329" t="str">
        <x:v>BSND</x:v>
      </x:c>
      <x:c r="G40" s="1329" t="n">
        <x:v>128</x:v>
      </x:c>
      <x:c r="H40" s="1329" t="n">
        <x:v>8192</x:v>
      </x:c>
      <x:c r="I40" s="1330" t="str">
        <x:v>fa_gmma_opt; Sq=128; Skv=8192; QD=VD=192
Tm=128; Tk=128; 新命令 BW156/lat300; diver=10000; size-class关</x:v>
      </x:c>
      <x:c r="J40" s="1331"/>
      <x:c r="K40" s="1332" t="str">
        <x:f>IF(J40="","",J40/('Markdown完整列表'!$B$4*1000))</x:f>
      </x:c>
      <x:c r="L40" s="1331" t="n">
        <x:v>8192</x:v>
      </x:c>
      <x:c r="M40" s="1331" t="n">
        <x:v>49152</x:v>
      </x:c>
      <x:c r="N40" s="1331"/>
      <x:c r="O40" s="1333" t="str">
        <x:f>IF(J40="","",M40/J40)</x:f>
      </x:c>
      <x:c r="P40" s="1332" t="n">
        <x:v>30.8</x:v>
      </x:c>
      <x:c r="Q40" s="1334" t="str">
        <x:f>IF(K40="","",K40/P40)</x:f>
      </x:c>
      <x:c r="R40" s="1329" t="str">
        <x:v>ASSERT_FAIL</x:v>
      </x:c>
      <x:c r="S40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/Users/blacktraker/Programming/gitproj/DV4/SuperNPUBench/outputs/fa_d192_validcol_refresh_20261010/cases/fa_fp8_fp32_d192/kernel/fa/elf/kernel_fa_fa_gmma_opt_Sq128_Skv8192_Tm128_Tk128_qD192_vD192_X1_Y1_CubeFP8_VectorFP32.elf</x:v>
      </x:c>
      <x:c r="T40" s="1329" t="str"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1e063182f4930700246781198e760c508aa15eebdef4b73e340e7f264bdd1b42；ELF=/Users/blacktraker/Programming/gitproj/DV4/SuperNPUBench/outputs/fa_d192_validcol_refresh_20261010/cases/fa_fp8_fp32_d192/kernel/fa/elf/kernel_fa_fa_gmma_opt_Sq128_Skv8192_Tm128_Tk128_qD192_vD192_X1_Y1_CubeFP8_VectorFP32.elf；log=/Users/blacktraker/Programming/gitproj/DV4/SuperNPUBench/outputs/fa_lat300_diver10000_20261020/row15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40" s="1270" t="str">
        <x:v>https://github.com/PTO-ISA/SuperNPUBench/blob/main/benchmark/one-level-arch/kernels/basic_op/fa/fa_gmma_kchains.hpp#L40</x:v>
      </x:c>
      <x:c r="V40" s="1329" t="str">
        <x:v>/Users/blacktraker/Programming/gitproj/DV4/SuperNPUBench/outputs/fa_lat300_diver10000_20261020/workbook_before.xlsx</x:v>
      </x:c>
      <x:c r="W40" s="1329" t="n">
        <x:v>15</x:v>
      </x:c>
      <x:c r="X40" s="1329" t="str">
        <x:v>对比</x:v>
      </x:c>
    </x:row>
    <x:row r="41" ht="48" customHeight="1">
      <x:c r="A41" s="1329" t="str">
        <x:v>FA</x:v>
      </x:c>
      <x:c r="B41" s="1329" t="str">
        <x:v>fp8</x:v>
      </x:c>
      <x:c r="C41" s="1329" t="str">
        <x:v>fp32</x:v>
      </x:c>
      <x:c r="D41" s="1329" t="n">
        <x:v>128</x:v>
      </x:c>
      <x:c r="E41" s="1329" t="str">
        <x:v>[1,8192,8,128]</x:v>
      </x:c>
      <x:c r="F41" s="1329" t="str">
        <x:v>BSND</x:v>
      </x:c>
      <x:c r="G41" s="1329" t="n">
        <x:v>128</x:v>
      </x:c>
      <x:c r="H41" s="1329" t="n">
        <x:v>8192</x:v>
      </x:c>
      <x:c r="I41" s="1330" t="str">
        <x:v>fa_gmma_opt; Sq=128; Skv=8192; QD=VD=128
Tm=128; Tk=128; 新命令 BW156/lat300; diver=10000; size-class关</x:v>
      </x:c>
      <x:c r="J41" s="1331" t="n">
        <x:v>36354</x:v>
      </x:c>
      <x:c r="K41" s="1332" t="n">
        <x:f>IF(J41="","",J41/('Markdown完整列表'!$B$4*1000))</x:f>
        <x:v>22.72125</x:v>
      </x:c>
      <x:c r="L41" s="1331" t="n">
        <x:v>8192</x:v>
      </x:c>
      <x:c r="M41" s="1331" t="n">
        <x:v>32768</x:v>
      </x:c>
      <x:c r="N41" s="1331" t="n">
        <x:v>16896</x:v>
      </x:c>
      <x:c r="O41" s="1333" t="n">
        <x:f>IF(J41="","",M41/J41)</x:f>
        <x:v>0.901358860097926</x:v>
      </x:c>
      <x:c r="P41" s="1332" t="n">
        <x:v>29.96</x:v>
      </x:c>
      <x:c r="Q41" s="1334" t="n">
        <x:f>IF(K41="","",K41/P41)</x:f>
        <x:v>0.7583861815754339</x:v>
      </x:c>
      <x:c r="R41" s="1329" t="str">
        <x:v>完成，有告警</x:v>
      </x:c>
      <x:c r="S41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/Users/blacktraker/Programming/gitproj/DV4/SuperNPUBench/outputs/fa_kchains_softmax_rollback_20261019/cases/row16/build/kernel/fa/elf/kernel_fa_fa_gmma_opt_Sq128_Skv8192_Tm128_Tk128_X1_Y1_CubeFP8_VectorFP32.elf</x:v>
      </x:c>
      <x:c r="T41" s="1329" t="str">
        <x:v>2026-10-20 同ELF新命令对比，未重编。BW156/lat300，read/write_latency_diver=10000，SharedTReg带宽128B/cycle，tile_size_class_enable=false；shared含scale上限=49152B。model=bdbafed55613955d0b8b27438e9e7d2a72dfccd2；gfsim SHA256=6fe43c9f135981a296b515a46475a71649a4227fdaf1eb2f15abbd1f5930bf93；ELF SHA256=9b4a762543ca92ce074bd00f86b660ee3d6597bee39452c714bdbe7df0130a4d；ELF=/Users/blacktraker/Programming/gitproj/DV4/SuperNPUBench/outputs/fa_kchains_softmax_rollback_20261019/cases/row16/build/kernel/fa/elf/kernel_fa_fa_gmma_opt_Sq128_Skv8192_Tm128_Tk128_X1_Y1_CubeFP8_VectorFP32.elf；log=/Users/blacktraker/Programming/gitproj/DV4/SuperNPUBench/outputs/fa_lat300_diver10000_20261020/row16.log。wakeup error=4。有告警，完成周期仅供参考。</x:v>
      </x:c>
      <x:c r="U41" s="1270" t="str">
        <x:v>https://github.com/PTO-ISA/SuperNPUBench/blob/main/benchmark/one-level-arch/kernels/basic_op/fa/fa_gmma_kchains.hpp#L40</x:v>
      </x:c>
      <x:c r="V41" s="1329" t="str">
        <x:v>/Users/blacktraker/Programming/gitproj/DV4/SuperNPUBench/outputs/fa_lat300_diver10000_20261020/workbook_before.xlsx</x:v>
      </x:c>
      <x:c r="W41" s="1329" t="n">
        <x:v>16</x:v>
      </x:c>
      <x:c r="X41" s="1329" t="str">
        <x:v>对比</x:v>
      </x:c>
    </x:row>
    <x:row r="42" ht="48" customHeight="1">
      <x:c r="A42" s="1329" t="str">
        <x:v>FA</x:v>
      </x:c>
      <x:c r="B42" s="1329" t="str">
        <x:v>fp8</x:v>
      </x:c>
      <x:c r="C42" s="1329" t="str">
        <x:v>fp32</x:v>
      </x:c>
      <x:c r="D42" s="1329" t="n">
        <x:v>64</x:v>
      </x:c>
      <x:c r="E42" s="1329" t="str">
        <x:v>[1,8192,8,64]</x:v>
      </x:c>
      <x:c r="F42" s="1329" t="str">
        <x:v>BSND</x:v>
      </x:c>
      <x:c r="G42" s="1329" t="n">
        <x:v>128</x:v>
      </x:c>
      <x:c r="H42" s="1329" t="n">
        <x:v>8192</x:v>
      </x:c>
      <x:c r="I42" s="1330" t="str">
        <x:v>fa_gmma_opt; Sq=128; Skv=8192; QD=VD=64
Tm=128; Tk=128; 新命令 BW156/lat300; diver=10000; size-class关</x:v>
      </x:c>
      <x:c r="J42" s="1331" t="n">
        <x:v>26876</x:v>
      </x:c>
      <x:c r="K42" s="1332" t="n">
        <x:f>IF(J42="","",J42/('Markdown完整列表'!$B$4*1000))</x:f>
        <x:v>16.7975</x:v>
      </x:c>
      <x:c r="L42" s="1331" t="n">
        <x:v>8192</x:v>
      </x:c>
      <x:c r="M42" s="1331" t="n">
        <x:v>16384</x:v>
      </x:c>
      <x:c r="N42" s="1331" t="n">
        <x:v>16768</x:v>
      </x:c>
      <x:c r="O42" s="1333" t="n">
        <x:f>IF(J42="","",M42/J42)</x:f>
        <x:v>0.6096145259711266</x:v>
      </x:c>
      <x:c r="P42" s="1332" t="n">
        <x:v>29.39</x:v>
      </x:c>
      <x:c r="Q42" s="1334" t="n">
        <x:f>IF(K42="","",K42/P42)</x:f>
        <x:v>0.5715379380741749</x:v>
      </x:c>
      <x:c r="R42" s="1329" t="str">
        <x:v>完成，有告警</x:v>
      </x:c>
      <x:c r="S42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/Users/blacktraker/Programming/gitproj/DV4/SuperNPUBench/outputs/fa_kchains_softmax_rollback_20261019/cases/row17/build/kernel/fa/elf/kernel_fa_fa_gmma_opt_Sq128_Skv8192_Tm128_Tk128_qD64_vD64_X1_Y1_CubeFP8_VectorFP32.elf</x:v>
      </x:c>
      <x:c r="T42" s="1329" t="str">
        <x:v>2026-10-20 同ELF新命令对比，未重编。BW156/lat300，read/write_latency_diver=10000，SharedTReg带宽128B/cycle，tile_size_class_enable=false；shared含scale上限=24576B。model=bdbafed55613955d0b8b27438e9e7d2a72dfccd2；gfsim SHA256=6fe43c9f135981a296b515a46475a71649a4227fdaf1eb2f15abbd1f5930bf93；ELF SHA256=63c0a9b7b4b04234c0f2bcee16c07a507f1bb01705ab1c0bcdce8c4e68a4456f；ELF=/Users/blacktraker/Programming/gitproj/DV4/SuperNPUBench/outputs/fa_kchains_softmax_rollback_20261019/cases/row17/build/kernel/fa/elf/kernel_fa_fa_gmma_opt_Sq128_Skv8192_Tm128_Tk128_qD64_vD64_X1_Y1_CubeFP8_VectorFP32.elf；log=/Users/blacktraker/Programming/gitproj/DV4/SuperNPUBench/outputs/fa_lat300_diver10000_20261020/row17.log。wakeup error=4。有告警，完成周期仅供参考。</x:v>
      </x:c>
      <x:c r="U42" s="1270" t="str">
        <x:v>https://github.com/PTO-ISA/SuperNPUBench/blob/main/benchmark/one-level-arch/kernels/basic_op/fa/fa_gmma_kchains.hpp#L40</x:v>
      </x:c>
      <x:c r="V42" s="1329" t="str">
        <x:v>/Users/blacktraker/Programming/gitproj/DV4/SuperNPUBench/outputs/fa_lat300_diver10000_20261020/workbook_before.xlsx</x:v>
      </x:c>
      <x:c r="W42" s="1329" t="n">
        <x:v>17</x:v>
      </x:c>
      <x:c r="X42" s="1329" t="str">
        <x:v>对比</x:v>
      </x:c>
    </x:row>
    <x:row r="43" ht="48" customHeight="1">
      <x:c r="A43" s="1329" t="str">
        <x:v>FA</x:v>
      </x:c>
      <x:c r="B43" s="1329" t="str">
        <x:v>fp8</x:v>
      </x:c>
      <x:c r="C43" s="1329" t="str">
        <x:v>bf16</x:v>
      </x:c>
      <x:c r="D43" s="1329" t="n">
        <x:v>256</x:v>
      </x:c>
      <x:c r="E43" s="1329" t="str">
        <x:v>[1,8192,8,256]</x:v>
      </x:c>
      <x:c r="F43" s="1329" t="str">
        <x:v>BSND</x:v>
      </x:c>
      <x:c r="G43" s="1329" t="n">
        <x:v>128</x:v>
      </x:c>
      <x:c r="H43" s="1329" t="n">
        <x:v>8192</x:v>
      </x:c>
      <x:c r="I43" s="1330" t="str">
        <x:v>fa_gmma_opt; Sq=128; Skv=8192; QD=VD=256
Tm=128; Tk=128; 新命令 BW156/lat300; diver=10000; size-class关</x:v>
      </x:c>
      <x:c r="J43" s="1331" t="n">
        <x:v>69821</x:v>
      </x:c>
      <x:c r="K43" s="1332" t="n">
        <x:f>IF(J43="","",J43/('Markdown完整列表'!$B$4*1000))</x:f>
        <x:v>43.638125</x:v>
      </x:c>
      <x:c r="L43" s="1331" t="n">
        <x:v>8192</x:v>
      </x:c>
      <x:c r="M43" s="1331" t="n">
        <x:v>65536</x:v>
      </x:c>
      <x:c r="N43" s="1331" t="n">
        <x:v>8960</x:v>
      </x:c>
      <x:c r="O43" s="1333" t="n">
        <x:f>IF(J43="","",M43/J43)</x:f>
        <x:v>0.9386287793070852</x:v>
      </x:c>
      <x:c r="P43" s="1332" t="n">
        <x:v>46.8</x:v>
      </x:c>
      <x:c r="Q43" s="1334" t="n">
        <x:f>IF(K43="","",K43/P43)</x:f>
        <x:v>0.9324385683760685</x:v>
      </x:c>
      <x:c r="R43" s="1329" t="str">
        <x:v>PASS</x:v>
      </x:c>
      <x:c r="S43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/Users/blacktraker/Programming/gitproj/DV4/SuperNPUBench/outputs/fa_kchains_softmax_rollback_20261019/cases/row18/build/kernel/fa/elf/kernel_fa_fa_gmma_opt_Sq128_Skv8192_Tm128_Tk128_qD256_vD256_X1_Y1_CubeFP8_VectorBF16.elf</x:v>
      </x:c>
      <x:c r="T43" s="1329" t="str"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be1172f1260e65901e2070125df8b78d68dbc31a357ccd8bb15e2c8480876ac2；ELF=/Users/blacktraker/Programming/gitproj/DV4/SuperNPUBench/outputs/fa_kchains_softmax_rollback_20261019/cases/row18/build/kernel/fa/elf/kernel_fa_fa_gmma_opt_Sq128_Skv8192_Tm128_Tk128_qD256_vD256_X1_Y1_CubeFP8_VectorBF16.elf；log=/Users/blacktraker/Programming/gitproj/DV4/SuperNPUBench/outputs/fa_lat300_diver10000_20261020/row18.log。wakeup error=0。</x:v>
      </x:c>
      <x:c r="U43" s="1270" t="str">
        <x:v>https://github.com/PTO-ISA/SuperNPUBench/blob/main/benchmark/one-level-arch/kernels/basic_op/fa/fa_gmma_kchains.hpp#L40</x:v>
      </x:c>
      <x:c r="V43" s="1329" t="str">
        <x:v>/Users/blacktraker/Programming/gitproj/DV4/SuperNPUBench/outputs/fa_lat300_diver10000_20261020/workbook_before.xlsx</x:v>
      </x:c>
      <x:c r="W43" s="1329" t="n">
        <x:v>18</x:v>
      </x:c>
      <x:c r="X43" s="1329" t="str">
        <x:v>对比</x:v>
      </x:c>
    </x:row>
    <x:row r="44" ht="48" customHeight="1">
      <x:c r="A44" s="1329" t="str">
        <x:v>FA</x:v>
      </x:c>
      <x:c r="B44" s="1329" t="str">
        <x:v>fp8</x:v>
      </x:c>
      <x:c r="C44" s="1329" t="str">
        <x:v>bf16</x:v>
      </x:c>
      <x:c r="D44" s="1329" t="n">
        <x:v>192</x:v>
      </x:c>
      <x:c r="E44" s="1329" t="str">
        <x:v>[1,8192,8,128+64]</x:v>
      </x:c>
      <x:c r="F44" s="1329" t="str">
        <x:v>BSND</x:v>
      </x:c>
      <x:c r="G44" s="1329" t="n">
        <x:v>128</x:v>
      </x:c>
      <x:c r="H44" s="1329" t="n">
        <x:v>8192</x:v>
      </x:c>
      <x:c r="I44" s="1330" t="str">
        <x:v>fa_gmma_opt; Sq=128; Skv=8192; QD=VD=192
Tm=128; Tk=256; 新命令 BW156/lat300; diver=10000; size-class关</x:v>
      </x:c>
      <x:c r="J44" s="1331"/>
      <x:c r="K44" s="1332" t="str">
        <x:f>IF(J44="","",J44/('Markdown完整列表'!$B$4*1000))</x:f>
      </x:c>
      <x:c r="L44" s="1331" t="n">
        <x:v>8192</x:v>
      </x:c>
      <x:c r="M44" s="1331" t="n">
        <x:v>49152</x:v>
      </x:c>
      <x:c r="N44" s="1331"/>
      <x:c r="O44" s="1333" t="str">
        <x:f>IF(J44="","",M44/J44)</x:f>
      </x:c>
      <x:c r="P44" s="1332" t="n">
        <x:v>29.84</x:v>
      </x:c>
      <x:c r="Q44" s="1334" t="str">
        <x:f>IF(K44="","",K44/P44)</x:f>
      </x:c>
      <x:c r="R44" s="1329" t="str">
        <x:v>ASSERT_FAIL</x:v>
      </x:c>
      <x:c r="S44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/Users/blacktraker/Programming/gitproj/DV4/SuperNPUBench/outputs/fa_d192_validcol_refresh_20261010/cases/fa_fp8_bf16_d192/kernel/fa/elf/kernel_fa_fa_gmma_opt_Sq128_Skv8192_Tm128_Tk256_qD192_vD192_X1_Y1_CubeFP8_VectorBF16.elf</x:v>
      </x:c>
      <x:c r="T44" s="1329" t="str">
        <x:v>2026-10-20 同ELF新命令对比，未重编。BW156/lat300，read/write_latency_diver=10000，SharedTReg带宽128B/cycle，tile_size_class_enable=false；shared含scale上限=163840B。model=bdbafed55613955d0b8b27438e9e7d2a72dfccd2；gfsim SHA256=6fe43c9f135981a296b515a46475a71649a4227fdaf1eb2f15abbd1f5930bf93；ELF SHA256=49aa2696678f705e55ce4f4d09755ffbbcd553d17c99c930eb216bed7207ea05；ELF=/Users/blacktraker/Programming/gitproj/DV4/SuperNPUBench/outputs/fa_d192_validcol_refresh_20261010/cases/fa_fp8_bf16_d192/kernel/fa/elf/kernel_fa_fa_gmma_opt_Sq128_Skv8192_Tm128_Tk256_qD192_vD192_X1_Y1_CubeFP8_VectorBF16.elf；log=/Users/blacktraker/Programming/gitproj/DV4/SuperNPUBench/outputs/fa_lat300_diver10000_20261020/row19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44" s="1270" t="str">
        <x:v>https://github.com/PTO-ISA/SuperNPUBench/blob/main/benchmark/one-level-arch/kernels/basic_op/fa/fa_gmma_kchains.hpp#L40</x:v>
      </x:c>
      <x:c r="V44" s="1329" t="str">
        <x:v>/Users/blacktraker/Programming/gitproj/DV4/SuperNPUBench/outputs/fa_lat300_diver10000_20261020/workbook_before.xlsx</x:v>
      </x:c>
      <x:c r="W44" s="1329" t="n">
        <x:v>19</x:v>
      </x:c>
      <x:c r="X44" s="1329" t="str">
        <x:v>对比</x:v>
      </x:c>
    </x:row>
    <x:row r="45" ht="48" customHeight="1">
      <x:c r="A45" s="1329" t="str">
        <x:v>FA</x:v>
      </x:c>
      <x:c r="B45" s="1329" t="str">
        <x:v>fp8</x:v>
      </x:c>
      <x:c r="C45" s="1329" t="str">
        <x:v>bf16</x:v>
      </x:c>
      <x:c r="D45" s="1329" t="n">
        <x:v>128</x:v>
      </x:c>
      <x:c r="E45" s="1329" t="str">
        <x:v>[1,8192,8,128]</x:v>
      </x:c>
      <x:c r="F45" s="1329" t="str">
        <x:v>BSND</x:v>
      </x:c>
      <x:c r="G45" s="1329" t="n">
        <x:v>128</x:v>
      </x:c>
      <x:c r="H45" s="1329" t="n">
        <x:v>8192</x:v>
      </x:c>
      <x:c r="I45" s="1330" t="str">
        <x:v>fa_gmma_opt; Sq=128; Skv=8192; QD=VD=128
Tm=128; Tk=256; 新命令 BW156/lat300; diver=10000; size-class关</x:v>
      </x:c>
      <x:c r="J45" s="1331" t="n">
        <x:v>36171</x:v>
      </x:c>
      <x:c r="K45" s="1332" t="n">
        <x:f>IF(J45="","",J45/('Markdown完整列表'!$B$4*1000))</x:f>
        <x:v>22.606875</x:v>
      </x:c>
      <x:c r="L45" s="1331" t="n">
        <x:v>8192</x:v>
      </x:c>
      <x:c r="M45" s="1331" t="n">
        <x:v>32768</x:v>
      </x:c>
      <x:c r="N45" s="1331" t="n">
        <x:v>8576</x:v>
      </x:c>
      <x:c r="O45" s="1333" t="n">
        <x:f>IF(J45="","",M45/J45)</x:f>
        <x:v>0.9059191064665063</x:v>
      </x:c>
      <x:c r="P45" s="1332" t="n">
        <x:v>23.94</x:v>
      </x:c>
      <x:c r="Q45" s="1334" t="n">
        <x:f>IF(K45="","",K45/P45)</x:f>
        <x:v>0.944313909774436</x:v>
      </x:c>
      <x:c r="R45" s="1329" t="str">
        <x:v>PASS</x:v>
      </x:c>
      <x:c r="S45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/Users/blacktraker/Programming/gitproj/DV4/SuperNPUBench/outputs/fa_kchains_softmax_rollback_20261019/cases/row20/build/kernel/fa/elf/kernel_fa_fa_gmma_opt_Sq128_Skv8192_Tm128_Tk256_X1_Y1_CubeFP8_VectorBF16.elf</x:v>
      </x:c>
      <x:c r="T45" s="1329" t="str">
        <x:v>2026-10-20 同ELF新命令对比，未重编。BW156/lat300，read/write_latency_diver=10000，SharedTReg带宽128B/cycle，tile_size_class_enable=false；shared含scale上限=81920B。model=bdbafed55613955d0b8b27438e9e7d2a72dfccd2；gfsim SHA256=6fe43c9f135981a296b515a46475a71649a4227fdaf1eb2f15abbd1f5930bf93；ELF SHA256=65059329f86dce5bcc68ccbc1f910774ac00ac5cc807f72764a12f4fa326ba0b；ELF=/Users/blacktraker/Programming/gitproj/DV4/SuperNPUBench/outputs/fa_kchains_softmax_rollback_20261019/cases/row20/build/kernel/fa/elf/kernel_fa_fa_gmma_opt_Sq128_Skv8192_Tm128_Tk256_X1_Y1_CubeFP8_VectorBF16.elf；log=/Users/blacktraker/Programming/gitproj/DV4/SuperNPUBench/outputs/fa_lat300_diver10000_20261020/row20.log。wakeup error=0。</x:v>
      </x:c>
      <x:c r="U45" s="1270" t="str">
        <x:v>https://github.com/PTO-ISA/SuperNPUBench/blob/main/benchmark/one-level-arch/kernels/basic_op/fa/fa_gmma_kchains.hpp#L40</x:v>
      </x:c>
      <x:c r="V45" s="1329" t="str">
        <x:v>/Users/blacktraker/Programming/gitproj/DV4/SuperNPUBench/outputs/fa_lat300_diver10000_20261020/workbook_before.xlsx</x:v>
      </x:c>
      <x:c r="W45" s="1329" t="n">
        <x:v>20</x:v>
      </x:c>
      <x:c r="X45" s="1329" t="str">
        <x:v>对比</x:v>
      </x:c>
    </x:row>
    <x:row r="46" ht="48" customHeight="1">
      <x:c r="A46" s="1329" t="str">
        <x:v>FA</x:v>
      </x:c>
      <x:c r="B46" s="1329" t="str">
        <x:v>fp8</x:v>
      </x:c>
      <x:c r="C46" s="1329" t="str">
        <x:v>bf16</x:v>
      </x:c>
      <x:c r="D46" s="1329" t="n">
        <x:v>64</x:v>
      </x:c>
      <x:c r="E46" s="1329" t="str">
        <x:v>[1,8192,8,64]</x:v>
      </x:c>
      <x:c r="F46" s="1329" t="str">
        <x:v>BSND</x:v>
      </x:c>
      <x:c r="G46" s="1329" t="n">
        <x:v>128</x:v>
      </x:c>
      <x:c r="H46" s="1329" t="n">
        <x:v>8192</x:v>
      </x:c>
      <x:c r="I46" s="1330" t="str">
        <x:v>fa_gmma_opt; Sq=128; Skv=8192; QD=VD=64
Tm=128; Tk=256; 新命令 BW156/lat300; diver=10000; size-class关</x:v>
      </x:c>
      <x:c r="J46" s="1331" t="n">
        <x:v>19518</x:v>
      </x:c>
      <x:c r="K46" s="1332" t="n">
        <x:f>IF(J46="","",J46/('Markdown完整列表'!$B$4*1000))</x:f>
        <x:v>12.19875</x:v>
      </x:c>
      <x:c r="L46" s="1331" t="n">
        <x:v>8192</x:v>
      </x:c>
      <x:c r="M46" s="1331" t="n">
        <x:v>16384</x:v>
      </x:c>
      <x:c r="N46" s="1331" t="n">
        <x:v>8448</x:v>
      </x:c>
      <x:c r="O46" s="1333" t="n">
        <x:f>IF(J46="","",M46/J46)</x:f>
        <x:v>0.8394302694948252</x:v>
      </x:c>
      <x:c r="P46" s="1332" t="n">
        <x:v>16.12</x:v>
      </x:c>
      <x:c r="Q46" s="1334" t="n">
        <x:f>IF(K46="","",K46/P46)</x:f>
        <x:v>0.7567462779156328</x:v>
      </x:c>
      <x:c r="R46" s="1329" t="str">
        <x:v>PASS</x:v>
      </x:c>
      <x:c r="S46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/Users/blacktraker/Programming/gitproj/DV4/SuperNPUBench/outputs/fa_kchains_softmax_rollback_20261019/cases/row21/build/kernel/fa/elf/kernel_fa_fa_gmma_opt_Sq128_Skv8192_Tm128_Tk256_qD64_vD64_X1_Y1_CubeFP8_VectorBF16.elf</x:v>
      </x:c>
      <x:c r="T46" s="1329" t="str">
        <x:v>2026-10-20 同ELF新命令对比，未重编。BW156/lat300，read/write_latency_diver=10000，SharedTReg带宽128B/cycle，tile_size_class_enable=false；shared含scale上限=40960B。model=bdbafed55613955d0b8b27438e9e7d2a72dfccd2；gfsim SHA256=6fe43c9f135981a296b515a46475a71649a4227fdaf1eb2f15abbd1f5930bf93；ELF SHA256=abd7e0c899b9ef8bbc5cc05f0993fa53dbc887459df1b80385f068ed0c2a79ed；ELF=/Users/blacktraker/Programming/gitproj/DV4/SuperNPUBench/outputs/fa_kchains_softmax_rollback_20261019/cases/row21/build/kernel/fa/elf/kernel_fa_fa_gmma_opt_Sq128_Skv8192_Tm128_Tk256_qD64_vD64_X1_Y1_CubeFP8_VectorBF16.elf；log=/Users/blacktraker/Programming/gitproj/DV4/SuperNPUBench/outputs/fa_lat300_diver10000_20261020/row21.log。wakeup error=0。</x:v>
      </x:c>
      <x:c r="U46" s="1270" t="str">
        <x:v>https://github.com/PTO-ISA/SuperNPUBench/blob/main/benchmark/one-level-arch/kernels/basic_op/fa/fa_gmma_kchains.hpp#L40</x:v>
      </x:c>
      <x:c r="V46" s="1329" t="str">
        <x:v>/Users/blacktraker/Programming/gitproj/DV4/SuperNPUBench/outputs/fa_lat300_diver10000_20261020/workbook_before.xlsx</x:v>
      </x:c>
      <x:c r="W46" s="1329" t="n">
        <x:v>21</x:v>
      </x:c>
      <x:c r="X46" s="1329" t="str">
        <x:v>对比</x:v>
      </x:c>
    </x:row>
    <x:row r="47" ht="48" customHeight="1">
      <x:c r="A47" s="1329" t="str">
        <x:v>FA</x:v>
      </x:c>
      <x:c r="B47" s="1329" t="str">
        <x:v>bf16</x:v>
      </x:c>
      <x:c r="C47" s="1329" t="str">
        <x:v>fp32</x:v>
      </x:c>
      <x:c r="D47" s="1329" t="n">
        <x:v>256</x:v>
      </x:c>
      <x:c r="E47" s="1329" t="str">
        <x:v>[1,8192,8,256]</x:v>
      </x:c>
      <x:c r="F47" s="1329" t="str">
        <x:v>BSND</x:v>
      </x:c>
      <x:c r="G47" s="1329" t="n">
        <x:v>128</x:v>
      </x:c>
      <x:c r="H47" s="1329" t="n">
        <x:v>8192</x:v>
      </x:c>
      <x:c r="I47" s="1330" t="str">
        <x:v>fa_gmma_opt; Sq=128; Skv=8192; QD=VD=256
Tm=128; Tk=64; 新命令 BW156/lat300; diver=10000; size-class关</x:v>
      </x:c>
      <x:c r="J47" s="1331" t="n">
        <x:v>135951</x:v>
      </x:c>
      <x:c r="K47" s="1332" t="n">
        <x:f>IF(J47="","",J47/('Markdown完整列表'!$B$4*1000))</x:f>
        <x:v>84.969375</x:v>
      </x:c>
      <x:c r="L47" s="1331" t="n">
        <x:v>4096</x:v>
      </x:c>
      <x:c r="M47" s="1331" t="n">
        <x:v>131072</x:v>
      </x:c>
      <x:c r="N47" s="1331" t="n">
        <x:v>17408</x:v>
      </x:c>
      <x:c r="O47" s="1333" t="n">
        <x:f>IF(J47="","",M47/J47)</x:f>
        <x:v>0.9641120697898508</x:v>
      </x:c>
      <x:c r="P47" s="1332"/>
      <x:c r="Q47" s="1334" t="str">
        <x:v>n.a.</x:v>
      </x:c>
      <x:c r="R47" s="1329" t="str">
        <x:v>PASS</x:v>
      </x:c>
      <x:c r="S47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/Users/blacktraker/Programming/gitproj/DV4/SuperNPUBench/outputs/fa_bf16_fp32_d256_tk_sweep_20261019/tk64/build/kernel/fa/elf/kernel_fa_fa_gmma_opt_Sq128_Skv8192_Tm128_Tk64_qD256_vD256_X1_Y1_CubeBF16_VectorFP32.elf</x:v>
      </x:c>
      <x:c r="T47" s="1329" t="str">
        <x:v>2026-10-20 同ELF新命令对比，未重编。BW156/lat300，read/write_latency_diver=10000，SharedTReg带宽128B/cycle，tile_size_class_enable=false；shared含scale上限=131072B。model=bdbafed55613955d0b8b27438e9e7d2a72dfccd2；gfsim SHA256=6fe43c9f135981a296b515a46475a71649a4227fdaf1eb2f15abbd1f5930bf93；ELF SHA256=a909c1d775a53f85623f725d3579ffd6485dd0758f08ee69bee6bf49c5811551；ELF=/Users/blacktraker/Programming/gitproj/DV4/SuperNPUBench/outputs/fa_bf16_fp32_d256_tk_sweep_20261019/tk64/build/kernel/fa/elf/kernel_fa_fa_gmma_opt_Sq128_Skv8192_Tm128_Tk64_qD256_vD256_X1_Y1_CubeBF16_VectorFP32.elf；log=/Users/blacktraker/Programming/gitproj/DV4/SuperNPUBench/outputs/fa_lat300_diver10000_20261020/row22.log。wakeup error=0。</x:v>
      </x:c>
      <x:c r="U47" s="1270" t="str">
        <x:v>https://github.com/PTO-ISA/SuperNPUBench/blob/main/benchmark/one-level-arch/kernels/basic_op/fa/fa_gmma_kchains.hpp#L40</x:v>
      </x:c>
      <x:c r="V47" s="1329" t="str">
        <x:v>/Users/blacktraker/Programming/gitproj/DV4/SuperNPUBench/outputs/fa_lat300_diver10000_20261020/workbook_before.xlsx</x:v>
      </x:c>
      <x:c r="W47" s="1329" t="n">
        <x:v>22</x:v>
      </x:c>
      <x:c r="X47" s="1329" t="str">
        <x:v>对比</x:v>
      </x:c>
    </x:row>
    <x:row r="48" ht="48" customHeight="1">
      <x:c r="A48" s="1329" t="str">
        <x:v>FA</x:v>
      </x:c>
      <x:c r="B48" s="1329" t="str">
        <x:v>bf16</x:v>
      </x:c>
      <x:c r="C48" s="1329" t="str">
        <x:v>fp32</x:v>
      </x:c>
      <x:c r="D48" s="1329" t="n">
        <x:v>192</x:v>
      </x:c>
      <x:c r="E48" s="1329" t="str">
        <x:v>[1,8192,8,128+64]</x:v>
      </x:c>
      <x:c r="F48" s="1329" t="str">
        <x:v>BSND</x:v>
      </x:c>
      <x:c r="G48" s="1329" t="n">
        <x:v>128</x:v>
      </x:c>
      <x:c r="H48" s="1329" t="n">
        <x:v>8192</x:v>
      </x:c>
      <x:c r="I48" s="1330" t="str">
        <x:v>fa_gmma_opt; Sq=128; Skv=8192; QD=VD=192
Tm=128; Tk=128; 新命令 BW156/lat300; diver=10000; size-class关</x:v>
      </x:c>
      <x:c r="J48" s="1331"/>
      <x:c r="K48" s="1332" t="str">
        <x:f>IF(J48="","",J48/('Markdown完整列表'!$B$4*1000))</x:f>
      </x:c>
      <x:c r="L48" s="1331" t="n">
        <x:v>4096</x:v>
      </x:c>
      <x:c r="M48" s="1331" t="n">
        <x:v>98304</x:v>
      </x:c>
      <x:c r="N48" s="1331"/>
      <x:c r="O48" s="1333" t="str">
        <x:f>IF(J48="","",M48/J48)</x:f>
      </x:c>
      <x:c r="P48" s="1332"/>
      <x:c r="Q48" s="1334" t="str">
        <x:v>n.a.</x:v>
      </x:c>
      <x:c r="R48" s="1329" t="str">
        <x:v>ASSERT_FAIL</x:v>
      </x:c>
      <x:c r="S48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/Users/blacktraker/Programming/gitproj/DV4/SuperNPUBench/outputs/fa_d192_validcol_refresh_20261010/cases/fa_bf16_fp32_d192/kernel/fa/elf/kernel_fa_fa_gmma_opt_Sq128_Skv8192_Tm128_Tk128_qD192_vD192_X1_Y1_CubeBF16_VectorFP32.elf</x:v>
      </x:c>
      <x:c r="T48" s="1329" t="str">
        <x:v>2026-10-20 同ELF新命令对比，未重编。BW156/lat300，read/write_latency_diver=10000，SharedTReg带宽128B/cycle，tile_size_class_enable=false；shared含scale上限=196608B。model=bdbafed55613955d0b8b27438e9e7d2a72dfccd2；gfsim SHA256=6fe43c9f135981a296b515a46475a71649a4227fdaf1eb2f15abbd1f5930bf93；ELF SHA256=5aae60ba71c4a90e2378275e6e9ba95797e6ca09bfcdcd4a38d883d967a7be71；ELF=/Users/blacktraker/Programming/gitproj/DV4/SuperNPUBench/outputs/fa_d192_validcol_refresh_20261010/cases/fa_bf16_fp32_d192/kernel/fa/elf/kernel_fa_fa_gmma_opt_Sq128_Skv8192_Tm128_Tk128_qD192_vD192_X1_Y1_CubeBF16_VectorFP32.elf；log=/Users/blacktraker/Programming/gitproj/DV4/SuperNPUBench/outputs/fa_lat300_diver10000_20261020/row23.log。wakeup error=0。[gfsim] caught std::exception: ASSERTION FAILED: outputBytes != 0 &amp;&amp; dimensionsArePowersOfTwo &amp;&amp; col &gt;= n &amp;&amp; dstTile[0]-&gt;size != 0 &amp;&amp; ((packedOutput &amp;&amp; dstTile[0]-&gt;size &gt;= packedShape.requiredBytes) || (!packedOutput &amp;&amp; linearCapacity)) &amp;&amp; "CUBE D must hold the M x N FPATR output region"</x:v>
      </x:c>
      <x:c r="U48" s="1270" t="str">
        <x:v>https://github.com/PTO-ISA/SuperNPUBench/blob/main/benchmark/one-level-arch/kernels/basic_op/fa/fa_gmma_kchains.hpp#L40</x:v>
      </x:c>
      <x:c r="V48" s="1329" t="str">
        <x:v>/Users/blacktraker/Programming/gitproj/DV4/SuperNPUBench/outputs/fa_lat300_diver10000_20261020/workbook_before.xlsx</x:v>
      </x:c>
      <x:c r="W48" s="1329" t="n">
        <x:v>23</x:v>
      </x:c>
      <x:c r="X48" s="1329" t="str">
        <x:v>对比</x:v>
      </x:c>
    </x:row>
    <x:row r="49" ht="48" customHeight="1">
      <x:c r="A49" s="1329" t="str">
        <x:v>FA</x:v>
      </x:c>
      <x:c r="B49" s="1329" t="str">
        <x:v>bf16</x:v>
      </x:c>
      <x:c r="C49" s="1329" t="str">
        <x:v>fp32</x:v>
      </x:c>
      <x:c r="D49" s="1329" t="n">
        <x:v>128</x:v>
      </x:c>
      <x:c r="E49" s="1329" t="str">
        <x:v>[1,8192,8,128]</x:v>
      </x:c>
      <x:c r="F49" s="1329" t="str">
        <x:v>BSND</x:v>
      </x:c>
      <x:c r="G49" s="1329" t="n">
        <x:v>128</x:v>
      </x:c>
      <x:c r="H49" s="1329" t="n">
        <x:v>8192</x:v>
      </x:c>
      <x:c r="I49" s="1330" t="str">
        <x:v>fa_gmma_opt; Sq=128; Skv=8192; QD=VD=128
Tm=128; Tk=128; 新命令 BW156/lat300; diver=10000; size-class关</x:v>
      </x:c>
      <x:c r="J49" s="1331" t="n">
        <x:v>69320</x:v>
      </x:c>
      <x:c r="K49" s="1332" t="n">
        <x:f>IF(J49="","",J49/('Markdown完整列表'!$B$4*1000))</x:f>
        <x:v>43.325</x:v>
      </x:c>
      <x:c r="L49" s="1331" t="n">
        <x:v>4096</x:v>
      </x:c>
      <x:c r="M49" s="1331" t="n">
        <x:v>65536</x:v>
      </x:c>
      <x:c r="N49" s="1331" t="n">
        <x:v>16896</x:v>
      </x:c>
      <x:c r="O49" s="1333" t="n">
        <x:f>IF(J49="","",M49/J49)</x:f>
        <x:v>0.9454125793421811</x:v>
      </x:c>
      <x:c r="P49" s="1332"/>
      <x:c r="Q49" s="1334" t="str">
        <x:v>n.a.</x:v>
      </x:c>
      <x:c r="R49" s="1329" t="str">
        <x:v>PASS</x:v>
      </x:c>
      <x:c r="S49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/Users/blacktraker/Programming/gitproj/DV4/SuperNPUBench/outputs/fa_kchains_softmax_rollback_20261019/cases/row24/build/kernel/fa/elf/kernel_fa_fa_gmma_opt_Sq128_Skv8192_Tm128_Tk128_X1_Y1_CubeBF16_VectorFP32.elf</x:v>
      </x:c>
      <x:c r="T49" s="1329" t="str">
        <x:v>2026-10-20 同ELF新命令对比，未重编。BW156/lat300，read/write_latency_diver=10000，SharedTReg带宽128B/cycle，tile_size_class_enable=false；shared含scale上限=98304B。model=bdbafed55613955d0b8b27438e9e7d2a72dfccd2；gfsim SHA256=6fe43c9f135981a296b515a46475a71649a4227fdaf1eb2f15abbd1f5930bf93；ELF SHA256=3d47f7d95240f9944fa6a43ab466810d6358a53ae5a07bf8cbfe47915f1a5059；ELF=/Users/blacktraker/Programming/gitproj/DV4/SuperNPUBench/outputs/fa_kchains_softmax_rollback_20261019/cases/row24/build/kernel/fa/elf/kernel_fa_fa_gmma_opt_Sq128_Skv8192_Tm128_Tk128_X1_Y1_CubeBF16_VectorFP32.elf；log=/Users/blacktraker/Programming/gitproj/DV4/SuperNPUBench/outputs/fa_lat300_diver10000_20261020/row24.log。wakeup error=0。</x:v>
      </x:c>
      <x:c r="U49" s="1270" t="str">
        <x:v>https://github.com/PTO-ISA/SuperNPUBench/blob/main/benchmark/one-level-arch/kernels/basic_op/fa/fa_gmma_kchains.hpp#L40</x:v>
      </x:c>
      <x:c r="V49" s="1329" t="str">
        <x:v>/Users/blacktraker/Programming/gitproj/DV4/SuperNPUBench/outputs/fa_lat300_diver10000_20261020/workbook_before.xlsx</x:v>
      </x:c>
      <x:c r="W49" s="1329" t="n">
        <x:v>24</x:v>
      </x:c>
      <x:c r="X49" s="1329" t="str">
        <x:v>对比</x:v>
      </x:c>
    </x:row>
    <x:row r="50" ht="48" customHeight="1">
      <x:c r="A50" s="1329" t="str">
        <x:v>FA</x:v>
      </x:c>
      <x:c r="B50" s="1329" t="str">
        <x:v>bf16</x:v>
      </x:c>
      <x:c r="C50" s="1329" t="str">
        <x:v>fp32</x:v>
      </x:c>
      <x:c r="D50" s="1329" t="n">
        <x:v>64</x:v>
      </x:c>
      <x:c r="E50" s="1329" t="str">
        <x:v>[1,8192,8,64]</x:v>
      </x:c>
      <x:c r="F50" s="1329" t="str">
        <x:v>BSND</x:v>
      </x:c>
      <x:c r="G50" s="1329" t="n">
        <x:v>128</x:v>
      </x:c>
      <x:c r="H50" s="1329" t="n">
        <x:v>8192</x:v>
      </x:c>
      <x:c r="I50" s="1330" t="str">
        <x:v>fa_gmma_opt; Sq=128; Skv=8192; QD=VD=64
Tm=128; Tk=128; 新命令 BW156/lat300; diver=10000; size-class关</x:v>
      </x:c>
      <x:c r="J50" s="1331" t="n">
        <x:v>36302</x:v>
      </x:c>
      <x:c r="K50" s="1332" t="n">
        <x:f>IF(J50="","",J50/('Markdown完整列表'!$B$4*1000))</x:f>
        <x:v>22.68875</x:v>
      </x:c>
      <x:c r="L50" s="1331" t="n">
        <x:v>4096</x:v>
      </x:c>
      <x:c r="M50" s="1331" t="n">
        <x:v>32768</x:v>
      </x:c>
      <x:c r="N50" s="1331" t="n">
        <x:v>16768</x:v>
      </x:c>
      <x:c r="O50" s="1333" t="n">
        <x:f>IF(J50="","",M50/J50)</x:f>
        <x:v>0.9026499917359925</x:v>
      </x:c>
      <x:c r="P50" s="1332"/>
      <x:c r="Q50" s="1334" t="str">
        <x:v>n.a.</x:v>
      </x:c>
      <x:c r="R50" s="1329" t="str">
        <x:v>PASS</x:v>
      </x:c>
      <x:c r="S50" s="1329" t="str">
        <x:v>cd /Users/blacktraker/Programming/gitproj/DV4/SuperScalarModel-asl &amp;&amp; ./bin/gfsim -s softcore.multiThreadNum=4 -s dfx.swimCounterSampleInterval=256 -s bctrl.vec_cell_sched_enable=false -s bctrl.vecIssueQDepth=64 -s bctrl.bctrl_bandwidth=8 -s spe.speROBDepth=128 -s cube.l0aSharetregResident=true -s cube.l0aResidentTagNum=8 -s core.sharetreg_bandwidth_bytes=128 -s cube.enable_internal_acc=true -s spe.macroDescriptorFusion=true -s core.soc_random=true -s core.soc_bw_limit=156 -s core.soc_lat_mean=300 -s core.read_latency_diver=10000 -s core.write_latency_diver=10000 -s core.soc_lat_random_seed=1 -s bfu.hwpf_nl_degree=32 -s bfu.hwpf_max_pending_req=32 -s bfu.bhc_pf_nostd=32 -s bfu.bhc_nostd=40 -s core.sharetreg_size_bytes=262144 -s core.sharetreg_ssb_count=64 -s bctrl.tile_size_class_enable=false -f /Users/blacktraker/Programming/gitproj/DV4/SuperNPUBench/outputs/fa_kchains_softmax_rollback_20261019/cases/row25/build/kernel/fa/elf/kernel_fa_fa_gmma_opt_Sq128_Skv8192_Tm128_Tk128_qD64_vD64_X1_Y1_CubeBF16_VectorFP32.elf</x:v>
      </x:c>
      <x:c r="T50" s="1329" t="str">
        <x:v>2026-10-20 同ELF新命令对比，未重编。BW156/lat300，read/write_latency_diver=10000，SharedTReg带宽128B/cycle，tile_size_class_enable=false；shared含scale上限=49152B。model=bdbafed55613955d0b8b27438e9e7d2a72dfccd2；gfsim SHA256=6fe43c9f135981a296b515a46475a71649a4227fdaf1eb2f15abbd1f5930bf93；ELF SHA256=d778632a23cd52ec449090c656ec9d680e0af6f780617bc625e117ba415e76fb；ELF=/Users/blacktraker/Programming/gitproj/DV4/SuperNPUBench/outputs/fa_kchains_softmax_rollback_20261019/cases/row25/build/kernel/fa/elf/kernel_fa_fa_gmma_opt_Sq128_Skv8192_Tm128_Tk128_qD64_vD64_X1_Y1_CubeBF16_VectorFP32.elf；log=/Users/blacktraker/Programming/gitproj/DV4/SuperNPUBench/outputs/fa_lat300_diver10000_20261020/row25.log。wakeup error=0。</x:v>
      </x:c>
      <x:c r="U50" s="1270" t="str">
        <x:v>https://github.com/PTO-ISA/SuperNPUBench/blob/main/benchmark/one-level-arch/kernels/basic_op/fa/fa_gmma_kchains.hpp#L40</x:v>
      </x:c>
      <x:c r="V50" s="1329" t="str">
        <x:v>/Users/blacktraker/Programming/gitproj/DV4/SuperNPUBench/outputs/fa_lat300_diver10000_20261020/workbook_before.xlsx</x:v>
      </x:c>
      <x:c r="W50" s="1329" t="n">
        <x:v>25</x:v>
      </x:c>
      <x:c r="X50" s="1329" t="str">
        <x:v>对比</x:v>
      </x:c>
    </x:row>
  </x:sheetData>
  <x:hyperlinks>
    <x:hyperlink xmlns:r="http://schemas.openxmlformats.org/officeDocument/2006/relationships" ref="U8" r:id="R069a073c22f2466b"/>
    <x:hyperlink xmlns:r="http://schemas.openxmlformats.org/officeDocument/2006/relationships" ref="U9" r:id="Rb76ac501a81a44f4"/>
    <x:hyperlink xmlns:r="http://schemas.openxmlformats.org/officeDocument/2006/relationships" ref="U10" r:id="R8fab597a81e349b9"/>
    <x:hyperlink xmlns:r="http://schemas.openxmlformats.org/officeDocument/2006/relationships" ref="U11" r:id="R3146a27832984d25"/>
    <x:hyperlink xmlns:r="http://schemas.openxmlformats.org/officeDocument/2006/relationships" ref="U12" r:id="Rd482be6d040f4b0b"/>
    <x:hyperlink xmlns:r="http://schemas.openxmlformats.org/officeDocument/2006/relationships" ref="U13" r:id="R0d0b73c5034d4d7e"/>
    <x:hyperlink xmlns:r="http://schemas.openxmlformats.org/officeDocument/2006/relationships" ref="U14" r:id="R944c87a173f14b44"/>
    <x:hyperlink xmlns:r="http://schemas.openxmlformats.org/officeDocument/2006/relationships" ref="U15" r:id="Re88691e8cc2c4c0b"/>
    <x:hyperlink xmlns:r="http://schemas.openxmlformats.org/officeDocument/2006/relationships" ref="U16" r:id="R447e0c1e13194ca3"/>
    <x:hyperlink xmlns:r="http://schemas.openxmlformats.org/officeDocument/2006/relationships" ref="U17" r:id="R9b66b7a1df6346ae"/>
    <x:hyperlink xmlns:r="http://schemas.openxmlformats.org/officeDocument/2006/relationships" ref="U18" r:id="R9f1388692ab24584"/>
    <x:hyperlink xmlns:r="http://schemas.openxmlformats.org/officeDocument/2006/relationships" ref="U19" r:id="R4ca15f3077f3444e"/>
    <x:hyperlink xmlns:r="http://schemas.openxmlformats.org/officeDocument/2006/relationships" ref="U20" r:id="R9e09e7186be24247"/>
    <x:hyperlink xmlns:r="http://schemas.openxmlformats.org/officeDocument/2006/relationships" ref="U21" r:id="Re4ce57c1ce5c4542"/>
    <x:hyperlink xmlns:r="http://schemas.openxmlformats.org/officeDocument/2006/relationships" ref="U22" r:id="R494c099ebd0b48cc"/>
    <x:hyperlink xmlns:r="http://schemas.openxmlformats.org/officeDocument/2006/relationships" ref="U23" r:id="Rd8a0eb2758c14e4f"/>
    <x:hyperlink xmlns:r="http://schemas.openxmlformats.org/officeDocument/2006/relationships" ref="U24" r:id="R4e9c32351e044b2c"/>
    <x:hyperlink xmlns:r="http://schemas.openxmlformats.org/officeDocument/2006/relationships" ref="U25" r:id="R9fcf6af0c0e04977"/>
    <x:hyperlink xmlns:r="http://schemas.openxmlformats.org/officeDocument/2006/relationships" ref="U26" r:id="R2c2108b5f45d4b2d"/>
    <x:hyperlink xmlns:r="http://schemas.openxmlformats.org/officeDocument/2006/relationships" ref="U27" r:id="R4b1c0dadeb5f4040"/>
    <x:hyperlink xmlns:r="http://schemas.openxmlformats.org/officeDocument/2006/relationships" ref="U28" r:id="R056c5ddf3a6441ef"/>
    <x:hyperlink xmlns:r="http://schemas.openxmlformats.org/officeDocument/2006/relationships" ref="U29" r:id="R1f1f8a022a2340a2"/>
    <x:hyperlink xmlns:r="http://schemas.openxmlformats.org/officeDocument/2006/relationships" ref="U30" r:id="Rff54d7a6906849ff"/>
    <x:hyperlink xmlns:r="http://schemas.openxmlformats.org/officeDocument/2006/relationships" ref="U31" r:id="Rb15faea1b3864e1a"/>
    <x:hyperlink xmlns:r="http://schemas.openxmlformats.org/officeDocument/2006/relationships" ref="U32" r:id="R11080a135419489a"/>
    <x:hyperlink xmlns:r="http://schemas.openxmlformats.org/officeDocument/2006/relationships" ref="U33" r:id="Rc55f177ff4bd44eb"/>
    <x:hyperlink xmlns:r="http://schemas.openxmlformats.org/officeDocument/2006/relationships" ref="U34" r:id="Ra56518e272694e17"/>
    <x:hyperlink xmlns:r="http://schemas.openxmlformats.org/officeDocument/2006/relationships" ref="U35" r:id="Rb1f058550e8b4089"/>
    <x:hyperlink xmlns:r="http://schemas.openxmlformats.org/officeDocument/2006/relationships" ref="U36" r:id="R8d102fe776124435"/>
    <x:hyperlink xmlns:r="http://schemas.openxmlformats.org/officeDocument/2006/relationships" ref="U37" r:id="R079fc3fd621f4d3d"/>
    <x:hyperlink xmlns:r="http://schemas.openxmlformats.org/officeDocument/2006/relationships" ref="U38" r:id="Re700a0bb942648a5"/>
    <x:hyperlink xmlns:r="http://schemas.openxmlformats.org/officeDocument/2006/relationships" ref="U39" r:id="Rf582074930b54bd2"/>
    <x:hyperlink xmlns:r="http://schemas.openxmlformats.org/officeDocument/2006/relationships" ref="U40" r:id="Rb14cf330ddc24fda"/>
    <x:hyperlink xmlns:r="http://schemas.openxmlformats.org/officeDocument/2006/relationships" ref="U41" r:id="R4a54cfa65a5f4eff"/>
    <x:hyperlink xmlns:r="http://schemas.openxmlformats.org/officeDocument/2006/relationships" ref="U42" r:id="Rc1de46e1b53946bf"/>
    <x:hyperlink xmlns:r="http://schemas.openxmlformats.org/officeDocument/2006/relationships" ref="U43" r:id="Rccd84f4a30194c7f"/>
    <x:hyperlink xmlns:r="http://schemas.openxmlformats.org/officeDocument/2006/relationships" ref="U44" r:id="R7b222c31752749bf"/>
    <x:hyperlink xmlns:r="http://schemas.openxmlformats.org/officeDocument/2006/relationships" ref="U45" r:id="R7044d9fbc341437b"/>
    <x:hyperlink xmlns:r="http://schemas.openxmlformats.org/officeDocument/2006/relationships" ref="U46" r:id="R324a62b842a24360"/>
    <x:hyperlink xmlns:r="http://schemas.openxmlformats.org/officeDocument/2006/relationships" ref="U47" r:id="Rcd3856cca1f74473"/>
    <x:hyperlink xmlns:r="http://schemas.openxmlformats.org/officeDocument/2006/relationships" ref="U48" r:id="Rcc8a78027c3d44a5"/>
    <x:hyperlink xmlns:r="http://schemas.openxmlformats.org/officeDocument/2006/relationships" ref="U49" r:id="R3dd08971fc224b03"/>
    <x:hyperlink xmlns:r="http://schemas.openxmlformats.org/officeDocument/2006/relationships" ref="U50" r:id="Re154139d67be40bb"/>
  </x:hyperlinks>
  <x:pageMargins left="0.7" right="0.7" top="0.75" bottom="0.75" header="0.3" footer="0.3"/>
</x:worksheet>
</file>