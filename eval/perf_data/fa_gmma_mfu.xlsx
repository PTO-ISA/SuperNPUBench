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b7ad7e424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FU results" sheetId="1" r:id="Rbce35bb495e9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8">
    <x:font>
      <x:sz val="11"/>
      <x:name val="Carlito"/>
    </x:font>
    <x:font>
      <x:sz val="10"/>
      <x:color rgb="FF222222"/>
      <x:name val="Arial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  <x:font>
      <x:b/>
      <x:sz val="10"/>
      <x:color rgb="FFFFFFFF"/>
      <x:name val="Arial"/>
    </x:font>
    <x:font>
      <x:b/>
      <x:sz val="10"/>
      <x:color rgb="FF166534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3F6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C6EFCE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medium">
        <x:color rgb="FF1F4E7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left" vertical="center"/>
    </x:xf>
    <x:xf numFmtId="200" fontId="1" fillId="6" borderId="0" xfId="0" applyNumberFormat="1" applyFont="1" applyFill="1" applyBorder="1" applyAlignment="1">
      <x:alignment horizontal="right" vertical="center"/>
    </x:xf>
    <x:xf numFmtId="201" fontId="1" fillId="6" borderId="0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left" vertical="center"/>
    </x:xf>
    <x:xf numFmtId="200" fontId="1" fillId="7" borderId="0" xfId="0" applyNumberFormat="1" applyFont="1" applyFill="1" applyBorder="1" applyAlignment="1">
      <x:alignment horizontal="right" vertical="center"/>
    </x:xf>
    <x:xf numFmtId="201" fontId="1" fillId="7" borderId="0" xfId="0" applyNumberFormat="1" applyFont="1" applyFill="1" applyBorder="1" applyAlignment="1">
      <x:alignment horizontal="right" vertic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left" vertical="center"/>
    </x:xf>
    <x:xf numFmtId="200" fontId="7" fillId="7" borderId="0" xfId="0" applyNumberFormat="1" applyFont="1" applyFill="1" applyBorder="1" applyAlignment="1">
      <x:alignment horizontal="right" vertical="center"/>
    </x:xf>
    <x:xf numFmtId="201" fontId="7" fillId="7" borderId="0" xfId="0" applyNumberFormat="1" applyFont="1" applyFill="1" applyBorder="1" applyAlignment="1">
      <x:alignment horizontal="right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1" fillId="0" borderId="4" xfId="0" applyNumberFormat="1" applyFont="1" applyFill="1" applyBorder="1"/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0f286ed94499b" /><Relationship Type="http://schemas.openxmlformats.org/officeDocument/2006/relationships/theme" Target="/xl/theme/theme1.xml" Id="Rf47ce24b5e55481a" /><Relationship Type="http://schemas.openxmlformats.org/officeDocument/2006/relationships/sharedStrings" Target="/xl/sharedStrings.xml" Id="R91233a6263ac4e0d" /><Relationship Type="http://schemas.openxmlformats.org/officeDocument/2006/relationships/worksheet" Target="/xl/worksheets/sheet1.xml" Id="Rbce35bb495e94d9d" /></Relationships>
</file>

<file path=xl/tables/table1.xml><?xml version="1.0" encoding="utf-8"?>
<x:table xmlns:x="http://schemas.openxmlformats.org/spreadsheetml/2006/main" id="1" name="FaGmmaMfuTable" displayName="FaGmmaMfuTable" ref="A7:N22" headerRowCount="1" totalsRowCount="0" totalsRowShown="0">
  <x:autoFilter ref="A7:N22"/>
  <x:tableColumns count="14">
    <x:tableColumn id="1" name="Precision"/>
    <x:tableColumn id="2" name="Sq"/>
    <x:tableColumn id="3" name="Skv"/>
    <x:tableColumn id="4" name="Head dim"/>
    <x:tableColumn id="5" name="Peak M"/>
    <x:tableColumn id="6" name="Peak N"/>
    <x:tableColumn id="7" name="Peak K"/>
    <x:tableColumn id="8" name="Tm"/>
    <x:tableColumn id="9" name="Tk"/>
    <x:tableColumn id="10" name="KV blocks"/>
    <x:tableColumn id="11" name="Cycles"/>
    <x:tableColumn id="12" name="MFU"/>
    <x:tableColumn id="13" name="Status"/>
    <x:tableColumn id="14" name="Note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f3e63b577e4ae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5" hidden="0" customWidth="1"/>
    <x:col min="2" max="2" width="8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2" hidden="0" customWidth="1"/>
    <x:col min="11" max="11" width="13" hidden="0" customWidth="1"/>
    <x:col min="12" max="12" width="11" hidden="0" customWidth="1"/>
    <x:col min="13" max="13" width="14" hidden="0" customWidth="1"/>
    <x:col min="14" max="14" width="48" hidden="0" customWidth="1"/>
  </x:cols>
  <x:sheetData>
    <x:row r="2">
      <x:c r="A2" s="51" t="str">
        <x:v>FA GMMA MFU results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</x:row>
    <x:row r="3">
      <x:c r="A3" s="3" t="str">
        <x:v>multi_thread/fa_2d_unroll_gmma. Sq=128, Skv=8192, Tm=128.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5" t="str">
        <x:v>MFU formula</x:v>
      </x:c>
      <x:c r="B5" s="7" t="str">
        <x:v>Sq × Skv × Head dim × 2 ÷ (Peak M × Peak N × Peak K × Cycles)</x:v>
      </x:c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2" customHeight="1">
      <x:c r="A7" s="19" t="str">
        <x:v>Precision</x:v>
      </x:c>
      <x:c r="B7" s="20" t="str">
        <x:v>Sq</x:v>
      </x:c>
      <x:c r="C7" s="20" t="str">
        <x:v>Skv</x:v>
      </x:c>
      <x:c r="D7" s="20" t="str">
        <x:v>Head dim</x:v>
      </x:c>
      <x:c r="E7" s="20" t="str">
        <x:v>Peak M</x:v>
      </x:c>
      <x:c r="F7" s="20" t="str">
        <x:v>Peak N</x:v>
      </x:c>
      <x:c r="G7" s="20" t="str">
        <x:v>Peak K</x:v>
      </x:c>
      <x:c r="H7" s="20" t="str">
        <x:v>Tm</x:v>
      </x:c>
      <x:c r="I7" s="20" t="str">
        <x:v>Tk</x:v>
      </x:c>
      <x:c r="J7" s="20" t="str">
        <x:v>KV blocks</x:v>
      </x:c>
      <x:c r="K7" s="20" t="str">
        <x:v>Cycles</x:v>
      </x:c>
      <x:c r="L7" s="20" t="str">
        <x:v>MFU</x:v>
      </x:c>
      <x:c r="M7" s="20" t="str">
        <x:v>Status</x:v>
      </x:c>
      <x:c r="N7" s="21" t="str">
        <x:v>Note</x:v>
      </x:c>
    </x:row>
    <x:row r="8" ht="21" customHeight="1">
      <x:c r="A8" s="31" t="str">
        <x:v>FP32</x:v>
      </x:c>
      <x:c r="B8" s="32" t="n">
        <x:v>128</x:v>
      </x:c>
      <x:c r="C8" s="32" t="n">
        <x:v>8192</x:v>
      </x:c>
      <x:c r="D8" s="32" t="n">
        <x:v>128</x:v>
      </x:c>
      <x:c r="E8" s="32" t="n">
        <x:v>16</x:v>
      </x:c>
      <x:c r="F8" s="32" t="n">
        <x:v>16</x:v>
      </x:c>
      <x:c r="G8" s="32" t="n">
        <x:v>8</x:v>
      </x:c>
      <x:c r="H8" s="32" t="n">
        <x:v>128</x:v>
      </x:c>
      <x:c r="I8" s="32" t="n">
        <x:v>32</x:v>
      </x:c>
      <x:c r="J8" s="32" t="n">
        <x:f>C8/I8</x:f>
        <x:v>256</x:v>
      </x:c>
      <x:c r="K8" s="32" t="n">
        <x:v>290322</x:v>
      </x:c>
      <x:c r="L8" s="33" t="n">
        <x:f>IF(K8="","",B8*C8*D8*2/(E8*F8*G8*K8))</x:f>
        <x:v>0.4514711251644726</x:v>
      </x:c>
      <x:c r="M8" s="34" t="str">
        <x:v>PASS</x:v>
      </x:c>
      <x:c r="N8" s="31" t="str"/>
    </x:row>
    <x:row r="9" ht="21" customHeight="1">
      <x:c r="A9" s="31" t="str">
        <x:v>FP32</x:v>
      </x:c>
      <x:c r="B9" s="32" t="n">
        <x:v>128</x:v>
      </x:c>
      <x:c r="C9" s="32" t="n">
        <x:v>8192</x:v>
      </x:c>
      <x:c r="D9" s="32" t="n">
        <x:v>128</x:v>
      </x:c>
      <x:c r="E9" s="32" t="n">
        <x:v>16</x:v>
      </x:c>
      <x:c r="F9" s="32" t="n">
        <x:v>16</x:v>
      </x:c>
      <x:c r="G9" s="32" t="n">
        <x:v>8</x:v>
      </x:c>
      <x:c r="H9" s="32" t="n">
        <x:v>128</x:v>
      </x:c>
      <x:c r="I9" s="32" t="n">
        <x:v>64</x:v>
      </x:c>
      <x:c r="J9" s="32" t="n">
        <x:f>C9/I9</x:f>
        <x:v>128</x:v>
      </x:c>
      <x:c r="K9" s="32" t="n">
        <x:v>145942</x:v>
      </x:c>
      <x:c r="L9" s="33" t="n">
        <x:f>IF(K9="","",B9*C9*D9*2/(E9*F9*G9*K9))</x:f>
        <x:v>0.8981102081648874</x:v>
      </x:c>
      <x:c r="M9" s="34" t="str">
        <x:v>PASS</x:v>
      </x:c>
      <x:c r="N9" s="31" t="str"/>
    </x:row>
    <x:row r="10" ht="21" customHeight="1">
      <x:c r="A10" s="47" t="str">
        <x:v>FP32</x:v>
      </x:c>
      <x:c r="B10" s="48" t="n">
        <x:v>128</x:v>
      </x:c>
      <x:c r="C10" s="48" t="n">
        <x:v>8192</x:v>
      </x:c>
      <x:c r="D10" s="48" t="n">
        <x:v>128</x:v>
      </x:c>
      <x:c r="E10" s="48" t="n">
        <x:v>16</x:v>
      </x:c>
      <x:c r="F10" s="48" t="n">
        <x:v>16</x:v>
      </x:c>
      <x:c r="G10" s="48" t="n">
        <x:v>8</x:v>
      </x:c>
      <x:c r="H10" s="48" t="n">
        <x:v>128</x:v>
      </x:c>
      <x:c r="I10" s="48" t="n">
        <x:v>128</x:v>
      </x:c>
      <x:c r="J10" s="48" t="n">
        <x:f>C10/I10</x:f>
        <x:v>64</x:v>
      </x:c>
      <x:c r="K10" s="48" t="n">
        <x:v>138431</x:v>
      </x:c>
      <x:c r="L10" s="49" t="n">
        <x:f>IF(K10="","",B10*C10*D10*2/(E10*F10*G10*K10))</x:f>
        <x:v>0.9468399419205236</x:v>
      </x:c>
      <x:c r="M10" s="50" t="str">
        <x:v>PASS</x:v>
      </x:c>
      <x:c r="N10" s="47" t="str">
        <x:v>Best FP32</x:v>
      </x:c>
    </x:row>
    <x:row r="11" ht="21" customHeight="1">
      <x:c r="A11" s="31" t="str">
        <x:v>FP32</x:v>
      </x:c>
      <x:c r="B11" s="32" t="n">
        <x:v>128</x:v>
      </x:c>
      <x:c r="C11" s="32" t="n">
        <x:v>8192</x:v>
      </x:c>
      <x:c r="D11" s="32" t="n">
        <x:v>128</x:v>
      </x:c>
      <x:c r="E11" s="32" t="n">
        <x:v>16</x:v>
      </x:c>
      <x:c r="F11" s="32" t="n">
        <x:v>16</x:v>
      </x:c>
      <x:c r="G11" s="32" t="n">
        <x:v>8</x:v>
      </x:c>
      <x:c r="H11" s="32" t="n">
        <x:v>128</x:v>
      </x:c>
      <x:c r="I11" s="32" t="n">
        <x:v>256</x:v>
      </x:c>
      <x:c r="J11" s="32" t="n">
        <x:f>C11/I11</x:f>
        <x:v>32</x:v>
      </x:c>
      <x:c r="K11" s="32" t="n">
        <x:v>269485</x:v>
      </x:c>
      <x:c r="L11" s="33" t="n">
        <x:f>IF(K11="","",B11*C11*D11*2/(E11*F11*G11*K11))</x:f>
        <x:v>0.4863795758576544</x:v>
      </x:c>
      <x:c r="M11" s="34" t="str">
        <x:v>PASS</x:v>
      </x:c>
      <x:c r="N11" s="31" t="str"/>
    </x:row>
    <x:row r="12" ht="21" customHeight="1">
      <x:c r="A12" s="35" t="str">
        <x:v>BF16</x:v>
      </x:c>
      <x:c r="B12" s="36" t="n">
        <x:v>128</x:v>
      </x:c>
      <x:c r="C12" s="36" t="n">
        <x:v>8192</x:v>
      </x:c>
      <x:c r="D12" s="36" t="n">
        <x:v>128</x:v>
      </x:c>
      <x:c r="E12" s="36" t="n">
        <x:v>16</x:v>
      </x:c>
      <x:c r="F12" s="36" t="n">
        <x:v>16</x:v>
      </x:c>
      <x:c r="G12" s="36" t="n">
        <x:v>16</x:v>
      </x:c>
      <x:c r="H12" s="36" t="n">
        <x:v>128</x:v>
      </x:c>
      <x:c r="I12" s="36" t="n">
        <x:v>32</x:v>
      </x:c>
      <x:c r="J12" s="36" t="n">
        <x:f>C12/I12</x:f>
        <x:v>256</x:v>
      </x:c>
      <x:c r="K12" s="36" t="n">
        <x:v>223178</x:v>
      </x:c>
      <x:c r="L12" s="37" t="n">
        <x:f>IF(K12="","",B12*C12*D12*2/(E12*F12*G12*K12))</x:f>
        <x:v>0.2936490155839733</x:v>
      </x:c>
      <x:c r="M12" s="38" t="str">
        <x:v>PASS</x:v>
      </x:c>
      <x:c r="N12" s="35" t="str"/>
    </x:row>
    <x:row r="13" ht="21" customHeight="1">
      <x:c r="A13" s="35" t="str">
        <x:v>BF16</x:v>
      </x:c>
      <x:c r="B13" s="36" t="n">
        <x:v>128</x:v>
      </x:c>
      <x:c r="C13" s="36" t="n">
        <x:v>8192</x:v>
      </x:c>
      <x:c r="D13" s="36" t="n">
        <x:v>128</x:v>
      </x:c>
      <x:c r="E13" s="36" t="n">
        <x:v>16</x:v>
      </x:c>
      <x:c r="F13" s="36" t="n">
        <x:v>16</x:v>
      </x:c>
      <x:c r="G13" s="36" t="n">
        <x:v>16</x:v>
      </x:c>
      <x:c r="H13" s="36" t="n">
        <x:v>128</x:v>
      </x:c>
      <x:c r="I13" s="36" t="n">
        <x:v>64</x:v>
      </x:c>
      <x:c r="J13" s="36" t="n">
        <x:f>C13/I13</x:f>
        <x:v>128</x:v>
      </x:c>
      <x:c r="K13" s="36" t="n">
        <x:v>105570</x:v>
      </x:c>
      <x:c r="L13" s="37" t="n">
        <x:f>IF(K13="","",B13*C13*D13*2/(E13*F13*G13*K13))</x:f>
        <x:v>0.6207824192478923</x:v>
      </x:c>
      <x:c r="M13" s="38" t="str">
        <x:v>PASS</x:v>
      </x:c>
      <x:c r="N13" s="35" t="str"/>
    </x:row>
    <x:row r="14" ht="21" customHeight="1">
      <x:c r="A14" s="35" t="str">
        <x:v>BF16</x:v>
      </x:c>
      <x:c r="B14" s="36" t="n">
        <x:v>128</x:v>
      </x:c>
      <x:c r="C14" s="36" t="n">
        <x:v>8192</x:v>
      </x:c>
      <x:c r="D14" s="36" t="n">
        <x:v>128</x:v>
      </x:c>
      <x:c r="E14" s="36" t="n">
        <x:v>16</x:v>
      </x:c>
      <x:c r="F14" s="36" t="n">
        <x:v>16</x:v>
      </x:c>
      <x:c r="G14" s="36" t="n">
        <x:v>16</x:v>
      </x:c>
      <x:c r="H14" s="36" t="n">
        <x:v>128</x:v>
      </x:c>
      <x:c r="I14" s="36" t="n">
        <x:v>128</x:v>
      </x:c>
      <x:c r="J14" s="36" t="n">
        <x:f>C14/I14</x:f>
        <x:v>64</x:v>
      </x:c>
      <x:c r="K14" s="36" t="n">
        <x:v>78706</x:v>
      </x:c>
      <x:c r="L14" s="37" t="n">
        <x:f>IF(K14="","",B14*C14*D14*2/(E14*F14*G14*K14))</x:f>
        <x:v>0.8326684115569334</x:v>
      </x:c>
      <x:c r="M14" s="38" t="str">
        <x:v>PASS</x:v>
      </x:c>
      <x:c r="N14" s="35" t="str"/>
    </x:row>
    <x:row r="15" ht="21" customHeight="1">
      <x:c r="A15" s="47" t="str">
        <x:v>BF16</x:v>
      </x:c>
      <x:c r="B15" s="48" t="n">
        <x:v>128</x:v>
      </x:c>
      <x:c r="C15" s="48" t="n">
        <x:v>8192</x:v>
      </x:c>
      <x:c r="D15" s="48" t="n">
        <x:v>128</x:v>
      </x:c>
      <x:c r="E15" s="48" t="n">
        <x:v>16</x:v>
      </x:c>
      <x:c r="F15" s="48" t="n">
        <x:v>16</x:v>
      </x:c>
      <x:c r="G15" s="48" t="n">
        <x:v>16</x:v>
      </x:c>
      <x:c r="H15" s="48" t="n">
        <x:v>128</x:v>
      </x:c>
      <x:c r="I15" s="48" t="n">
        <x:v>256</x:v>
      </x:c>
      <x:c r="J15" s="48" t="n">
        <x:f>C15/I15</x:f>
        <x:v>32</x:v>
      </x:c>
      <x:c r="K15" s="48" t="n">
        <x:v>73905</x:v>
      </x:c>
      <x:c r="L15" s="49" t="n">
        <x:f>IF(K15="","",B15*C15*D15*2/(E15*F15*G15*K15))</x:f>
        <x:v>0.8867600297679453</x:v>
      </x:c>
      <x:c r="M15" s="50" t="str">
        <x:v>PASS</x:v>
      </x:c>
      <x:c r="N15" s="47" t="str">
        <x:v>Best BF16</x:v>
      </x:c>
    </x:row>
    <x:row r="16" ht="21" customHeight="1">
      <x:c r="A16" s="39" t="str">
        <x:v>FP8_FP32</x:v>
      </x:c>
      <x:c r="B16" s="40" t="n">
        <x:v>128</x:v>
      </x:c>
      <x:c r="C16" s="40" t="n">
        <x:v>8192</x:v>
      </x:c>
      <x:c r="D16" s="40" t="n">
        <x:v>128</x:v>
      </x:c>
      <x:c r="E16" s="40" t="n">
        <x:v>16</x:v>
      </x:c>
      <x:c r="F16" s="40" t="n">
        <x:v>16</x:v>
      </x:c>
      <x:c r="G16" s="40" t="n">
        <x:v>32</x:v>
      </x:c>
      <x:c r="H16" s="40" t="n">
        <x:v>128</x:v>
      </x:c>
      <x:c r="I16" s="40" t="n">
        <x:v>32</x:v>
      </x:c>
      <x:c r="J16" s="40" t="n">
        <x:f>C16/I16</x:f>
        <x:v>256</x:v>
      </x:c>
      <x:c r="K16" s="40"/>
      <x:c r="L16" s="41" t="str">
        <x:f>IF(K16="","",B16*C16*D16*2/(E16*F16*G16*K16))</x:f>
      </x:c>
      <x:c r="M16" s="42" t="str">
        <x:v>FAIL</x:v>
      </x:c>
      <x:c r="N16" s="39" t="str">
        <x:v>gfsim deadlock; no valid cycles</x:v>
      </x:c>
    </x:row>
    <x:row r="17" ht="21" customHeight="1">
      <x:c r="A17" s="39" t="str">
        <x:v>FP8_FP32</x:v>
      </x:c>
      <x:c r="B17" s="40" t="n">
        <x:v>128</x:v>
      </x:c>
      <x:c r="C17" s="40" t="n">
        <x:v>8192</x:v>
      </x:c>
      <x:c r="D17" s="40" t="n">
        <x:v>128</x:v>
      </x:c>
      <x:c r="E17" s="40" t="n">
        <x:v>16</x:v>
      </x:c>
      <x:c r="F17" s="40" t="n">
        <x:v>16</x:v>
      </x:c>
      <x:c r="G17" s="40" t="n">
        <x:v>32</x:v>
      </x:c>
      <x:c r="H17" s="40" t="n">
        <x:v>128</x:v>
      </x:c>
      <x:c r="I17" s="40" t="n">
        <x:v>64</x:v>
      </x:c>
      <x:c r="J17" s="40" t="n">
        <x:f>C17/I17</x:f>
        <x:v>128</x:v>
      </x:c>
      <x:c r="K17" s="40" t="n">
        <x:v>103162</x:v>
      </x:c>
      <x:c r="L17" s="41" t="n">
        <x:f>IF(K17="","",B17*C17*D17*2/(E17*F17*G17*K17))</x:f>
        <x:v>0.3176363389620209</x:v>
      </x:c>
      <x:c r="M17" s="42" t="str">
        <x:v>PASS</x:v>
      </x:c>
      <x:c r="N17" s="39" t="str"/>
    </x:row>
    <x:row r="18" ht="21" customHeight="1">
      <x:c r="A18" s="39" t="str">
        <x:v>FP8_FP32</x:v>
      </x:c>
      <x:c r="B18" s="40" t="n">
        <x:v>128</x:v>
      </x:c>
      <x:c r="C18" s="40" t="n">
        <x:v>8192</x:v>
      </x:c>
      <x:c r="D18" s="40" t="n">
        <x:v>128</x:v>
      </x:c>
      <x:c r="E18" s="40" t="n">
        <x:v>16</x:v>
      </x:c>
      <x:c r="F18" s="40" t="n">
        <x:v>16</x:v>
      </x:c>
      <x:c r="G18" s="40" t="n">
        <x:v>32</x:v>
      </x:c>
      <x:c r="H18" s="40" t="n">
        <x:v>128</x:v>
      </x:c>
      <x:c r="I18" s="40" t="n">
        <x:v>128</x:v>
      </x:c>
      <x:c r="J18" s="40" t="n">
        <x:f>C18/I18</x:f>
        <x:v>64</x:v>
      </x:c>
      <x:c r="K18" s="40" t="n">
        <x:v>56794</x:v>
      </x:c>
      <x:c r="L18" s="41" t="n">
        <x:f>IF(K18="","",B18*C18*D18*2/(E18*F18*G18*K18))</x:f>
        <x:v>0.5769623551783639</x:v>
      </x:c>
      <x:c r="M18" s="42" t="str">
        <x:v>PASS</x:v>
      </x:c>
      <x:c r="N18" s="39" t="str"/>
    </x:row>
    <x:row r="19" ht="21" customHeight="1">
      <x:c r="A19" s="47" t="str">
        <x:v>FP8_FP32</x:v>
      </x:c>
      <x:c r="B19" s="48" t="n">
        <x:v>128</x:v>
      </x:c>
      <x:c r="C19" s="48" t="n">
        <x:v>8192</x:v>
      </x:c>
      <x:c r="D19" s="48" t="n">
        <x:v>128</x:v>
      </x:c>
      <x:c r="E19" s="48" t="n">
        <x:v>16</x:v>
      </x:c>
      <x:c r="F19" s="48" t="n">
        <x:v>16</x:v>
      </x:c>
      <x:c r="G19" s="48" t="n">
        <x:v>32</x:v>
      </x:c>
      <x:c r="H19" s="48" t="n">
        <x:v>128</x:v>
      </x:c>
      <x:c r="I19" s="48" t="n">
        <x:v>256</x:v>
      </x:c>
      <x:c r="J19" s="48" t="n">
        <x:f>C19/I19</x:f>
        <x:v>32</x:v>
      </x:c>
      <x:c r="K19" s="48" t="n">
        <x:v>43426</x:v>
      </x:c>
      <x:c r="L19" s="49" t="n">
        <x:f>IF(K19="","",B19*C19*D19*2/(E19*F19*G19*K19))</x:f>
        <x:v>0.7545709943351909</x:v>
      </x:c>
      <x:c r="M19" s="50" t="str">
        <x:v>PASS</x:v>
      </x:c>
      <x:c r="N19" s="47" t="str">
        <x:v>Best FP8_FP32</x:v>
      </x:c>
    </x:row>
    <x:row r="20" ht="21" customHeight="1">
      <x:c r="A20" s="39" t="str">
        <x:v>FP8_FP32</x:v>
      </x:c>
      <x:c r="B20" s="40" t="n">
        <x:v>128</x:v>
      </x:c>
      <x:c r="C20" s="40" t="n">
        <x:v>8192</x:v>
      </x:c>
      <x:c r="D20" s="40" t="n">
        <x:v>128</x:v>
      </x:c>
      <x:c r="E20" s="40" t="n">
        <x:v>16</x:v>
      </x:c>
      <x:c r="F20" s="40" t="n">
        <x:v>16</x:v>
      </x:c>
      <x:c r="G20" s="40" t="n">
        <x:v>32</x:v>
      </x:c>
      <x:c r="H20" s="40" t="n">
        <x:v>128</x:v>
      </x:c>
      <x:c r="I20" s="40" t="n">
        <x:v>512</x:v>
      </x:c>
      <x:c r="J20" s="40" t="n">
        <x:f>C20/I20</x:f>
        <x:v>16</x:v>
      </x:c>
      <x:c r="K20" s="40"/>
      <x:c r="L20" s="41" t="str">
        <x:f>IF(K20="","",B20*C20*D20*2/(E20*F20*G20*K20))</x:f>
      </x:c>
      <x:c r="M20" s="42" t="str">
        <x:v>RUN FAIL</x:v>
      </x:c>
      <x:c r="N20" s="39" t="str">
        <x:v>gfsim deadlock at first M128/K512/N128 TMATMUL</x:v>
      </x:c>
    </x:row>
    <x:row r="21" ht="21" customHeight="1">
      <x:c r="A21" s="39" t="str">
        <x:v>FP8_FP32</x:v>
      </x:c>
      <x:c r="B21" s="40" t="n">
        <x:v>128</x:v>
      </x:c>
      <x:c r="C21" s="40" t="n">
        <x:v>8192</x:v>
      </x:c>
      <x:c r="D21" s="40" t="n">
        <x:v>128</x:v>
      </x:c>
      <x:c r="E21" s="40" t="n">
        <x:v>16</x:v>
      </x:c>
      <x:c r="F21" s="40" t="n">
        <x:v>16</x:v>
      </x:c>
      <x:c r="G21" s="40" t="n">
        <x:v>32</x:v>
      </x:c>
      <x:c r="H21" s="40" t="n">
        <x:v>128</x:v>
      </x:c>
      <x:c r="I21" s="40" t="n">
        <x:v>1024</x:v>
      </x:c>
      <x:c r="J21" s="40" t="n">
        <x:f>C21/I21</x:f>
        <x:v>8</x:v>
      </x:c>
      <x:c r="K21" s="40"/>
      <x:c r="L21" s="41" t="str">
        <x:f>IF(K21="","",B21*C21*D21*2/(E21*F21*G21*K21))</x:f>
      </x:c>
      <x:c r="M21" s="42" t="str">
        <x:v>COMPILE FAIL</x:v>
      </x:c>
      <x:c r="N21" s="39" t="str">
        <x:v>FP32 score tile is 128 KiB; TCVT limit is 64 KiB</x:v>
      </x:c>
    </x:row>
    <x:row r="22" ht="21" customHeight="1">
      <x:c r="A22" s="39" t="str">
        <x:v>FP8_FP32</x:v>
      </x:c>
      <x:c r="B22" s="40" t="n">
        <x:v>128</x:v>
      </x:c>
      <x:c r="C22" s="40" t="n">
        <x:v>8192</x:v>
      </x:c>
      <x:c r="D22" s="40" t="n">
        <x:v>128</x:v>
      </x:c>
      <x:c r="E22" s="40" t="n">
        <x:v>16</x:v>
      </x:c>
      <x:c r="F22" s="40" t="n">
        <x:v>16</x:v>
      </x:c>
      <x:c r="G22" s="40" t="n">
        <x:v>32</x:v>
      </x:c>
      <x:c r="H22" s="40" t="n">
        <x:v>128</x:v>
      </x:c>
      <x:c r="I22" s="40" t="n">
        <x:v>2048</x:v>
      </x:c>
      <x:c r="J22" s="40" t="n">
        <x:f>C22/I22</x:f>
        <x:v>4</x:v>
      </x:c>
      <x:c r="K22" s="40"/>
      <x:c r="L22" s="41" t="str">
        <x:f>IF(K22="","",B22*C22*D22*2/(E22*F22*G22*K22))</x:f>
      </x:c>
      <x:c r="M22" s="42" t="str">
        <x:v>COMPILE FAIL</x:v>
      </x:c>
      <x:c r="N22" s="39" t="str">
        <x:v>Also exceeds 256 KiB shared Q/K capacity</x:v>
      </x:c>
    </x:row>
  </x:sheetData>
  <x:mergeCells>
    <x:mergeCell ref="B5:N5"/>
  </x:mergeCells>
  <x:conditionalFormatting sqref="L8:L2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8:M22">
    <x:cfRule type="containsText" dxfId="0" priority="2" operator="containsText" text="FAIL"/>
  </x:conditionalFormatting>
  <x:conditionalFormatting sqref="A8:N11">
    <x:cfRule type="expression" dxfId="1" priority="3">
      <x:formula>$L8=MAX($L$8:$L$11)</x:formula>
    </x:cfRule>
  </x:conditionalFormatting>
  <x:conditionalFormatting sqref="A12:N15">
    <x:cfRule type="expression" dxfId="2" priority="4">
      <x:formula>$L12=MAX($L$12:$L$15)</x:formula>
    </x:cfRule>
  </x:conditionalFormatting>
  <x:conditionalFormatting sqref="A16:N22">
    <x:cfRule type="expression" dxfId="3" priority="5">
      <x:formula>AND($L16&lt;&gt;"",$L16=MAX($L$16:$L$22))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f3e63b577e4ae7"/>
  </x:tableParts>
</x:worksheet>
</file>