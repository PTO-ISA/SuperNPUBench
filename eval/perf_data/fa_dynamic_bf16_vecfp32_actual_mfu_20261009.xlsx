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9a85275f1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对比" sheetId="1" r:id="R0d800f2c7e2347be"/>
    <x:sheet xmlns:r="http://schemas.openxmlformats.org/officeDocument/2006/relationships" name="原始数据" sheetId="2" r:id="R44ba9ce8f09b4882"/>
    <x:sheet xmlns:r="http://schemas.openxmlformats.org/officeDocument/2006/relationships" name="口径说明" sheetId="3" r:id="R20b9d6ae3f2a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0"/>
      <x:color rgb="FF548235"/>
      <x:name val="Arial"/>
    </x:font>
    <x:font>
      <x:b/>
      <x:sz val="10"/>
      <x:color rgb="FFC00000"/>
      <x:name val="Arial"/>
    </x:font>
    <x:font>
      <x:b/>
      <x:sz val="10"/>
      <x:color rgb="FF17365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7FAFD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3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3" xfId="0" applyNumberFormat="1" applyFont="1" applyFill="1" applyBorder="1"/>
    <x:xf numFmtId="0" fontId="0" fillId="6" borderId="3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200" fontId="0" fillId="4" borderId="3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201" fontId="0" fillId="4" borderId="3" xfId="0" applyNumberFormat="1" applyFont="1" applyFill="1" applyBorder="1" applyAlignment="1">
      <x:alignment vertical="center"/>
    </x:xf>
    <x:xf numFmtId="201" fontId="0" fillId="6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/>
    <x:xf numFmtId="0" fontId="0" fillId="0" borderId="4" xfId="0" applyNumberFormat="1" applyFont="1" applyFill="1" applyBorder="1"/>
    <x:xf numFmtId="0" fontId="3" fillId="3" borderId="4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92ae8cc484aa5" /><Relationship Type="http://schemas.openxmlformats.org/officeDocument/2006/relationships/theme" Target="/xl/theme/theme1.xml" Id="Rd024211dc9874541" /><Relationship Type="http://schemas.openxmlformats.org/officeDocument/2006/relationships/sharedStrings" Target="/xl/sharedStrings.xml" Id="R30a1e968906740ce" /><Relationship Type="http://schemas.openxmlformats.org/officeDocument/2006/relationships/worksheet" Target="/xl/worksheets/sheet1.xml" Id="R0d800f2c7e2347be" /><Relationship Type="http://schemas.openxmlformats.org/officeDocument/2006/relationships/worksheet" Target="/xl/worksheets/sheet2.xml" Id="R44ba9ce8f09b4882" /><Relationship Type="http://schemas.openxmlformats.org/officeDocument/2006/relationships/worksheet" Target="/xl/worksheets/sheet3.xml" Id="R20b9d6ae3f2a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13" hidden="0" customWidth="1"/>
    <x:col min="3" max="3" width="1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  <x:col min="10" max="10" width="18" hidden="0" customWidth="1"/>
    <x:col min="11" max="11" width="15" hidden="0" customWidth="1"/>
    <x:col min="12" max="12" width="16" hidden="0" customWidth="1"/>
    <x:col min="13" max="13" width="62" hidden="0" customWidth="1"/>
    <x:col min="14" max="14" width="52" hidden="0" customWidth="1"/>
  </x:cols>
  <x:sheetData>
    <x:row r="2">
      <x:c r="B2" s="2" t="str">
        <x:v>Dynamic FA actual operator MFU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>
      <x:c r="B4" s="3" t="str">
        <x:v>Cube=BF16</x:v>
      </x:c>
      <x:c r="C4" s="3" t="str">
        <x:v>Vector=FP32</x:v>
      </x:c>
      <x:c r="D4" s="3" t="str">
        <x:v>Skv=8192</x:v>
      </x:c>
      <x:c r="E4" s="3" t="str">
        <x:v>QD=VD</x:v>
      </x:c>
      <x:c r="F4" s="3" t="str">
        <x:v>Tm=128</x:v>
      </x:c>
      <x:c r="G4" s="3" t="str">
        <x:v>Tk=128</x:v>
      </x:c>
      <x:c r="H4" s="3" t="str">
        <x:v>X=1</x:v>
      </x:c>
      <x:c r="I4" s="3" t="str">
        <x:v>Y=1</x:v>
      </x:c>
      <x:c r="J4" s="3" t="str">
        <x:v>4 PE</x:v>
      </x:c>
      <x:c r="K4" s="3" t="str">
        <x:v>FA_TRACE_ONLY=1</x:v>
      </x:c>
      <x:c r="L4" s="3" t="str">
        <x:v>Operator cycle=Group Total</x:v>
      </x:c>
      <x:c r="M4" s="3" t="str">
        <x:v>MFU=理论周期/算子周期</x:v>
      </x:c>
      <x:c r="N4" s="3" t="str">
        <x:v>2026-10-09</x:v>
      </x:c>
    </x:row>
    <x:row r="6">
      <x:c r="B6" s="6" t="str">
        <x:v>BF16 Cube / FP32 Vector — actual operator performance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34" customHeight="1">
      <x:c r="B7" s="12" t="str">
        <x:v>Cube dtype</x:v>
      </x:c>
      <x:c r="C7" s="12" t="str">
        <x:v>Vector dtype</x:v>
      </x:c>
      <x:c r="D7" s="12" t="str">
        <x:v>Sq</x:v>
      </x:c>
      <x:c r="E7" s="12" t="str">
        <x:v>Skv</x:v>
      </x:c>
      <x:c r="F7" s="12" t="str">
        <x:v>Head dim</x:v>
      </x:c>
      <x:c r="G7" s="12" t="str">
        <x:v>Tm</x:v>
      </x:c>
      <x:c r="H7" s="12" t="str">
        <x:v>Tk</x:v>
      </x:c>
      <x:c r="I7" s="12" t="str">
        <x:v>Theoretical cycles</x:v>
      </x:c>
      <x:c r="J7" s="12" t="str">
        <x:v>Operator cycles
(Group Total)</x:v>
      </x:c>
      <x:c r="K7" s="12" t="str">
        <x:v>Operator MFU</x:v>
      </x:c>
      <x:c r="L7" s="12" t="str">
        <x:v>Status</x:v>
      </x:c>
      <x:c r="M7" s="12" t="str">
        <x:v>Data source</x:v>
      </x:c>
      <x:c r="N7" s="12" t="str">
        <x:v>Notes</x:v>
      </x:c>
    </x:row>
    <x:row r="8" ht="46" customHeight="1">
      <x:c r="B8" s="16" t="str">
        <x:v>BF16</x:v>
      </x:c>
      <x:c r="C8" s="16" t="str">
        <x:v>FP32</x:v>
      </x:c>
      <x:c r="D8" s="23" t="n">
        <x:v>128</x:v>
      </x:c>
      <x:c r="E8" s="23" t="n">
        <x:v>8192</x:v>
      </x:c>
      <x:c r="F8" s="23" t="n">
        <x:v>64</x:v>
      </x:c>
      <x:c r="G8" s="23" t="n">
        <x:v>128</x:v>
      </x:c>
      <x:c r="H8" s="23" t="n">
        <x:v>128</x:v>
      </x:c>
      <x:c r="I8" s="23" t="n">
        <x:v>32768</x:v>
      </x:c>
      <x:c r="J8" s="23" t="n">
        <x:v>49760</x:v>
      </x:c>
      <x:c r="K8" s="25" t="n">
        <x:f>IF(L8="PASS",I8/J8,"")</x:f>
        <x:v>0.6585209003215434</x:v>
      </x:c>
      <x:c r="L8" s="17" t="str">
        <x:v>PASS</x:v>
      </x:c>
      <x:c r="M8" s="30" t="str">
        <x:v>/Users/blacktraker/Programming/gitproj/DV4/SuperNPUBench/eval/fa/fa_dynamic_bf16_vecfp32_head_dim_sweep_20261008/sq128_skv8192_d64/gfsim.log</x:v>
      </x:c>
      <x:c r="N8" s="30" t="str">
        <x:v>本轮日志；排除未优化 trace driver 的 mask 初始化开销</x:v>
      </x:c>
    </x:row>
    <x:row r="9" ht="46" customHeight="1">
      <x:c r="B9" s="16" t="str">
        <x:v>BF16</x:v>
      </x:c>
      <x:c r="C9" s="16" t="str">
        <x:v>FP32</x:v>
      </x:c>
      <x:c r="D9" s="24" t="n">
        <x:v>128</x:v>
      </x:c>
      <x:c r="E9" s="24" t="n">
        <x:v>8192</x:v>
      </x:c>
      <x:c r="F9" s="24" t="n">
        <x:v>128</x:v>
      </x:c>
      <x:c r="G9" s="24" t="n">
        <x:v>128</x:v>
      </x:c>
      <x:c r="H9" s="24" t="n">
        <x:v>128</x:v>
      </x:c>
      <x:c r="I9" s="24" t="n">
        <x:v>65536</x:v>
      </x:c>
      <x:c r="J9" s="24" t="n">
        <x:v>99276</x:v>
      </x:c>
      <x:c r="K9" s="26" t="n">
        <x:f>IF(L9="PASS",I9/J9,"")</x:f>
        <x:v>0.6601394093235021</x:v>
      </x:c>
      <x:c r="L9" s="17" t="str">
        <x:v>PASS</x:v>
      </x:c>
      <x:c r="M9" s="31" t="str">
        <x:v>/Users/blacktraker/Programming/gitproj/DV4/SuperNPUBench/tmp/fa_dynamic_refresh/logs/BF16_VECFP32_tk128.log</x:v>
      </x:c>
      <x:c r="N9" s="31" t="str">
        <x:v>参考表日志；优化后的 trace driver</x:v>
      </x:c>
    </x:row>
    <x:row r="10" ht="46" customHeight="1">
      <x:c r="B10" s="16" t="str">
        <x:v>BF16</x:v>
      </x:c>
      <x:c r="C10" s="16" t="str">
        <x:v>FP32</x:v>
      </x:c>
      <x:c r="D10" s="23" t="n">
        <x:v>128</x:v>
      </x:c>
      <x:c r="E10" s="23" t="n">
        <x:v>8192</x:v>
      </x:c>
      <x:c r="F10" s="23" t="n">
        <x:v>256</x:v>
      </x:c>
      <x:c r="G10" s="23" t="n">
        <x:v>128</x:v>
      </x:c>
      <x:c r="H10" s="23" t="n">
        <x:v>128</x:v>
      </x:c>
      <x:c r="I10" s="23" t="n">
        <x:v>131072</x:v>
      </x:c>
      <x:c r="J10" s="23"/>
      <x:c r="K10" s="25" t="str">
        <x:f>IF(L10="PASS",I10/J10,"")</x:f>
      </x:c>
      <x:c r="L10" s="22" t="str">
        <x:v>MODEL_ABORT</x:v>
      </x:c>
      <x:c r="M10" s="30" t="str">
        <x:v>/Users/blacktraker/Programming/gitproj/DV4/SuperNPUBench/eval/fa/fa_dynamic_bf16_vecfp32_head_dim_sweep_20261008/sq128_skv8192_d256/gfsim.log</x:v>
      </x:c>
      <x:c r="N10" s="30" t="str">
        <x:v>两次 gfsim 均在 OOO tile flush 路径触发 SIGABRT</x:v>
      </x:c>
    </x:row>
    <x:row r="11" ht="46" customHeight="1">
      <x:c r="B11" s="16" t="str">
        <x:v>BF16</x:v>
      </x:c>
      <x:c r="C11" s="16" t="str">
        <x:v>FP32</x:v>
      </x:c>
      <x:c r="D11" s="24" t="n">
        <x:v>256</x:v>
      </x:c>
      <x:c r="E11" s="24" t="n">
        <x:v>8192</x:v>
      </x:c>
      <x:c r="F11" s="24" t="n">
        <x:v>64</x:v>
      </x:c>
      <x:c r="G11" s="24" t="n">
        <x:v>128</x:v>
      </x:c>
      <x:c r="H11" s="24" t="n">
        <x:v>128</x:v>
      </x:c>
      <x:c r="I11" s="24" t="n">
        <x:v>65536</x:v>
      </x:c>
      <x:c r="J11" s="24" t="n">
        <x:v>97452</x:v>
      </x:c>
      <x:c r="K11" s="26" t="n">
        <x:f>IF(L11="PASS",I11/J11,"")</x:f>
        <x:v>0.672495177112835</x:v>
      </x:c>
      <x:c r="L11" s="17" t="str">
        <x:v>PASS</x:v>
      </x:c>
      <x:c r="M11" s="31" t="str">
        <x:v>/Users/blacktraker/Programming/gitproj/DV4/SuperNPUBench/eval/fa/fa_dynamic_bf16_vecfp32_head_dim_sweep_20261008/sq256_skv8192_d64/gfsim.log</x:v>
      </x:c>
      <x:c r="N11" s="31" t="str">
        <x:v>本轮日志；排除未优化 trace driver 的 mask 初始化开销</x:v>
      </x:c>
    </x:row>
    <x:row r="12" ht="46" customHeight="1">
      <x:c r="B12" s="16" t="str">
        <x:v>BF16</x:v>
      </x:c>
      <x:c r="C12" s="16" t="str">
        <x:v>FP32</x:v>
      </x:c>
      <x:c r="D12" s="23" t="n">
        <x:v>256</x:v>
      </x:c>
      <x:c r="E12" s="23" t="n">
        <x:v>8192</x:v>
      </x:c>
      <x:c r="F12" s="23" t="n">
        <x:v>128</x:v>
      </x:c>
      <x:c r="G12" s="23" t="n">
        <x:v>128</x:v>
      </x:c>
      <x:c r="H12" s="23" t="n">
        <x:v>128</x:v>
      </x:c>
      <x:c r="I12" s="23" t="n">
        <x:v>131072</x:v>
      </x:c>
      <x:c r="J12" s="23" t="n">
        <x:v>197567</x:v>
      </x:c>
      <x:c r="K12" s="25" t="n">
        <x:f>IF(L12="PASS",I12/J12,"")</x:f>
        <x:v>0.6634306336584551</x:v>
      </x:c>
      <x:c r="L12" s="17" t="str">
        <x:v>PASS</x:v>
      </x:c>
      <x:c r="M12" s="30" t="str">
        <x:v>/Users/blacktraker/Programming/gitproj/DV4/SuperNPUBench/eval/fa/fa_dynamic_bf16_vecfp32_head_dim_sweep_20261008/sq256_skv8192_d128/gfsim.log</x:v>
      </x:c>
      <x:c r="N12" s="30" t="str">
        <x:v>本轮日志；排除未优化 trace driver 的 mask 初始化开销</x:v>
      </x:c>
    </x:row>
    <x:row r="13" ht="46" customHeight="1">
      <x:c r="B13" s="16" t="str">
        <x:v>BF16</x:v>
      </x:c>
      <x:c r="C13" s="16" t="str">
        <x:v>FP32</x:v>
      </x:c>
      <x:c r="D13" s="24" t="n">
        <x:v>256</x:v>
      </x:c>
      <x:c r="E13" s="24" t="n">
        <x:v>8192</x:v>
      </x:c>
      <x:c r="F13" s="24" t="n">
        <x:v>256</x:v>
      </x:c>
      <x:c r="G13" s="24" t="n">
        <x:v>128</x:v>
      </x:c>
      <x:c r="H13" s="24" t="n">
        <x:v>128</x:v>
      </x:c>
      <x:c r="I13" s="24" t="n">
        <x:v>262144</x:v>
      </x:c>
      <x:c r="J13" s="24"/>
      <x:c r="K13" s="26" t="str">
        <x:f>IF(L13="PASS",I13/J13,"")</x:f>
      </x:c>
      <x:c r="L13" s="22" t="str">
        <x:v>MODEL_ABORT</x:v>
      </x:c>
      <x:c r="M13" s="31" t="str">
        <x:v>/Users/blacktraker/Programming/gitproj/DV4/SuperNPUBench/eval/fa/fa_dynamic_bf16_vecfp32_head_dim_sweep_20261008/sq256_skv8192_d256/gfsim.log</x:v>
      </x:c>
      <x:c r="N13" s="31" t="str">
        <x:v>两次 gfsim 均在 OOO tile flush 路径触发 SIGABRT</x:v>
      </x:c>
    </x:row>
    <x:row r="16">
      <x:c r="B16" s="29" t="str">
        <x:v>结论：可用配置的 Dynamic FA 算子 MFU 为 65.85%–67.25%，代表值约 66%；D=256 因模型中止暂无有效数据。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</x:row>
  </x:sheetData>
  <x:mergeCells>
    <x:mergeCell ref="B2:N2"/>
    <x:mergeCell ref="B6:N6"/>
    <x:mergeCell ref="B16:N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78" hidden="0" customWidth="1"/>
    <x:col min="16" max="16" width="54" hidden="0" customWidth="1"/>
  </x:cols>
  <x:sheetData>
    <x:row r="2">
      <x:c r="A2" s="2" t="str">
        <x:v>Dynamic FA cycle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5" ht="34" customHeight="1">
      <x:c r="A5" s="12" t="str">
        <x:v>Cube</x:v>
      </x:c>
      <x:c r="B5" s="12" t="str">
        <x:v>Vector</x:v>
      </x:c>
      <x:c r="C5" s="12" t="str">
        <x:v>Sq</x:v>
      </x:c>
      <x:c r="D5" s="12" t="str">
        <x:v>Skv</x:v>
      </x:c>
      <x:c r="E5" s="12" t="str">
        <x:v>QD</x:v>
      </x:c>
      <x:c r="F5" s="12" t="str">
        <x:v>VD</x:v>
      </x:c>
      <x:c r="G5" s="12" t="str">
        <x:v>Tm</x:v>
      </x:c>
      <x:c r="H5" s="12" t="str">
        <x:v>Tk</x:v>
      </x:c>
      <x:c r="I5" s="12" t="str">
        <x:v>Theoretical cycles</x:v>
      </x:c>
      <x:c r="J5" s="12" t="str">
        <x:v>Program Total Cycles</x:v>
      </x:c>
      <x:c r="K5" s="12" t="str">
        <x:v>Group Total Cycles</x:v>
      </x:c>
      <x:c r="L5" s="12" t="str">
        <x:v>Operator MFU</x:v>
      </x:c>
      <x:c r="M5" s="12" t="str">
        <x:v>Status</x:v>
      </x:c>
      <x:c r="N5" s="12" t="str">
        <x:v>Attempts</x:v>
      </x:c>
      <x:c r="O5" s="12" t="str">
        <x:v>Source log</x:v>
      </x:c>
      <x:c r="P5" s="12" t="str">
        <x:v>Interpretation</x:v>
      </x:c>
    </x:row>
    <x:row r="6" ht="46" customHeight="1">
      <x:c r="A6" s="15" t="str">
        <x:v>BF16</x:v>
      </x:c>
      <x:c r="B6" s="15" t="str">
        <x:v>FP32</x:v>
      </x:c>
      <x:c r="C6" s="23" t="n">
        <x:v>128</x:v>
      </x:c>
      <x:c r="D6" s="23" t="n">
        <x:v>8192</x:v>
      </x:c>
      <x:c r="E6" s="23" t="n">
        <x:v>64</x:v>
      </x:c>
      <x:c r="F6" s="23" t="n">
        <x:v>64</x:v>
      </x:c>
      <x:c r="G6" s="23" t="n">
        <x:v>128</x:v>
      </x:c>
      <x:c r="H6" s="23" t="n">
        <x:v>128</x:v>
      </x:c>
      <x:c r="I6" s="23" t="n">
        <x:v>32768</x:v>
      </x:c>
      <x:c r="J6" s="23" t="n">
        <x:v>1417949</x:v>
      </x:c>
      <x:c r="K6" s="23" t="n">
        <x:v>49760</x:v>
      </x:c>
      <x:c r="L6" s="25" t="n">
        <x:f>IF(M6="PASS",I6/K6,"")</x:f>
        <x:v>0.6585209003215434</x:v>
      </x:c>
      <x:c r="M6" s="17" t="str">
        <x:v>PASS</x:v>
      </x:c>
      <x:c r="N6" s="15" t="n">
        <x:v>1</x:v>
      </x:c>
      <x:c r="O6" s="30" t="str">
        <x:v>/Users/blacktraker/Programming/gitproj/DV4/SuperNPUBench/eval/fa/fa_dynamic_bf16_vecfp32_head_dim_sweep_20261008/sq128_skv8192_d64/gfsim.log</x:v>
      </x:c>
      <x:c r="P6" s="30" t="str">
        <x:v>本轮日志；排除未优化 trace driver 的 mask 初始化开销</x:v>
      </x:c>
    </x:row>
    <x:row r="7" ht="46" customHeight="1">
      <x:c r="A7" s="20" t="str">
        <x:v>BF16</x:v>
      </x:c>
      <x:c r="B7" s="20" t="str">
        <x:v>FP32</x:v>
      </x:c>
      <x:c r="C7" s="24" t="n">
        <x:v>128</x:v>
      </x:c>
      <x:c r="D7" s="24" t="n">
        <x:v>8192</x:v>
      </x:c>
      <x:c r="E7" s="24" t="n">
        <x:v>128</x:v>
      </x:c>
      <x:c r="F7" s="24" t="n">
        <x:v>128</x:v>
      </x:c>
      <x:c r="G7" s="24" t="n">
        <x:v>128</x:v>
      </x:c>
      <x:c r="H7" s="24" t="n">
        <x:v>128</x:v>
      </x:c>
      <x:c r="I7" s="24" t="n">
        <x:v>65536</x:v>
      </x:c>
      <x:c r="J7" s="24" t="n">
        <x:v>101086</x:v>
      </x:c>
      <x:c r="K7" s="24" t="n">
        <x:v>99276</x:v>
      </x:c>
      <x:c r="L7" s="26" t="n">
        <x:f>IF(M7="PASS",I7/K7,"")</x:f>
        <x:v>0.6601394093235021</x:v>
      </x:c>
      <x:c r="M7" s="17" t="str">
        <x:v>PASS</x:v>
      </x:c>
      <x:c r="N7" s="20" t="n">
        <x:v>1</x:v>
      </x:c>
      <x:c r="O7" s="31" t="str">
        <x:v>/Users/blacktraker/Programming/gitproj/DV4/SuperNPUBench/tmp/fa_dynamic_refresh/logs/BF16_VECFP32_tk128.log</x:v>
      </x:c>
      <x:c r="P7" s="31" t="str">
        <x:v>参考表日志；优化后的 trace driver</x:v>
      </x:c>
    </x:row>
    <x:row r="8" ht="46" customHeight="1">
      <x:c r="A8" s="15" t="str">
        <x:v>BF16</x:v>
      </x:c>
      <x:c r="B8" s="15" t="str">
        <x:v>FP32</x:v>
      </x:c>
      <x:c r="C8" s="23" t="n">
        <x:v>128</x:v>
      </x:c>
      <x:c r="D8" s="23" t="n">
        <x:v>8192</x:v>
      </x:c>
      <x:c r="E8" s="23" t="n">
        <x:v>256</x:v>
      </x:c>
      <x:c r="F8" s="23" t="n">
        <x:v>256</x:v>
      </x:c>
      <x:c r="G8" s="23" t="n">
        <x:v>128</x:v>
      </x:c>
      <x:c r="H8" s="23" t="n">
        <x:v>128</x:v>
      </x:c>
      <x:c r="I8" s="23" t="n">
        <x:v>131072</x:v>
      </x:c>
      <x:c r="J8" s="23"/>
      <x:c r="K8" s="23"/>
      <x:c r="L8" s="25" t="str">
        <x:f>IF(M8="PASS",I8/K8,"")</x:f>
      </x:c>
      <x:c r="M8" s="22" t="str">
        <x:v>MODEL_ABORT</x:v>
      </x:c>
      <x:c r="N8" s="15" t="n">
        <x:v>2</x:v>
      </x:c>
      <x:c r="O8" s="30" t="str">
        <x:v>/Users/blacktraker/Programming/gitproj/DV4/SuperNPUBench/eval/fa/fa_dynamic_bf16_vecfp32_head_dim_sweep_20261008/sq128_skv8192_d256/gfsim.log</x:v>
      </x:c>
      <x:c r="P8" s="30" t="str">
        <x:v>两次 gfsim 均在 OOO tile flush 路径触发 SIGABRT</x:v>
      </x:c>
    </x:row>
    <x:row r="9" ht="46" customHeight="1">
      <x:c r="A9" s="20" t="str">
        <x:v>BF16</x:v>
      </x:c>
      <x:c r="B9" s="20" t="str">
        <x:v>FP32</x:v>
      </x:c>
      <x:c r="C9" s="24" t="n">
        <x:v>256</x:v>
      </x:c>
      <x:c r="D9" s="24" t="n">
        <x:v>8192</x:v>
      </x:c>
      <x:c r="E9" s="24" t="n">
        <x:v>64</x:v>
      </x:c>
      <x:c r="F9" s="24" t="n">
        <x:v>64</x:v>
      </x:c>
      <x:c r="G9" s="24" t="n">
        <x:v>128</x:v>
      </x:c>
      <x:c r="H9" s="24" t="n">
        <x:v>128</x:v>
      </x:c>
      <x:c r="I9" s="24" t="n">
        <x:v>65536</x:v>
      </x:c>
      <x:c r="J9" s="24" t="n">
        <x:v>1466337</x:v>
      </x:c>
      <x:c r="K9" s="24" t="n">
        <x:v>97452</x:v>
      </x:c>
      <x:c r="L9" s="26" t="n">
        <x:f>IF(M9="PASS",I9/K9,"")</x:f>
        <x:v>0.672495177112835</x:v>
      </x:c>
      <x:c r="M9" s="17" t="str">
        <x:v>PASS</x:v>
      </x:c>
      <x:c r="N9" s="20" t="n">
        <x:v>1</x:v>
      </x:c>
      <x:c r="O9" s="31" t="str">
        <x:v>/Users/blacktraker/Programming/gitproj/DV4/SuperNPUBench/eval/fa/fa_dynamic_bf16_vecfp32_head_dim_sweep_20261008/sq256_skv8192_d64/gfsim.log</x:v>
      </x:c>
      <x:c r="P9" s="31" t="str">
        <x:v>本轮日志；排除未优化 trace driver 的 mask 初始化开销</x:v>
      </x:c>
    </x:row>
    <x:row r="10" ht="46" customHeight="1">
      <x:c r="A10" s="15" t="str">
        <x:v>BF16</x:v>
      </x:c>
      <x:c r="B10" s="15" t="str">
        <x:v>FP32</x:v>
      </x:c>
      <x:c r="C10" s="23" t="n">
        <x:v>256</x:v>
      </x:c>
      <x:c r="D10" s="23" t="n">
        <x:v>8192</x:v>
      </x:c>
      <x:c r="E10" s="23" t="n">
        <x:v>128</x:v>
      </x:c>
      <x:c r="F10" s="23" t="n">
        <x:v>128</x:v>
      </x:c>
      <x:c r="G10" s="23" t="n">
        <x:v>128</x:v>
      </x:c>
      <x:c r="H10" s="23" t="n">
        <x:v>128</x:v>
      </x:c>
      <x:c r="I10" s="23" t="n">
        <x:v>131072</x:v>
      </x:c>
      <x:c r="J10" s="23" t="n">
        <x:v>1566355</x:v>
      </x:c>
      <x:c r="K10" s="23" t="n">
        <x:v>197567</x:v>
      </x:c>
      <x:c r="L10" s="25" t="n">
        <x:f>IF(M10="PASS",I10/K10,"")</x:f>
        <x:v>0.6634306336584551</x:v>
      </x:c>
      <x:c r="M10" s="17" t="str">
        <x:v>PASS</x:v>
      </x:c>
      <x:c r="N10" s="15" t="n">
        <x:v>1</x:v>
      </x:c>
      <x:c r="O10" s="30" t="str">
        <x:v>/Users/blacktraker/Programming/gitproj/DV4/SuperNPUBench/eval/fa/fa_dynamic_bf16_vecfp32_head_dim_sweep_20261008/sq256_skv8192_d128/gfsim.log</x:v>
      </x:c>
      <x:c r="P10" s="30" t="str">
        <x:v>本轮日志；排除未优化 trace driver 的 mask 初始化开销</x:v>
      </x:c>
    </x:row>
    <x:row r="11" ht="46" customHeight="1">
      <x:c r="A11" s="20" t="str">
        <x:v>BF16</x:v>
      </x:c>
      <x:c r="B11" s="20" t="str">
        <x:v>FP32</x:v>
      </x:c>
      <x:c r="C11" s="24" t="n">
        <x:v>256</x:v>
      </x:c>
      <x:c r="D11" s="24" t="n">
        <x:v>8192</x:v>
      </x:c>
      <x:c r="E11" s="24" t="n">
        <x:v>256</x:v>
      </x:c>
      <x:c r="F11" s="24" t="n">
        <x:v>256</x:v>
      </x:c>
      <x:c r="G11" s="24" t="n">
        <x:v>128</x:v>
      </x:c>
      <x:c r="H11" s="24" t="n">
        <x:v>128</x:v>
      </x:c>
      <x:c r="I11" s="24" t="n">
        <x:v>262144</x:v>
      </x:c>
      <x:c r="J11" s="24"/>
      <x:c r="K11" s="24"/>
      <x:c r="L11" s="26" t="str">
        <x:f>IF(M11="PASS",I11/K11,"")</x:f>
      </x:c>
      <x:c r="M11" s="22" t="str">
        <x:v>MODEL_ABORT</x:v>
      </x:c>
      <x:c r="N11" s="20" t="n">
        <x:v>2</x:v>
      </x:c>
      <x:c r="O11" s="31" t="str">
        <x:v>/Users/blacktraker/Programming/gitproj/DV4/SuperNPUBench/eval/fa/fa_dynamic_bf16_vecfp32_head_dim_sweep_20261008/sq256_skv8192_d256/gfsim.log</x:v>
      </x:c>
      <x:c r="P11" s="31" t="str">
        <x:v>两次 gfsim 均在 OOO tile flush 路径触发 SIGABRT</x:v>
      </x:c>
    </x:row>
  </x:sheetData>
  <x:mergeCells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2">
      <x:c r="A2" s="2" t="str">
        <x:v>Metric definition and reconciliation</x:v>
      </x:c>
      <x:c r="B2" s="2"/>
    </x:row>
    <x:row r="4">
      <x:c r="A4" s="36" t="str">
        <x:v>Item</x:v>
      </x:c>
      <x:c r="B4" s="36" t="str">
        <x:v>Definition</x:v>
      </x:c>
    </x:row>
    <x:row r="5" ht="34" customHeight="1">
      <x:c r="A5" s="37" t="str">
        <x:v>Theoretical cycles</x:v>
      </x:c>
      <x:c r="B5" s="39" t="str">
        <x:v>Sq × Skv × HeadDim / 2048 for BF16 PeakK=16 under the reference workbook convention</x:v>
      </x:c>
    </x:row>
    <x:row r="6" ht="34" customHeight="1">
      <x:c r="A6" s="37" t="str">
        <x:v>Operator cycles</x:v>
      </x:c>
      <x:c r="B6" s="39" t="str">
        <x:v>gfsim Group Total Cycles; isolates the measured 4-PE operator group from host/trace-driver setup</x:v>
      </x:c>
    </x:row>
    <x:row r="7" ht="34" customHeight="1">
      <x:c r="A7" s="37" t="str">
        <x:v>Operator MFU</x:v>
      </x:c>
      <x:c r="B7" s="39" t="str">
        <x:v>Theoretical cycles ÷ Operator cycles</x:v>
      </x:c>
    </x:row>
    <x:row r="8" ht="34" customHeight="1">
      <x:c r="A8" s="37" t="str">
        <x:v>Program Total Cycles</x:v>
      </x:c>
      <x:c r="B8" s="39" t="str">
        <x:v>Whole-program cycles. Current main performs full scalar mask initialization in FA_TRACE_ONLY and is not comparable with the optimized reference run.</x:v>
      </x:c>
    </x:row>
    <x:row r="9" ht="34" customHeight="1">
      <x:c r="A9" s="37" t="str">
        <x:v>Reference parser issue</x:v>
      </x:c>
      <x:c r="B9" s="39" t="str">
        <x:v>The previous sweep parser retained the last line containing 'Total Cycles', which happened to be Group Total Cycles.</x:v>
      </x:c>
    </x:row>
    <x:row r="10" ht="34" customHeight="1">
      <x:c r="A10" s="37" t="str">
        <x:v>Current-main issue</x:v>
      </x:c>
      <x:c r="B10" s="39" t="str">
        <x:v>Current main does not contain commit 1b8a31f5, which skips zero mask writes for fully valid trace-only tiles.</x:v>
      </x:c>
    </x:row>
    <x:row r="11" ht="34" customHeight="1">
      <x:c r="A11" s="37" t="str">
        <x:v>Availability</x:v>
      </x:c>
      <x:c r="B11" s="39" t="str">
        <x:v>D=256 configurations have no operator MFU because both gfsim attempts ended with SIGABRT before a valid completion report.</x:v>
      </x:c>
    </x:row>
    <x:row r="12" ht="34" customHeight="1">
      <x:c r="A12" s="37" t="str">
        <x:v>Result</x:v>
      </x:c>
      <x:c r="B12" s="39" t="str">
        <x:v>Valid Dynamic FA operator MFU range: 65.85%–67.25%; representative value: approximately 66%.</x:v>
      </x:c>
    </x:row>
  </x:sheetData>
  <x:mergeCells>
    <x:mergeCell ref="A2:B2"/>
  </x:mergeCells>
  <x:pageMargins left="0.7" right="0.7" top="0.75" bottom="0.75" header="0.3" footer="0.3"/>
</x:worksheet>
</file>